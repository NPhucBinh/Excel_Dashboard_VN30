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GitHub\Excel_Dashboard_VN30\"/>
    </mc:Choice>
  </mc:AlternateContent>
  <xr:revisionPtr revIDLastSave="0" documentId="13_ncr:1_{511A5901-6ED3-4893-BB03-08EC03728CA5}" xr6:coauthVersionLast="47" xr6:coauthVersionMax="47" xr10:uidLastSave="{00000000-0000-0000-0000-000000000000}"/>
  <bookViews>
    <workbookView xWindow="-120" yWindow="-120" windowWidth="29040" windowHeight="15720" tabRatio="627" activeTab="2" xr2:uid="{00000000-000D-0000-FFFF-FFFF00000000}"/>
  </bookViews>
  <sheets>
    <sheet name="CANSLIM" sheetId="27" r:id="rId1"/>
    <sheet name="VN30F" sheetId="62" r:id="rId2"/>
    <sheet name="Tổng Quan" sheetId="51" r:id="rId3"/>
    <sheet name="VN30" sheetId="38" r:id="rId4"/>
    <sheet name="NGÂN HÀNG" sheetId="36" r:id="rId5"/>
    <sheet name="CHỨNG KHOÁN" sheetId="40" r:id="rId6"/>
    <sheet name=" DẦU -KHÍ ĐỐT" sheetId="42" r:id="rId7"/>
    <sheet name="CÔNG NGHỆ" sheetId="45" r:id="rId8"/>
    <sheet name="BẢO HIỂM - DV TÀI CHÍNH" sheetId="60" r:id="rId9"/>
    <sheet name="BÁN LẺ" sheetId="48" r:id="rId10"/>
    <sheet name="DỆT MAY" sheetId="52" r:id="rId11"/>
    <sheet name="THÉP" sheetId="47" r:id="rId12"/>
    <sheet name="NĂNG LƯỢNG - TB ĐIỆN" sheetId="44" r:id="rId13"/>
    <sheet name="CÔNG NGHIỆP" sheetId="53" r:id="rId14"/>
    <sheet name="HÓA CHẤT -NHỰA" sheetId="58" r:id="rId15"/>
    <sheet name="Y TẾ - DƯỢC" sheetId="54" r:id="rId16"/>
    <sheet name="BĐS" sheetId="39" r:id="rId17"/>
    <sheet name="KHAI KHOÁNG - TNCB" sheetId="50" r:id="rId18"/>
    <sheet name="THỰC PHẨM-THỦY SẢN" sheetId="49" r:id="rId19"/>
    <sheet name="VẬN TẢI" sheetId="43" r:id="rId20"/>
    <sheet name="VLXD-NỘI THẤT" sheetId="57" r:id="rId21"/>
    <sheet name="KCN - XÂY DỰNG - ĐTC" sheetId="46" r:id="rId22"/>
    <sheet name="BS_BCTC" sheetId="22" r:id="rId23"/>
    <sheet name="PL_BCTC" sheetId="28" r:id="rId24"/>
    <sheet name="CF_BCTC" sheetId="29" r:id="rId25"/>
    <sheet name="LIST_COMPANY" sheetId="32" r:id="rId26"/>
    <sheet name="INFO" sheetId="34" r:id="rId27"/>
    <sheet name="Nơi chứ dữ liệu" sheetId="35" r:id="rId28"/>
    <sheet name="Hướng dẫn" sheetId="25" r:id="rId29"/>
    <sheet name="_xlwings.conf" sheetId="2" r:id="rId30"/>
  </sheets>
  <functionGroups builtInGroupCount="19">
    <functionGroup name="xlwings"/>
  </functionGroups>
  <externalReferences>
    <externalReference r:id="rId31"/>
  </externalReferences>
  <definedNames>
    <definedName name="_xlnm._FilterDatabase" localSheetId="25" hidden="1">LIST_COMPANY!$A$1:$H$1609</definedName>
    <definedName name="_xlnm._FilterDatabase" localSheetId="27" hidden="1">'Nơi chứ dữ liệu'!$A$1:$F$6</definedName>
    <definedName name="_xlcn.WorksheetConnection_BanggiaCPB1G311" hidden="1">'[1]Bang gia CP'!$B$1:$G$31</definedName>
    <definedName name="_xlcn.WorksheetConnection_BanggiaCPEG1" hidden="1">'[1]Bang gia CP'!$E:$G</definedName>
    <definedName name="_xlnm.Criteria" localSheetId="6">' DẦU -KHÍ ĐỐT'!#REF!</definedName>
    <definedName name="_xlnm.Criteria" localSheetId="9">'BÁN LẺ'!#REF!</definedName>
    <definedName name="_xlnm.Criteria" localSheetId="8">'BẢO HIỂM - DV TÀI CHÍNH'!#REF!</definedName>
    <definedName name="_xlnm.Criteria" localSheetId="16">BĐS!#REF!</definedName>
    <definedName name="_xlnm.Criteria" localSheetId="7">'CÔNG NGHỆ'!#REF!</definedName>
    <definedName name="_xlnm.Criteria" localSheetId="13">'CÔNG NGHIỆP'!#REF!</definedName>
    <definedName name="_xlnm.Criteria" localSheetId="5">'CHỨNG KHOÁN'!#REF!</definedName>
    <definedName name="_xlnm.Criteria" localSheetId="10">'DỆT MAY'!#REF!</definedName>
    <definedName name="_xlnm.Criteria" localSheetId="14">'HÓA CHẤT -NHỰA'!#REF!</definedName>
    <definedName name="_xlnm.Criteria" localSheetId="21">'KCN - XÂY DỰNG - ĐTC'!#REF!</definedName>
    <definedName name="_xlnm.Criteria" localSheetId="17">'KHAI KHOÁNG - TNCB'!#REF!</definedName>
    <definedName name="_xlnm.Criteria" localSheetId="25">LIST_COMPANY!$J$22</definedName>
    <definedName name="_xlnm.Criteria" localSheetId="12">'NĂNG LƯỢNG - TB ĐIỆN'!#REF!</definedName>
    <definedName name="_xlnm.Criteria" localSheetId="4">'NGÂN HÀNG'!#REF!</definedName>
    <definedName name="_xlnm.Criteria" localSheetId="11">THÉP!#REF!</definedName>
    <definedName name="_xlnm.Criteria" localSheetId="18">'THỰC PHẨM-THỦY SẢN'!#REF!</definedName>
    <definedName name="_xlnm.Criteria" localSheetId="19">'VẬN TẢI'!#REF!</definedName>
    <definedName name="_xlnm.Criteria" localSheetId="20">'VLXD-NỘI THẤT'!#REF!</definedName>
    <definedName name="_xlnm.Criteria" localSheetId="15">'Y TẾ - DƯỢC'!#REF!</definedName>
    <definedName name="_xlnm.Extract" localSheetId="6">' DẦU -KHÍ ĐỐT'!$G$19:$H$19</definedName>
    <definedName name="_xlnm.Extract" localSheetId="9">'BÁN LẺ'!$G$19:$H$19</definedName>
    <definedName name="_xlnm.Extract" localSheetId="8">'BẢO HIỂM - DV TÀI CHÍNH'!$G$19:$H$19</definedName>
    <definedName name="_xlnm.Extract" localSheetId="16">BĐS!$G$19:$H$19</definedName>
    <definedName name="_xlnm.Extract" localSheetId="7">'CÔNG NGHỆ'!$G$19:$H$19</definedName>
    <definedName name="_xlnm.Extract" localSheetId="13">'CÔNG NGHIỆP'!$G$19:$H$19</definedName>
    <definedName name="_xlnm.Extract" localSheetId="5">'CHỨNG KHOÁN'!$H$19:$I$19</definedName>
    <definedName name="_xlnm.Extract" localSheetId="10">'DỆT MAY'!$G$19:$H$19</definedName>
    <definedName name="_xlnm.Extract" localSheetId="14">'HÓA CHẤT -NHỰA'!$G$19:$H$19</definedName>
    <definedName name="_xlnm.Extract" localSheetId="21">'KCN - XÂY DỰNG - ĐTC'!$G$19:$H$19</definedName>
    <definedName name="_xlnm.Extract" localSheetId="17">'KHAI KHOÁNG - TNCB'!$G$19:$H$19</definedName>
    <definedName name="_xlnm.Extract" localSheetId="12">'NĂNG LƯỢNG - TB ĐIỆN'!$G$19:$H$19</definedName>
    <definedName name="_xlnm.Extract" localSheetId="4">'NGÂN HÀNG'!$H$19:$I$19</definedName>
    <definedName name="_xlnm.Extract" localSheetId="11">THÉP!$G$19:$H$19</definedName>
    <definedName name="_xlnm.Extract" localSheetId="18">'THỰC PHẨM-THỦY SẢN'!$G$19:$H$19</definedName>
    <definedName name="_xlnm.Extract" localSheetId="19">'VẬN TẢI'!$G$19:$H$19</definedName>
    <definedName name="_xlnm.Extract" localSheetId="20">'VLXD-NỘI THẤT'!$G$19:$H$19</definedName>
    <definedName name="_xlnm.Extract" localSheetId="15">'Y TẾ - DƯỢC'!$G$19:$H$19</definedName>
    <definedName name="_xlnm.Print_Area" localSheetId="6">' DẦU -KHÍ ĐỐT'!$A$1:$P$22</definedName>
    <definedName name="_xlnm.Print_Area" localSheetId="9">'BÁN LẺ'!$A$1:$P$21</definedName>
    <definedName name="_xlnm.Print_Area" localSheetId="8">'BẢO HIỂM - DV TÀI CHÍNH'!$A$1:$P$24</definedName>
    <definedName name="_xlnm.Print_Area" localSheetId="16">BĐS!$A$1:$P$29</definedName>
    <definedName name="_xlnm.Print_Area" localSheetId="7">'CÔNG NGHỆ'!$A$1:$P$25</definedName>
    <definedName name="_xlnm.Print_Area" localSheetId="13">'CÔNG NGHIỆP'!$A$1:$P$26</definedName>
    <definedName name="_xlnm.Print_Area" localSheetId="5">'CHỨNG KHOÁN'!$A$1:$P$35</definedName>
    <definedName name="_xlnm.Print_Area" localSheetId="10">'DỆT MAY'!$A$1:$P$21</definedName>
    <definedName name="_xlnm.Print_Area" localSheetId="14">'HÓA CHẤT -NHỰA'!$A$1:$P$25</definedName>
    <definedName name="_xlnm.Print_Area" localSheetId="21">'KCN - XÂY DỰNG - ĐTC'!$A$1:$P$31</definedName>
    <definedName name="_xlnm.Print_Area" localSheetId="17">'KHAI KHOÁNG - TNCB'!$A$1:$P$22</definedName>
    <definedName name="_xlnm.Print_Area" localSheetId="12">'NĂNG LƯỢNG - TB ĐIỆN'!$A$1:$P$28</definedName>
    <definedName name="_xlnm.Print_Area" localSheetId="4">'NGÂN HÀNG'!$A$1:$P$37</definedName>
    <definedName name="_xlnm.Print_Area" localSheetId="11">THÉP!$A$1:$P$25</definedName>
    <definedName name="_xlnm.Print_Area" localSheetId="18">'THỰC PHẨM-THỦY SẢN'!$A$1:$P$23</definedName>
    <definedName name="_xlnm.Print_Area" localSheetId="19">'VẬN TẢI'!$A$1:$P$24</definedName>
    <definedName name="_xlnm.Print_Area" localSheetId="20">'VLXD-NỘI THẤT'!$A$1:$P$22</definedName>
    <definedName name="_xlnm.Print_Area" localSheetId="15">'Y TẾ - DƯỢC'!$A$1:$P$26</definedName>
  </definedNames>
  <calcPr calcId="191029"/>
  <pivotCaches>
    <pivotCache cacheId="22" r:id="rId32"/>
    <pivotCache cacheId="26" r:id="rId33"/>
    <pivotCache cacheId="30" r:id="rId34"/>
    <pivotCache cacheId="34" r:id="rId35"/>
    <pivotCache cacheId="38" r:id="rId36"/>
    <pivotCache cacheId="42" r:id="rId37"/>
    <pivotCache cacheId="46" r:id="rId38"/>
    <pivotCache cacheId="50" r:id="rId39"/>
    <pivotCache cacheId="54" r:id="rId40"/>
    <pivotCache cacheId="58" r:id="rId41"/>
    <pivotCache cacheId="62" r:id="rId42"/>
    <pivotCache cacheId="66" r:id="rId43"/>
    <pivotCache cacheId="70" r:id="rId44"/>
    <pivotCache cacheId="74" r:id="rId45"/>
    <pivotCache cacheId="78" r:id="rId46"/>
    <pivotCache cacheId="82" r:id="rId47"/>
    <pivotCache cacheId="86" r:id="rId48"/>
    <pivotCache cacheId="90" r:id="rId49"/>
    <pivotCache cacheId="94" r:id="rId50"/>
  </pivotCaches>
  <extLst>
    <ext xmlns:x14="http://schemas.microsoft.com/office/spreadsheetml/2009/9/main" uri="{8193D73E-4604-4355-AFF4-8A2333D13BE4}">
      <x14:definedNames>
        <x14:definedName name="baocaonh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W_info">
          <x14:argumentDescriptions count="1">
            <x14:argumentDescription index="0">Positional argument 1</x14:argumentDescription>
          </x14:argumentDescriptions>
        </x14:definedName>
        <x14:definedName name="chuyen_ngay">
          <x14:argumentDescriptions count="1">
            <x14:argumentDescription index="0">Positional argument 1</x14:argumentDescription>
          </x14:argumentDescriptions>
        </x14:definedName>
        <x14:definedName name="chuyen_ngay_21">
          <x14:argumentDescriptions count="1">
            <x14:argumentDescription index="0">Positional argument 1</x14:argumentDescription>
          </x14:argumentDescriptions>
        </x14:definedName>
        <x14:definedName name="chuyen_ngay_9">
          <x14:argumentDescriptions count="1">
            <x14:argumentDescription index="0">Positional argument 1</x14:argumentDescription>
          </x14:argumentDescriptions>
        </x14:definedName>
        <x14:definedName name="Date_auto">
          <x14:argumentDescriptions count="1">
            <x14:argumentDescription index="0">Positional argument 1</x14:argumentDescription>
          </x14:argumentDescriptions>
        </x14:definedName>
        <x14:definedName name="event_price_cp68">
          <x14:argumentDescriptions count="1">
            <x14:argumentDescription index="0">Positional argument 1</x14:argumentDescription>
          </x14:argumentDescriptions>
        </x14:definedName>
        <x14:definedName name="exchange_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bla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data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info_cp">
          <x14:argumentDescriptions count="1">
            <x14:argumentDescription index="0">Positional argument 1</x14:argumentDescription>
          </x14:argumentDescriptions>
        </x14:definedName>
        <x14:definedName name="get_price_historical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ical_vn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CP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iao_dich_khoi_ngoai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noi_b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_cty_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dich_noibo">
          <x14:argumentDescriptions count="1">
            <x14:argumentDescription index="0">Positional argument 1</x14:argumentDescription>
          </x14:argumentDescriptions>
        </x14:definedName>
        <x14:definedName name="ham_tinh_BD_ve_chart_vn30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mportsto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fo_company">
          <x14:argumentDescriptions count="1">
            <x14:argumentDescription index="0">Positional argument 1</x14:argumentDescription>
          </x14:argumentDescriptions>
        </x14:definedName>
        <x14:definedName name="key_id">
          <x14:argumentDescriptions count="1">
            <x14:argumentDescription index="0">Positional argument 1</x14:argumentDescription>
          </x14:argumentDescriptions>
        </x14:definedName>
        <x14:definedName name="key_id_excel">
          <x14:argumentDescriptions count="1">
            <x14:argumentDescription index="0">Positional argument 1</x14:argumentDescription>
          </x14:argumentDescriptions>
        </x14:definedName>
        <x14:definedName name="kich_hoat_id">
          <x14:argumentDescriptions count="1">
            <x14:argumentDescription index="0">Positional argument 1</x14:argumentDescription>
          </x14:argumentDescriptions>
        </x14:definedName>
        <x14:definedName name="kiemtra">
          <x14:argumentDescriptions count="1">
            <x14:argumentDescription index="0">Positional argument 1</x14:argumentDescription>
          </x14:argumentDescriptions>
        </x14:definedName>
        <x14:definedName name="laisuat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mentum_ck">
          <x14:argumentDescriptions count="1">
            <x14:argumentDescription index="0">Positional argument 1</x14:argumentDescription>
          </x14:argumentDescriptions>
        </x14:definedName>
        <x14:definedName name="repo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c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_finance_cp68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vn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lieu_banle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danso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FD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GDP_vietstoc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olieu_sanxuat_congnghie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tindung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XNK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B_bien_dong_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nh_du_lieu_cp">
          <x14:argumentDescriptions count="1">
            <x14:argumentDescription index="0">Positional argument 1</x14:argumentDescription>
          </x14:argumentDescriptions>
        </x14:definedName>
        <x14:definedName name="tinh_phan_tra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oday">
          <x14:argumentDescriptions count="1">
            <x14:argumentDescription index="0">Positional argument 1</x14:argumentDescription>
          </x14:argumentDescriptions>
        </x14:definedName>
        <x14:definedName name="tygia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oi_gian_CW">
          <x14:argumentDescriptions count="1">
            <x14:argumentDescription index="0">Positional argument 1</x14:argumentDescription>
          </x14:argumentDescriptions>
        </x14:definedName>
        <x14:definedName name="trung_binh_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oc_tin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_company">
          <x14:argumentDescriptions count="1">
            <x14:argumentDescription index="0">Positional argument 1</x14:argumentDescription>
          </x14:argumentDescriptions>
        </x14:definedName>
        <x14:definedName name="xul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Range 1" name="Range 1" connection="WorksheetConnection_Bang gia CP!$E:$G"/>
          <x15:modelTable id="Range" name="Range" connection="WorksheetConnection_Bang gia CP!$B$1:$G$3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7" l="1"/>
  <c r="A1" i="27"/>
  <c r="T32" i="51"/>
  <c r="S32" i="51"/>
  <c r="S31" i="51"/>
  <c r="U31" i="51" s="1"/>
  <c r="R32" i="51"/>
  <c r="R31" i="51"/>
  <c r="Q32" i="51"/>
  <c r="P32" i="51"/>
  <c r="X1" i="51"/>
  <c r="F2" i="22"/>
  <c r="E2" i="22"/>
  <c r="C2" i="22"/>
  <c r="F2" i="28"/>
  <c r="E2" i="28"/>
  <c r="C2" i="28"/>
  <c r="O1" i="51" a="1"/>
  <c r="O1" i="51" s="1"/>
  <c r="I12" i="62"/>
  <c r="F9" i="62" s="1"/>
  <c r="I14" i="62"/>
  <c r="G9" i="62" s="1"/>
  <c r="C12" i="62"/>
  <c r="C14" i="62"/>
  <c r="C9" i="62" s="1"/>
  <c r="I13" i="62"/>
  <c r="I15" i="62"/>
  <c r="G10" i="62" s="1"/>
  <c r="C13" i="62"/>
  <c r="C15" i="62"/>
  <c r="C10" i="62" s="1"/>
  <c r="A67" i="62"/>
  <c r="A68" i="62" s="1"/>
  <c r="A69" i="62" s="1"/>
  <c r="A70" i="62" s="1"/>
  <c r="A72" i="62"/>
  <c r="A73" i="62" s="1"/>
  <c r="A74" i="62" s="1"/>
  <c r="A75" i="62" s="1"/>
  <c r="A76" i="62" s="1"/>
  <c r="A77" i="62" s="1"/>
  <c r="A78" i="62" s="1"/>
  <c r="G78" i="62"/>
  <c r="H78" i="62"/>
  <c r="I78" i="62"/>
  <c r="J78" i="62"/>
  <c r="K78" i="62"/>
  <c r="N78" i="62"/>
  <c r="O78" i="62"/>
  <c r="P78" i="62"/>
  <c r="O71" i="62"/>
  <c r="O72" i="62"/>
  <c r="O73" i="62"/>
  <c r="O74" i="62"/>
  <c r="O75" i="62"/>
  <c r="O76" i="62"/>
  <c r="O77" i="62"/>
  <c r="O66" i="62"/>
  <c r="O67" i="62"/>
  <c r="O68" i="62"/>
  <c r="O69" i="62"/>
  <c r="O70" i="62"/>
  <c r="O65" i="62"/>
  <c r="N65" i="62"/>
  <c r="P65" i="62"/>
  <c r="O64" i="62"/>
  <c r="O63" i="62"/>
  <c r="H65" i="62"/>
  <c r="K65" i="62"/>
  <c r="G65" i="62"/>
  <c r="I65" i="62"/>
  <c r="O62" i="62"/>
  <c r="N63" i="62"/>
  <c r="N64" i="62"/>
  <c r="N66" i="62"/>
  <c r="N67" i="62"/>
  <c r="N68" i="62"/>
  <c r="N69" i="62"/>
  <c r="N70" i="62"/>
  <c r="N71" i="62"/>
  <c r="N72" i="62"/>
  <c r="N73" i="62"/>
  <c r="N74" i="62"/>
  <c r="N75" i="62"/>
  <c r="N76" i="62"/>
  <c r="N77" i="62"/>
  <c r="J26" i="62"/>
  <c r="J36" i="62"/>
  <c r="J39" i="62"/>
  <c r="J42" i="62"/>
  <c r="J19" i="62"/>
  <c r="J20" i="62"/>
  <c r="J21" i="62"/>
  <c r="J22" i="62"/>
  <c r="J23" i="62"/>
  <c r="J24" i="62"/>
  <c r="J25" i="62"/>
  <c r="J27" i="62"/>
  <c r="J28" i="62"/>
  <c r="J29" i="62"/>
  <c r="J30" i="62"/>
  <c r="J31" i="62"/>
  <c r="J32" i="62"/>
  <c r="J33" i="62"/>
  <c r="J34" i="62"/>
  <c r="J35" i="62"/>
  <c r="J37" i="62"/>
  <c r="J38" i="62"/>
  <c r="J40" i="62"/>
  <c r="J41" i="62"/>
  <c r="J43" i="62"/>
  <c r="J44" i="62"/>
  <c r="J45" i="62"/>
  <c r="J46" i="62"/>
  <c r="J47" i="62"/>
  <c r="J48" i="62"/>
  <c r="J49" i="62"/>
  <c r="J50" i="62"/>
  <c r="J51" i="62"/>
  <c r="J52" i="62"/>
  <c r="J53" i="62"/>
  <c r="J54" i="62"/>
  <c r="J55" i="62"/>
  <c r="J56" i="62"/>
  <c r="J57" i="62"/>
  <c r="J58" i="62"/>
  <c r="J59" i="62"/>
  <c r="J60" i="62"/>
  <c r="J61" i="62"/>
  <c r="J62" i="62"/>
  <c r="J63" i="62"/>
  <c r="J64" i="62"/>
  <c r="J66" i="62"/>
  <c r="J67" i="62"/>
  <c r="J68" i="62"/>
  <c r="J69" i="62"/>
  <c r="J70" i="62"/>
  <c r="J71" i="62"/>
  <c r="J72" i="62"/>
  <c r="J73" i="62"/>
  <c r="J74" i="62"/>
  <c r="J75" i="62"/>
  <c r="J76" i="62"/>
  <c r="J77" i="62"/>
  <c r="O61" i="62"/>
  <c r="O57" i="62"/>
  <c r="O58" i="62"/>
  <c r="O59" i="62"/>
  <c r="O60" i="62"/>
  <c r="O53" i="62"/>
  <c r="O54" i="62"/>
  <c r="O55" i="62"/>
  <c r="O56" i="62"/>
  <c r="O49" i="62"/>
  <c r="O50" i="62"/>
  <c r="O51" i="62"/>
  <c r="O52" i="62"/>
  <c r="O41" i="62"/>
  <c r="O42" i="62"/>
  <c r="O43" i="62"/>
  <c r="O44" i="62"/>
  <c r="O45" i="62"/>
  <c r="O46" i="62"/>
  <c r="O47" i="62"/>
  <c r="O48" i="62"/>
  <c r="O35" i="62"/>
  <c r="O36" i="62"/>
  <c r="O37" i="62"/>
  <c r="O38" i="62"/>
  <c r="O39" i="62"/>
  <c r="O40" i="62"/>
  <c r="O28" i="62"/>
  <c r="O29" i="62"/>
  <c r="O30" i="62"/>
  <c r="O31" i="62"/>
  <c r="O32" i="62"/>
  <c r="O33" i="62"/>
  <c r="O34" i="62"/>
  <c r="O25" i="62"/>
  <c r="O26" i="62"/>
  <c r="O27" i="62"/>
  <c r="O21" i="62"/>
  <c r="O22" i="62"/>
  <c r="O23" i="62"/>
  <c r="O24" i="62"/>
  <c r="O20" i="62"/>
  <c r="O19" i="62"/>
  <c r="N19" i="62"/>
  <c r="N20" i="62"/>
  <c r="N21" i="62"/>
  <c r="N22" i="62"/>
  <c r="N23" i="62"/>
  <c r="N24" i="62"/>
  <c r="N25" i="62"/>
  <c r="N26" i="62"/>
  <c r="N27" i="62"/>
  <c r="N28" i="62"/>
  <c r="N29" i="62"/>
  <c r="N30" i="62"/>
  <c r="N31" i="62"/>
  <c r="N32" i="62"/>
  <c r="N33" i="62"/>
  <c r="N34" i="62"/>
  <c r="N35" i="62"/>
  <c r="N36" i="62"/>
  <c r="N37" i="62"/>
  <c r="N38" i="62"/>
  <c r="N39" i="62"/>
  <c r="N40" i="62"/>
  <c r="N41" i="62"/>
  <c r="N42" i="62"/>
  <c r="N43" i="62"/>
  <c r="N44" i="62"/>
  <c r="N45" i="62"/>
  <c r="N46" i="62"/>
  <c r="N47" i="62"/>
  <c r="N48" i="62"/>
  <c r="N49" i="62"/>
  <c r="N50" i="62"/>
  <c r="N51" i="62"/>
  <c r="N52" i="62"/>
  <c r="N53" i="62"/>
  <c r="N54" i="62"/>
  <c r="N55" i="62"/>
  <c r="N56" i="62"/>
  <c r="N57" i="62"/>
  <c r="N58" i="62"/>
  <c r="N59" i="62"/>
  <c r="N60" i="62"/>
  <c r="N61" i="62"/>
  <c r="N62" i="62"/>
  <c r="K20" i="62"/>
  <c r="K21" i="62"/>
  <c r="K22" i="62"/>
  <c r="K23" i="62"/>
  <c r="K24" i="62"/>
  <c r="K25" i="62"/>
  <c r="K26" i="62"/>
  <c r="K27" i="62"/>
  <c r="K28" i="62"/>
  <c r="K29" i="62"/>
  <c r="K30" i="62"/>
  <c r="K31" i="62"/>
  <c r="K32" i="62"/>
  <c r="K33" i="62"/>
  <c r="K34" i="62"/>
  <c r="K35" i="62"/>
  <c r="K36" i="62"/>
  <c r="K37" i="62"/>
  <c r="K38" i="62"/>
  <c r="K39" i="62"/>
  <c r="K40" i="62"/>
  <c r="K41" i="62"/>
  <c r="K42" i="62"/>
  <c r="K43" i="62"/>
  <c r="K44" i="62"/>
  <c r="K45" i="62"/>
  <c r="K46" i="62"/>
  <c r="K47" i="62"/>
  <c r="K48" i="62"/>
  <c r="K49" i="62"/>
  <c r="K50" i="62"/>
  <c r="K51" i="62"/>
  <c r="K52" i="62"/>
  <c r="K53" i="62"/>
  <c r="K54" i="62"/>
  <c r="K55" i="62"/>
  <c r="K56" i="62"/>
  <c r="K57" i="62"/>
  <c r="K58" i="62"/>
  <c r="K59" i="62"/>
  <c r="K60" i="62"/>
  <c r="K61" i="62"/>
  <c r="K62" i="62"/>
  <c r="K63" i="62"/>
  <c r="K64" i="62"/>
  <c r="K66" i="62"/>
  <c r="K67" i="62"/>
  <c r="K68" i="62"/>
  <c r="K69" i="62"/>
  <c r="K70" i="62"/>
  <c r="K71" i="62"/>
  <c r="K72" i="62"/>
  <c r="K73" i="62"/>
  <c r="K74" i="62"/>
  <c r="K75" i="62"/>
  <c r="K76" i="62"/>
  <c r="K77" i="62"/>
  <c r="K19" i="62"/>
  <c r="P60" i="62"/>
  <c r="P61" i="62"/>
  <c r="P62" i="62"/>
  <c r="P59" i="62"/>
  <c r="G62" i="62"/>
  <c r="A64" i="62"/>
  <c r="A62" i="62"/>
  <c r="G60" i="62"/>
  <c r="H60" i="62"/>
  <c r="I60" i="62"/>
  <c r="G61" i="62"/>
  <c r="H61" i="62"/>
  <c r="I61" i="62"/>
  <c r="H62" i="62"/>
  <c r="I62" i="62"/>
  <c r="G63" i="62"/>
  <c r="H63" i="62"/>
  <c r="I63" i="62"/>
  <c r="G64" i="62"/>
  <c r="H64" i="62"/>
  <c r="I64" i="62"/>
  <c r="G66" i="62"/>
  <c r="H66" i="62"/>
  <c r="I66" i="62"/>
  <c r="G67" i="62"/>
  <c r="H67" i="62"/>
  <c r="I67" i="62"/>
  <c r="G68" i="62"/>
  <c r="H68" i="62"/>
  <c r="I68" i="62"/>
  <c r="G69" i="62"/>
  <c r="H69" i="62"/>
  <c r="I69" i="62"/>
  <c r="G70" i="62"/>
  <c r="H70" i="62"/>
  <c r="I70" i="62"/>
  <c r="G71" i="62"/>
  <c r="H71" i="62"/>
  <c r="I71" i="62"/>
  <c r="G72" i="62"/>
  <c r="H72" i="62"/>
  <c r="I72" i="62"/>
  <c r="G73" i="62"/>
  <c r="H73" i="62"/>
  <c r="I73" i="62"/>
  <c r="G74" i="62"/>
  <c r="H74" i="62"/>
  <c r="I74" i="62"/>
  <c r="G75" i="62"/>
  <c r="H75" i="62"/>
  <c r="I75" i="62"/>
  <c r="G76" i="62"/>
  <c r="H76" i="62"/>
  <c r="I76" i="62"/>
  <c r="G77" i="62"/>
  <c r="H77" i="62"/>
  <c r="I77" i="62"/>
  <c r="I59" i="62"/>
  <c r="H59" i="62"/>
  <c r="G59" i="62"/>
  <c r="R2" i="51" a="1"/>
  <c r="R2" i="51" s="1"/>
  <c r="R1" i="51" a="1"/>
  <c r="R1" i="51" s="1"/>
  <c r="I1" i="27"/>
  <c r="H1" i="27" s="1"/>
  <c r="R3" i="38"/>
  <c r="E1" i="57" s="1"/>
  <c r="Q31" i="51"/>
  <c r="P31" i="51"/>
  <c r="P30" i="51"/>
  <c r="C2" i="29"/>
  <c r="F2" i="29"/>
  <c r="E2" i="29"/>
  <c r="N18" i="38"/>
  <c r="N17" i="38"/>
  <c r="N16" i="38"/>
  <c r="J1" i="38"/>
  <c r="A1" i="38"/>
  <c r="P77" i="62"/>
  <c r="P76" i="62"/>
  <c r="P75" i="62"/>
  <c r="P74" i="62"/>
  <c r="P73" i="62"/>
  <c r="P72" i="62"/>
  <c r="P71" i="62"/>
  <c r="P70" i="62"/>
  <c r="P69" i="62"/>
  <c r="P68" i="62"/>
  <c r="P67" i="62"/>
  <c r="P66" i="62"/>
  <c r="P64" i="62"/>
  <c r="P63" i="62"/>
  <c r="C43" i="39" a="1"/>
  <c r="C36" i="58" a="1"/>
  <c r="D32" i="40" a="1"/>
  <c r="C30" i="43" a="1"/>
  <c r="C36" i="46" a="1"/>
  <c r="C36" i="60" a="1"/>
  <c r="C29" i="52" a="1"/>
  <c r="D21" i="36" a="1"/>
  <c r="C41" i="46" a="1"/>
  <c r="C64" i="39" a="1"/>
  <c r="C38" i="46" a="1"/>
  <c r="D28" i="36" a="1"/>
  <c r="C26" i="49" a="1"/>
  <c r="D20" i="36" a="1"/>
  <c r="C35" i="46" a="1"/>
  <c r="A4" i="28" a="1"/>
  <c r="D37" i="36" a="1"/>
  <c r="C23" i="47" a="1"/>
  <c r="C23" i="46" a="1"/>
  <c r="F39" i="38" a="1"/>
  <c r="C57" i="39" a="1"/>
  <c r="C27" i="45" a="1"/>
  <c r="C20" i="42" a="1"/>
  <c r="C22" i="58" a="1"/>
  <c r="C30" i="47" a="1"/>
  <c r="C21" i="60" a="1"/>
  <c r="C35" i="44" a="1"/>
  <c r="C24" i="44" a="1"/>
  <c r="C21" i="42" a="1"/>
  <c r="C63" i="39" a="1"/>
  <c r="C33" i="46" a="1"/>
  <c r="C47" i="46" a="1"/>
  <c r="C21" i="39" a="1"/>
  <c r="C22" i="57" a="1"/>
  <c r="D33" i="40" a="1"/>
  <c r="C42" i="44" a="1"/>
  <c r="C25" i="52" a="1"/>
  <c r="C27" i="60" a="1"/>
  <c r="C31" i="52" a="1"/>
  <c r="C30" i="39" a="1"/>
  <c r="C20" i="44" a="1"/>
  <c r="C25" i="54" a="1"/>
  <c r="C30" i="58" a="1"/>
  <c r="D29" i="40" a="1"/>
  <c r="C29" i="42" a="1"/>
  <c r="C20" i="54" a="1"/>
  <c r="I36" i="51" a="1"/>
  <c r="C34" i="44" a="1"/>
  <c r="C24" i="48" a="1"/>
  <c r="C26" i="43" a="1"/>
  <c r="D23" i="40" a="1"/>
  <c r="C44" i="39" a="1"/>
  <c r="C34" i="49" a="1"/>
  <c r="C24" i="49" a="1"/>
  <c r="F51" i="38" a="1"/>
  <c r="C33" i="43" a="1"/>
  <c r="C29" i="39" a="1"/>
  <c r="C27" i="58" a="1"/>
  <c r="C55" i="39" a="1"/>
  <c r="C31" i="44" a="1"/>
  <c r="C20" i="52" a="1"/>
  <c r="C28" i="49" a="1"/>
  <c r="C27" i="43" a="1"/>
  <c r="C23" i="43" a="1"/>
  <c r="F31" i="38" a="1"/>
  <c r="C23" i="48" a="1"/>
  <c r="C34" i="60" a="1"/>
  <c r="C22" i="48" a="1"/>
  <c r="C20" i="49" a="1"/>
  <c r="C34" i="58" a="1"/>
  <c r="C33" i="50" a="1"/>
  <c r="C35" i="49" a="1"/>
  <c r="C29" i="47" a="1"/>
  <c r="C25" i="44" a="1"/>
  <c r="C46" i="44" a="1"/>
  <c r="D34" i="36" a="1"/>
  <c r="C61" i="39" a="1"/>
  <c r="F29" i="38" a="1"/>
  <c r="C36" i="39" a="1"/>
  <c r="C26" i="48" a="1"/>
  <c r="C20" i="47" a="1"/>
  <c r="C24" i="42" a="1"/>
  <c r="C24" i="52" a="1"/>
  <c r="C26" i="44" a="1"/>
  <c r="C21" i="49" a="1"/>
  <c r="C27" i="39" a="1"/>
  <c r="C24" i="50" a="1"/>
  <c r="C38" i="49" a="1"/>
  <c r="C51" i="39" a="1"/>
  <c r="O1" i="34" a="1"/>
  <c r="C20" i="46" a="1"/>
  <c r="F38" i="38" a="1"/>
  <c r="C32" i="39" a="1"/>
  <c r="F44" i="38" a="1"/>
  <c r="C22" i="44" a="1"/>
  <c r="C27" i="50" a="1"/>
  <c r="C22" i="53" a="1"/>
  <c r="C21" i="48" a="1"/>
  <c r="C23" i="52" a="1"/>
  <c r="F30" i="38" a="1"/>
  <c r="C22" i="49" a="1"/>
  <c r="C30" i="46" a="1"/>
  <c r="F42" i="38" a="1"/>
  <c r="C45" i="44" a="1"/>
  <c r="C30" i="49" a="1"/>
  <c r="C20" i="50" a="1"/>
  <c r="C52" i="39" a="1"/>
  <c r="C25" i="49" a="1"/>
  <c r="C35" i="39" a="1"/>
  <c r="C37" i="39" a="1"/>
  <c r="D20" i="40" a="1"/>
  <c r="C23" i="57" a="1"/>
  <c r="C27" i="47" a="1"/>
  <c r="C25" i="42" a="1"/>
  <c r="C30" i="60" a="1"/>
  <c r="D27" i="40" a="1"/>
  <c r="C24" i="47" a="1"/>
  <c r="C35" i="60" a="1"/>
  <c r="C23" i="45" a="1"/>
  <c r="C25" i="58" a="1"/>
  <c r="F26" i="38" a="1"/>
  <c r="C38" i="60" a="1"/>
  <c r="C30" i="42" a="1"/>
  <c r="C36" i="49" a="1"/>
  <c r="F36" i="38" a="1"/>
  <c r="C26" i="54" a="1"/>
  <c r="C31" i="60" a="1"/>
  <c r="C29" i="43" a="1"/>
  <c r="A4" i="22" a="1"/>
  <c r="F24" i="38" a="1"/>
  <c r="D36" i="40" a="1"/>
  <c r="D35" i="40" a="1"/>
  <c r="C25" i="39" a="1"/>
  <c r="D31" i="40" a="1"/>
  <c r="C23" i="53" a="1"/>
  <c r="D22" i="36" a="1"/>
  <c r="C23" i="44" a="1"/>
  <c r="C33" i="58" a="1"/>
  <c r="C27" i="54" a="1"/>
  <c r="C37" i="58" a="1"/>
  <c r="C39" i="58" a="1"/>
  <c r="C29" i="49" a="1"/>
  <c r="C58" i="39" a="1"/>
  <c r="C21" i="58" a="1"/>
  <c r="D31" i="36" a="1"/>
  <c r="C34" i="43" a="1"/>
  <c r="C26" i="46" a="1"/>
  <c r="C29" i="57" a="1"/>
  <c r="C47" i="44" a="1"/>
  <c r="C21" i="52" a="1"/>
  <c r="C21" i="46" a="1"/>
  <c r="C31" i="42" a="1"/>
  <c r="C24" i="45" a="1"/>
  <c r="C40" i="49" a="1"/>
  <c r="D30" i="36" a="1"/>
  <c r="C21" i="43" a="1"/>
  <c r="C48" i="46" a="1"/>
  <c r="C26" i="42" a="1"/>
  <c r="D22" i="40" a="1"/>
  <c r="C20" i="53" a="1"/>
  <c r="C33" i="44" a="1"/>
  <c r="N4" i="38" a="1"/>
  <c r="C21" i="54" a="1"/>
  <c r="C41" i="39" a="1"/>
  <c r="C31" i="43" a="1"/>
  <c r="A4" i="29" a="1"/>
  <c r="C20" i="48" a="1"/>
  <c r="C26" i="58" a="1"/>
  <c r="C28" i="39" a="1"/>
  <c r="C25" i="47" a="1"/>
  <c r="C60" i="39" a="1"/>
  <c r="C24" i="46" a="1"/>
  <c r="C22" i="42" a="1"/>
  <c r="C28" i="46" a="1"/>
  <c r="D25" i="36" a="1"/>
  <c r="C48" i="39" a="1"/>
  <c r="C39" i="46" a="1"/>
  <c r="R13" i="38" a="1"/>
  <c r="C30" i="50" a="1"/>
  <c r="C25" i="53" a="1"/>
  <c r="C32" i="43" a="1"/>
  <c r="C24" i="54" a="1"/>
  <c r="C30" i="57" a="1"/>
  <c r="C29" i="46" a="1"/>
  <c r="C40" i="44" a="1"/>
  <c r="C32" i="46" a="1"/>
  <c r="C56" i="39" a="1"/>
  <c r="C31" i="58" a="1"/>
  <c r="C34" i="39" a="1"/>
  <c r="C23" i="54" a="1"/>
  <c r="C20" i="43" a="1"/>
  <c r="F37" i="38" a="1"/>
  <c r="C38" i="39" a="1"/>
  <c r="C25" i="43" a="1"/>
  <c r="C22" i="50" a="1"/>
  <c r="F32" i="38" a="1"/>
  <c r="C28" i="45" a="1"/>
  <c r="D24" i="40" a="1"/>
  <c r="D25" i="40" a="1"/>
  <c r="C40" i="46" a="1"/>
  <c r="C62" i="39" a="1"/>
  <c r="C31" i="39" a="1"/>
  <c r="F43" i="38" a="1"/>
  <c r="C33" i="60" a="1"/>
  <c r="C27" i="53" a="1"/>
  <c r="C24" i="53" a="1"/>
  <c r="D30" i="40" a="1"/>
  <c r="C38" i="58" a="1"/>
  <c r="C46" i="39" a="1"/>
  <c r="C23" i="50" a="1"/>
  <c r="C42" i="39" a="1"/>
  <c r="C37" i="44" a="1"/>
  <c r="D29" i="36" a="1"/>
  <c r="C27" i="46" a="1"/>
  <c r="C30" i="44" a="1"/>
  <c r="C26" i="57" a="1"/>
  <c r="D34" i="40" a="1"/>
  <c r="C23" i="60" a="1"/>
  <c r="D32" i="36" a="1"/>
  <c r="C26" i="45" a="1"/>
  <c r="C24" i="43" a="1"/>
  <c r="C28" i="42" a="1"/>
  <c r="C23" i="42" a="1"/>
  <c r="C20" i="45" a="1"/>
  <c r="C32" i="58" a="1"/>
  <c r="F46" i="38" a="1"/>
  <c r="C40" i="39" a="1"/>
  <c r="C45" i="39" a="1"/>
  <c r="C39" i="39" a="1"/>
  <c r="C27" i="44" a="1"/>
  <c r="C26" i="50" a="1"/>
  <c r="C22" i="46" a="1"/>
  <c r="C20" i="39" a="1"/>
  <c r="C21" i="44" a="1"/>
  <c r="C28" i="50" a="1"/>
  <c r="C43" i="46" a="1"/>
  <c r="C27" i="49" a="1"/>
  <c r="C32" i="50" a="1"/>
  <c r="F27" i="38" a="1"/>
  <c r="C45" i="46" a="1"/>
  <c r="C32" i="49" a="1"/>
  <c r="C21" i="50" a="1"/>
  <c r="C27" i="52" a="1"/>
  <c r="C39" i="49" a="1"/>
  <c r="C27" i="57" a="1"/>
  <c r="D33" i="36" a="1"/>
  <c r="C22" i="60" a="1"/>
  <c r="C34" i="46" a="1"/>
  <c r="F49" i="38" a="1"/>
  <c r="C44" i="44" a="1"/>
  <c r="C28" i="60" a="1"/>
  <c r="C38" i="44" a="1"/>
  <c r="C41" i="44" a="1"/>
  <c r="C35" i="58" a="1"/>
  <c r="F48" i="38" a="1"/>
  <c r="C25" i="45" a="1"/>
  <c r="C49" i="39" a="1"/>
  <c r="D26" i="36" a="1"/>
  <c r="C23" i="49" a="1"/>
  <c r="C26" i="52" a="1"/>
  <c r="F50" i="38" a="1"/>
  <c r="C27" i="42" a="1"/>
  <c r="C28" i="44" a="1"/>
  <c r="C28" i="47" a="1"/>
  <c r="C54" i="39" a="1"/>
  <c r="C37" i="46" a="1"/>
  <c r="C33" i="39" a="1"/>
  <c r="C21" i="47" a="1"/>
  <c r="C22" i="47" a="1"/>
  <c r="C43" i="44" a="1"/>
  <c r="F45" i="38" a="1"/>
  <c r="C24" i="58" a="1"/>
  <c r="D36" i="36" a="1"/>
  <c r="C44" i="46" a="1"/>
  <c r="C31" i="47" a="1"/>
  <c r="D27" i="36" a="1"/>
  <c r="C26" i="39" a="1"/>
  <c r="D24" i="36" a="1"/>
  <c r="C49" i="46" a="1"/>
  <c r="F25" i="38" a="1"/>
  <c r="C27" i="48" a="1"/>
  <c r="C21" i="57" a="1"/>
  <c r="C22" i="39" a="1"/>
  <c r="C24" i="57" a="1"/>
  <c r="F52" i="38" a="1"/>
  <c r="C33" i="49" a="1"/>
  <c r="C31" i="46" a="1"/>
  <c r="F35" i="38" a="1"/>
  <c r="C23" i="58" a="1"/>
  <c r="F40" i="38" a="1"/>
  <c r="C24" i="39" a="1"/>
  <c r="C21" i="53" a="1"/>
  <c r="C42" i="46" a="1"/>
  <c r="C32" i="60" a="1"/>
  <c r="D26" i="40" a="1"/>
  <c r="C47" i="39" a="1"/>
  <c r="F33" i="38" a="1"/>
  <c r="C26" i="47" a="1"/>
  <c r="F34" i="38" a="1"/>
  <c r="C22" i="43" a="1"/>
  <c r="D21" i="40" a="1"/>
  <c r="C22" i="45" a="1"/>
  <c r="F28" i="38" a="1"/>
  <c r="C29" i="44" a="1"/>
  <c r="C39" i="44" a="1"/>
  <c r="C28" i="52" a="1"/>
  <c r="C26" i="53" a="1"/>
  <c r="C29" i="60" a="1"/>
  <c r="D28" i="40" a="1"/>
  <c r="C37" i="49" a="1"/>
  <c r="C32" i="44" a="1"/>
  <c r="C31" i="50" a="1"/>
  <c r="C36" i="44" a="1"/>
  <c r="C31" i="49" a="1"/>
  <c r="C20" i="60" a="1"/>
  <c r="C25" i="60" a="1"/>
  <c r="C26" i="60" a="1"/>
  <c r="A58" i="51" a="1"/>
  <c r="C23" i="39" a="1"/>
  <c r="C25" i="48" a="1"/>
  <c r="C59" i="39" a="1"/>
  <c r="C20" i="57" a="1"/>
  <c r="F41" i="38" a="1"/>
  <c r="C37" i="60" a="1"/>
  <c r="C29" i="50" a="1"/>
  <c r="F53" i="38" a="1"/>
  <c r="C29" i="58" a="1"/>
  <c r="C50" i="46" a="1"/>
  <c r="C25" i="46" a="1"/>
  <c r="C24" i="60" a="1"/>
  <c r="C22" i="52" a="1"/>
  <c r="C28" i="58" a="1"/>
  <c r="C25" i="57" a="1"/>
  <c r="F47" i="38" a="1"/>
  <c r="C28" i="57" a="1"/>
  <c r="C46" i="46" a="1"/>
  <c r="C28" i="43" a="1"/>
  <c r="C53" i="39" a="1"/>
  <c r="D23" i="36" a="1"/>
  <c r="C21" i="45" a="1"/>
  <c r="C50" i="39" a="1"/>
  <c r="C30" i="52" a="1"/>
  <c r="D35" i="36" a="1"/>
  <c r="C25" i="50" a="1"/>
  <c r="C20" i="58" a="1"/>
  <c r="C22" i="54" a="1"/>
  <c r="A1" i="34" a="1"/>
  <c r="D34" i="36" l="1"/>
  <c r="D28" i="36"/>
  <c r="D35" i="36"/>
  <c r="D32" i="36"/>
  <c r="D29" i="36"/>
  <c r="D26" i="36"/>
  <c r="D23" i="36"/>
  <c r="D25" i="36"/>
  <c r="D37" i="36"/>
  <c r="D31" i="36"/>
  <c r="D22" i="36"/>
  <c r="D36" i="36"/>
  <c r="D33" i="36"/>
  <c r="D30" i="36"/>
  <c r="D27" i="36"/>
  <c r="D24" i="36"/>
  <c r="D21" i="36"/>
  <c r="D20" i="36"/>
  <c r="U32" i="51"/>
  <c r="J3" i="22"/>
  <c r="I9" i="27" s="1"/>
  <c r="A4" i="29"/>
  <c r="A4" i="22"/>
  <c r="F51" i="38"/>
  <c r="F48" i="38"/>
  <c r="F45" i="38"/>
  <c r="F42" i="38"/>
  <c r="F39" i="38"/>
  <c r="F36" i="38"/>
  <c r="F33" i="38"/>
  <c r="F30" i="38"/>
  <c r="F27" i="38"/>
  <c r="F53" i="38"/>
  <c r="F47" i="38"/>
  <c r="F41" i="38"/>
  <c r="F35" i="38"/>
  <c r="F26" i="38"/>
  <c r="F32" i="38"/>
  <c r="F50" i="38"/>
  <c r="F44" i="38"/>
  <c r="F38" i="38"/>
  <c r="F29" i="38"/>
  <c r="F52" i="38"/>
  <c r="F49" i="38"/>
  <c r="F46" i="38"/>
  <c r="F43" i="38"/>
  <c r="F40" i="38"/>
  <c r="F37" i="38"/>
  <c r="F34" i="38"/>
  <c r="F31" i="38"/>
  <c r="F28" i="38"/>
  <c r="F25" i="38"/>
  <c r="F24" i="38"/>
  <c r="C20" i="45"/>
  <c r="O50" i="46"/>
  <c r="C22" i="45"/>
  <c r="O26" i="60"/>
  <c r="P26" i="60" s="1"/>
  <c r="O37" i="60"/>
  <c r="P37" i="60" s="1"/>
  <c r="O34" i="60"/>
  <c r="O31" i="60"/>
  <c r="P31" i="60" s="1"/>
  <c r="O29" i="60"/>
  <c r="O36" i="60"/>
  <c r="O33" i="60"/>
  <c r="P33" i="60" s="1"/>
  <c r="O30" i="60"/>
  <c r="O28" i="60"/>
  <c r="P28" i="60" s="1"/>
  <c r="O38" i="60"/>
  <c r="O35" i="60"/>
  <c r="P35" i="60" s="1"/>
  <c r="O32" i="60"/>
  <c r="O27" i="60"/>
  <c r="Q37" i="60"/>
  <c r="C20" i="60"/>
  <c r="C24" i="60"/>
  <c r="C37" i="60"/>
  <c r="C34" i="60"/>
  <c r="C31" i="60"/>
  <c r="C29" i="60"/>
  <c r="C36" i="60"/>
  <c r="C33" i="60"/>
  <c r="C30" i="60"/>
  <c r="C28" i="60"/>
  <c r="C38" i="60"/>
  <c r="C35" i="60"/>
  <c r="C32" i="60"/>
  <c r="C27" i="60"/>
  <c r="C26" i="60"/>
  <c r="C50" i="46"/>
  <c r="C26" i="46"/>
  <c r="A4" i="28"/>
  <c r="K15" i="62"/>
  <c r="E13" i="62"/>
  <c r="B9" i="62"/>
  <c r="D9" i="62" s="1"/>
  <c r="B28" i="27"/>
  <c r="P3" i="51"/>
  <c r="P2" i="51"/>
  <c r="F10" i="62"/>
  <c r="H10" i="62" s="1"/>
  <c r="H9" i="62"/>
  <c r="Q3" i="51"/>
  <c r="Q2" i="51"/>
  <c r="K13" i="62"/>
  <c r="P1" i="51"/>
  <c r="W1" i="51"/>
  <c r="O23" i="44"/>
  <c r="O40" i="39"/>
  <c r="O21" i="42"/>
  <c r="O35" i="39"/>
  <c r="O47" i="44"/>
  <c r="P47" i="44" s="1"/>
  <c r="O61" i="39"/>
  <c r="O29" i="39"/>
  <c r="O27" i="42"/>
  <c r="O35" i="44"/>
  <c r="P35" i="44" s="1"/>
  <c r="N29" i="51"/>
  <c r="O29" i="51" s="1"/>
  <c r="L35" i="51"/>
  <c r="J25" i="51"/>
  <c r="J33" i="51"/>
  <c r="N33" i="51"/>
  <c r="O33" i="51" s="1"/>
  <c r="J29" i="51"/>
  <c r="M24" i="51"/>
  <c r="N35" i="51"/>
  <c r="O35" i="51" s="1"/>
  <c r="L29" i="51"/>
  <c r="N25" i="51"/>
  <c r="O25" i="51" s="1"/>
  <c r="N31" i="51"/>
  <c r="O31" i="51" s="1"/>
  <c r="N32" i="51"/>
  <c r="O32" i="51" s="1"/>
  <c r="L24" i="51"/>
  <c r="N26" i="51"/>
  <c r="O26" i="51" s="1"/>
  <c r="M33" i="51"/>
  <c r="M28" i="51"/>
  <c r="J27" i="51"/>
  <c r="M34" i="51"/>
  <c r="J26" i="51"/>
  <c r="L30" i="51"/>
  <c r="L34" i="51"/>
  <c r="L26" i="51"/>
  <c r="J32" i="51"/>
  <c r="L31" i="51"/>
  <c r="M32" i="51"/>
  <c r="M29" i="51"/>
  <c r="N24" i="51"/>
  <c r="O24" i="51" s="1"/>
  <c r="L27" i="51"/>
  <c r="M35" i="51"/>
  <c r="L28" i="51"/>
  <c r="L33" i="51"/>
  <c r="M26" i="51"/>
  <c r="L32" i="51"/>
  <c r="J35" i="51"/>
  <c r="J23" i="51"/>
  <c r="N27" i="51"/>
  <c r="O27" i="51" s="1"/>
  <c r="J28" i="51"/>
  <c r="M31" i="51"/>
  <c r="M25" i="51"/>
  <c r="M27" i="51"/>
  <c r="L25" i="51"/>
  <c r="J24" i="51"/>
  <c r="N34" i="51"/>
  <c r="O34" i="51" s="1"/>
  <c r="N30" i="51"/>
  <c r="O30" i="51" s="1"/>
  <c r="J30" i="51"/>
  <c r="J31" i="51"/>
  <c r="N23" i="51"/>
  <c r="O23" i="51" s="1"/>
  <c r="M23" i="51"/>
  <c r="L23" i="51"/>
  <c r="M30" i="51"/>
  <c r="J34" i="51"/>
  <c r="N28" i="51"/>
  <c r="O28" i="51" s="1"/>
  <c r="O23" i="45"/>
  <c r="O41" i="44"/>
  <c r="O56" i="39"/>
  <c r="O27" i="47"/>
  <c r="Q27" i="47" s="1"/>
  <c r="O51" i="39"/>
  <c r="Q51" i="39" s="1"/>
  <c r="O29" i="44"/>
  <c r="O21" i="47"/>
  <c r="Q21" i="47" s="1"/>
  <c r="O46" i="39"/>
  <c r="P31" i="40"/>
  <c r="P25" i="40"/>
  <c r="Q25" i="40" s="1"/>
  <c r="P35" i="36"/>
  <c r="P30" i="36"/>
  <c r="Q30" i="36" s="1"/>
  <c r="P24" i="36"/>
  <c r="Q24" i="36" s="1"/>
  <c r="S53" i="38"/>
  <c r="S47" i="38"/>
  <c r="S34" i="38"/>
  <c r="S25" i="38"/>
  <c r="V25" i="38" s="1"/>
  <c r="O28" i="44"/>
  <c r="O60" i="39"/>
  <c r="P60" i="39" s="1"/>
  <c r="O45" i="39"/>
  <c r="O34" i="39"/>
  <c r="O28" i="39"/>
  <c r="P36" i="40"/>
  <c r="P24" i="40"/>
  <c r="P29" i="36"/>
  <c r="S52" i="38"/>
  <c r="S46" i="38"/>
  <c r="V46" i="38" s="1"/>
  <c r="S40" i="38"/>
  <c r="S33" i="38"/>
  <c r="U33" i="38" s="1"/>
  <c r="O28" i="43"/>
  <c r="P28" i="43" s="1"/>
  <c r="O20" i="43"/>
  <c r="P20" i="43" s="1"/>
  <c r="O20" i="49"/>
  <c r="Q20" i="49" s="1"/>
  <c r="O25" i="47"/>
  <c r="Q25" i="47" s="1"/>
  <c r="O20" i="39"/>
  <c r="P20" i="39" s="1"/>
  <c r="O55" i="39"/>
  <c r="O49" i="39"/>
  <c r="Q49" i="39" s="1"/>
  <c r="O44" i="39"/>
  <c r="Q44" i="39" s="1"/>
  <c r="O38" i="39"/>
  <c r="O33" i="39"/>
  <c r="Q33" i="39" s="1"/>
  <c r="O27" i="39"/>
  <c r="O22" i="39"/>
  <c r="Q22" i="39" s="1"/>
  <c r="P35" i="40"/>
  <c r="R35" i="40" s="1"/>
  <c r="P29" i="40"/>
  <c r="P33" i="36"/>
  <c r="P28" i="36"/>
  <c r="R28" i="36" s="1"/>
  <c r="P22" i="36"/>
  <c r="S51" i="38"/>
  <c r="U51" i="38" s="1"/>
  <c r="S45" i="38"/>
  <c r="U45" i="38" s="1"/>
  <c r="S39" i="38"/>
  <c r="U39" i="38" s="1"/>
  <c r="S31" i="38"/>
  <c r="O27" i="44"/>
  <c r="H40" i="27"/>
  <c r="F36" i="27"/>
  <c r="H36" i="27"/>
  <c r="C40" i="27"/>
  <c r="B36" i="27"/>
  <c r="B40" i="27"/>
  <c r="F40" i="27"/>
  <c r="D36" i="27"/>
  <c r="I40" i="27"/>
  <c r="E40" i="27"/>
  <c r="C36" i="27"/>
  <c r="C37" i="27" s="1"/>
  <c r="E36" i="27"/>
  <c r="G36" i="27"/>
  <c r="I36" i="27"/>
  <c r="D40" i="27"/>
  <c r="O20" i="53"/>
  <c r="P20" i="53" s="1"/>
  <c r="O22" i="48"/>
  <c r="P22" i="48" s="1"/>
  <c r="O44" i="44"/>
  <c r="P44" i="44" s="1"/>
  <c r="O38" i="44"/>
  <c r="P38" i="44" s="1"/>
  <c r="O32" i="44"/>
  <c r="P32" i="44" s="1"/>
  <c r="O26" i="44"/>
  <c r="O20" i="54"/>
  <c r="O24" i="47"/>
  <c r="P24" i="47" s="1"/>
  <c r="O30" i="42"/>
  <c r="O64" i="39"/>
  <c r="Q64" i="39" s="1"/>
  <c r="O54" i="39"/>
  <c r="O43" i="39"/>
  <c r="Q43" i="39" s="1"/>
  <c r="O26" i="39"/>
  <c r="Q26" i="39" s="1"/>
  <c r="P34" i="40"/>
  <c r="P28" i="40"/>
  <c r="R28" i="40" s="1"/>
  <c r="P20" i="36"/>
  <c r="Q20" i="36" s="1"/>
  <c r="P27" i="36"/>
  <c r="Q27" i="36" s="1"/>
  <c r="S50" i="38"/>
  <c r="S44" i="38"/>
  <c r="S38" i="38"/>
  <c r="U38" i="38" s="1"/>
  <c r="S30" i="38"/>
  <c r="U30" i="38" s="1"/>
  <c r="O20" i="45"/>
  <c r="O21" i="52"/>
  <c r="Q21" i="52" s="1"/>
  <c r="O43" i="44"/>
  <c r="P43" i="44" s="1"/>
  <c r="O37" i="44"/>
  <c r="O31" i="44"/>
  <c r="P31" i="44" s="1"/>
  <c r="O25" i="44"/>
  <c r="O22" i="58"/>
  <c r="Q22" i="58" s="1"/>
  <c r="O26" i="46"/>
  <c r="Q26" i="46" s="1"/>
  <c r="O29" i="42"/>
  <c r="P29" i="42" s="1"/>
  <c r="O23" i="42"/>
  <c r="O63" i="39"/>
  <c r="Q63" i="39" s="1"/>
  <c r="O58" i="39"/>
  <c r="O53" i="39"/>
  <c r="Q53" i="39" s="1"/>
  <c r="O47" i="39"/>
  <c r="P47" i="39" s="1"/>
  <c r="O42" i="39"/>
  <c r="P42" i="39" s="1"/>
  <c r="O37" i="39"/>
  <c r="Q37" i="39" s="1"/>
  <c r="O31" i="39"/>
  <c r="O25" i="39"/>
  <c r="T25" i="51"/>
  <c r="U25" i="51" s="1"/>
  <c r="T26" i="51"/>
  <c r="U26" i="51" s="1"/>
  <c r="T23" i="51"/>
  <c r="U23" i="51" s="1"/>
  <c r="R27" i="51"/>
  <c r="T28" i="51"/>
  <c r="U28" i="51" s="1"/>
  <c r="R25" i="51"/>
  <c r="S28" i="51"/>
  <c r="R23" i="51"/>
  <c r="T27" i="51"/>
  <c r="U27" i="51" s="1"/>
  <c r="S23" i="51"/>
  <c r="P24" i="51"/>
  <c r="P25" i="51"/>
  <c r="S26" i="51"/>
  <c r="R24" i="51"/>
  <c r="P23" i="51"/>
  <c r="R26" i="51"/>
  <c r="S25" i="51"/>
  <c r="P27" i="51"/>
  <c r="S27" i="51"/>
  <c r="T24" i="51"/>
  <c r="U24" i="51" s="1"/>
  <c r="S24" i="51"/>
  <c r="P26" i="51"/>
  <c r="P28" i="51"/>
  <c r="P33" i="40"/>
  <c r="P27" i="40"/>
  <c r="Q27" i="40" s="1"/>
  <c r="P37" i="36"/>
  <c r="P31" i="36"/>
  <c r="P26" i="36"/>
  <c r="R26" i="36" s="1"/>
  <c r="P21" i="36"/>
  <c r="Q21" i="36" s="1"/>
  <c r="S49" i="38"/>
  <c r="S43" i="38"/>
  <c r="U43" i="38" s="1"/>
  <c r="S37" i="38"/>
  <c r="T37" i="38" s="1"/>
  <c r="S28" i="38"/>
  <c r="V28" i="38" s="1"/>
  <c r="O20" i="48"/>
  <c r="Q20" i="48" s="1"/>
  <c r="O20" i="52"/>
  <c r="Q20" i="52" s="1"/>
  <c r="O24" i="44"/>
  <c r="Q24" i="44" s="1"/>
  <c r="O29" i="58"/>
  <c r="P29" i="58" s="1"/>
  <c r="O31" i="49"/>
  <c r="P31" i="49" s="1"/>
  <c r="O28" i="47"/>
  <c r="O22" i="47"/>
  <c r="O62" i="39"/>
  <c r="O52" i="39"/>
  <c r="O36" i="39"/>
  <c r="P36" i="39" s="1"/>
  <c r="O24" i="39"/>
  <c r="P24" i="39" s="1"/>
  <c r="P26" i="40"/>
  <c r="R26" i="40" s="1"/>
  <c r="P36" i="36"/>
  <c r="S24" i="38"/>
  <c r="V24" i="38" s="1"/>
  <c r="S42" i="38"/>
  <c r="S36" i="38"/>
  <c r="S27" i="38"/>
  <c r="U27" i="38" s="1"/>
  <c r="S32" i="38"/>
  <c r="S26" i="38"/>
  <c r="V26" i="38" s="1"/>
  <c r="P21" i="40"/>
  <c r="Q21" i="40" s="1"/>
  <c r="F4" i="27"/>
  <c r="F3" i="27"/>
  <c r="F6" i="27"/>
  <c r="S35" i="38"/>
  <c r="V35" i="38" s="1"/>
  <c r="S29" i="38"/>
  <c r="F20" i="27"/>
  <c r="H16" i="27"/>
  <c r="I30" i="27"/>
  <c r="D22" i="27"/>
  <c r="B22" i="27"/>
  <c r="I24" i="27"/>
  <c r="B30" i="27"/>
  <c r="C16" i="27"/>
  <c r="G22" i="27"/>
  <c r="G14" i="27"/>
  <c r="E24" i="27"/>
  <c r="B14" i="27"/>
  <c r="D20" i="27"/>
  <c r="G16" i="27"/>
  <c r="H17" i="27" s="1"/>
  <c r="H30" i="27"/>
  <c r="H22" i="27"/>
  <c r="F22" i="27"/>
  <c r="F24" i="27"/>
  <c r="H24" i="27"/>
  <c r="I22" i="27"/>
  <c r="C20" i="27"/>
  <c r="B20" i="27"/>
  <c r="D24" i="27"/>
  <c r="D30" i="27"/>
  <c r="G24" i="27"/>
  <c r="E20" i="27"/>
  <c r="B16" i="27"/>
  <c r="F30" i="27"/>
  <c r="C24" i="27"/>
  <c r="I14" i="27"/>
  <c r="G30" i="27"/>
  <c r="F14" i="27"/>
  <c r="D14" i="27"/>
  <c r="E14" i="27"/>
  <c r="G20" i="27"/>
  <c r="E16" i="27"/>
  <c r="E30" i="27"/>
  <c r="H14" i="27"/>
  <c r="H20" i="27"/>
  <c r="C14" i="27"/>
  <c r="B24" i="27"/>
  <c r="C25" i="27" s="1"/>
  <c r="C22" i="27"/>
  <c r="I20" i="27"/>
  <c r="F16" i="27"/>
  <c r="E22" i="27"/>
  <c r="D16" i="27"/>
  <c r="C30" i="27"/>
  <c r="I16" i="27"/>
  <c r="E1" i="36"/>
  <c r="E1" i="47"/>
  <c r="E1" i="48"/>
  <c r="L1" i="51"/>
  <c r="P51" i="39"/>
  <c r="P22" i="39"/>
  <c r="E1" i="53"/>
  <c r="E1" i="40"/>
  <c r="P33" i="39"/>
  <c r="T25" i="38"/>
  <c r="C23" i="44"/>
  <c r="C40" i="39"/>
  <c r="O31" i="52"/>
  <c r="P31" i="52" s="1"/>
  <c r="O30" i="49"/>
  <c r="Q30" i="49" s="1"/>
  <c r="C21" i="42"/>
  <c r="C35" i="39"/>
  <c r="C47" i="44"/>
  <c r="C61" i="39"/>
  <c r="C29" i="39"/>
  <c r="C27" i="42"/>
  <c r="C35" i="44"/>
  <c r="I36" i="51"/>
  <c r="C23" i="45"/>
  <c r="C41" i="44"/>
  <c r="C56" i="39"/>
  <c r="O20" i="58"/>
  <c r="Q20" i="58" s="1"/>
  <c r="C20" i="58"/>
  <c r="C27" i="47"/>
  <c r="C51" i="39"/>
  <c r="C29" i="44"/>
  <c r="C21" i="47"/>
  <c r="C46" i="39"/>
  <c r="D31" i="40"/>
  <c r="D25" i="40"/>
  <c r="F5" i="27"/>
  <c r="G4" i="27" s="1"/>
  <c r="C26" i="48"/>
  <c r="F26" i="48"/>
  <c r="J26" i="48"/>
  <c r="E26" i="48"/>
  <c r="O26" i="48" s="1"/>
  <c r="I31" i="47"/>
  <c r="K31" i="47"/>
  <c r="J31" i="47"/>
  <c r="C30" i="58"/>
  <c r="I30" i="58"/>
  <c r="C26" i="54"/>
  <c r="M26" i="54"/>
  <c r="G26" i="54"/>
  <c r="M30" i="50"/>
  <c r="F36" i="49"/>
  <c r="D36" i="49"/>
  <c r="H36" i="49"/>
  <c r="I36" i="49"/>
  <c r="J36" i="49"/>
  <c r="C36" i="49"/>
  <c r="K36" i="49"/>
  <c r="L36" i="49"/>
  <c r="J21" i="43"/>
  <c r="I21" i="43"/>
  <c r="F21" i="43"/>
  <c r="G26" i="57"/>
  <c r="E26" i="57"/>
  <c r="O26" i="57" s="1"/>
  <c r="Q26" i="57" s="1"/>
  <c r="J26" i="57"/>
  <c r="K26" i="57"/>
  <c r="L26" i="57"/>
  <c r="D26" i="57"/>
  <c r="M26" i="57"/>
  <c r="O22" i="45"/>
  <c r="Q22" i="45" s="1"/>
  <c r="O46" i="44"/>
  <c r="C46" i="44"/>
  <c r="O40" i="44"/>
  <c r="C40" i="44"/>
  <c r="O34" i="44"/>
  <c r="C34" i="44"/>
  <c r="C28" i="44"/>
  <c r="C29" i="49"/>
  <c r="O26" i="47"/>
  <c r="C26" i="47"/>
  <c r="C20" i="47"/>
  <c r="O26" i="42"/>
  <c r="C20" i="42"/>
  <c r="C60" i="39"/>
  <c r="C45" i="39"/>
  <c r="C39" i="39"/>
  <c r="C34" i="39"/>
  <c r="C28" i="39"/>
  <c r="D36" i="40"/>
  <c r="D30" i="40"/>
  <c r="D24" i="40"/>
  <c r="L21" i="60"/>
  <c r="C33" i="58"/>
  <c r="I33" i="58"/>
  <c r="K33" i="58"/>
  <c r="L21" i="54"/>
  <c r="K21" i="54"/>
  <c r="F26" i="49"/>
  <c r="E26" i="49"/>
  <c r="O26" i="49" s="1"/>
  <c r="P26" i="49" s="1"/>
  <c r="K34" i="49"/>
  <c r="H21" i="46"/>
  <c r="C35" i="46"/>
  <c r="D35" i="46"/>
  <c r="K35" i="46"/>
  <c r="E35" i="46"/>
  <c r="O35" i="46" s="1"/>
  <c r="L35" i="46"/>
  <c r="F35" i="46"/>
  <c r="M35" i="46"/>
  <c r="G35" i="46"/>
  <c r="J35" i="46"/>
  <c r="H35" i="46"/>
  <c r="C28" i="43"/>
  <c r="O23" i="48"/>
  <c r="O23" i="52"/>
  <c r="O23" i="58"/>
  <c r="Q23" i="58" s="1"/>
  <c r="C20" i="49"/>
  <c r="C25" i="47"/>
  <c r="O31" i="42"/>
  <c r="P31" i="42" s="1"/>
  <c r="O25" i="42"/>
  <c r="C25" i="42"/>
  <c r="C20" i="39"/>
  <c r="C55" i="39"/>
  <c r="C49" i="39"/>
  <c r="C44" i="39"/>
  <c r="C38" i="39"/>
  <c r="C33" i="39"/>
  <c r="C27" i="39"/>
  <c r="C22" i="39"/>
  <c r="D35" i="40"/>
  <c r="D29" i="40"/>
  <c r="D23" i="40"/>
  <c r="I22" i="60"/>
  <c r="E24" i="53"/>
  <c r="O24" i="53" s="1"/>
  <c r="K24" i="53"/>
  <c r="H24" i="53"/>
  <c r="F38" i="49"/>
  <c r="J38" i="49"/>
  <c r="E38" i="49"/>
  <c r="O38" i="49" s="1"/>
  <c r="Q38" i="49" s="1"/>
  <c r="C27" i="44"/>
  <c r="G40" i="27"/>
  <c r="C32" i="43"/>
  <c r="C20" i="53"/>
  <c r="C22" i="48"/>
  <c r="O22" i="52"/>
  <c r="C44" i="44"/>
  <c r="C38" i="44"/>
  <c r="C32" i="44"/>
  <c r="C26" i="44"/>
  <c r="C20" i="54"/>
  <c r="C42" i="46"/>
  <c r="C24" i="47"/>
  <c r="C30" i="42"/>
  <c r="O24" i="42"/>
  <c r="C24" i="42"/>
  <c r="C64" i="39"/>
  <c r="C54" i="39"/>
  <c r="C48" i="39"/>
  <c r="C43" i="39"/>
  <c r="C26" i="39"/>
  <c r="C21" i="39"/>
  <c r="D34" i="40"/>
  <c r="D28" i="40"/>
  <c r="C25" i="58"/>
  <c r="C26" i="50"/>
  <c r="K28" i="49"/>
  <c r="E28" i="49"/>
  <c r="O28" i="49" s="1"/>
  <c r="Q28" i="49" s="1"/>
  <c r="E25" i="57"/>
  <c r="O25" i="57" s="1"/>
  <c r="Q25" i="57" s="1"/>
  <c r="H25" i="57"/>
  <c r="J25" i="57"/>
  <c r="C33" i="46"/>
  <c r="D33" i="46"/>
  <c r="M33" i="46"/>
  <c r="E33" i="46"/>
  <c r="O33" i="46" s="1"/>
  <c r="P33" i="46" s="1"/>
  <c r="H33" i="46"/>
  <c r="J33" i="46"/>
  <c r="K33" i="46"/>
  <c r="L33" i="46"/>
  <c r="O26" i="45"/>
  <c r="Q26" i="45" s="1"/>
  <c r="O21" i="48"/>
  <c r="Q21" i="48" s="1"/>
  <c r="C21" i="48"/>
  <c r="C21" i="52"/>
  <c r="C43" i="44"/>
  <c r="C37" i="44"/>
  <c r="C31" i="44"/>
  <c r="C25" i="44"/>
  <c r="C22" i="58"/>
  <c r="O23" i="47"/>
  <c r="C29" i="42"/>
  <c r="C23" i="42"/>
  <c r="C63" i="39"/>
  <c r="C58" i="39"/>
  <c r="C53" i="39"/>
  <c r="C47" i="39"/>
  <c r="C42" i="39"/>
  <c r="C37" i="39"/>
  <c r="C31" i="39"/>
  <c r="C25" i="39"/>
  <c r="D33" i="40"/>
  <c r="D27" i="40"/>
  <c r="D22" i="40"/>
  <c r="I27" i="52"/>
  <c r="I26" i="58"/>
  <c r="C24" i="54"/>
  <c r="L24" i="54"/>
  <c r="I24" i="54"/>
  <c r="K26" i="43"/>
  <c r="F26" i="43"/>
  <c r="E26" i="43"/>
  <c r="O26" i="43" s="1"/>
  <c r="P26" i="43" s="1"/>
  <c r="H24" i="46"/>
  <c r="M24" i="46"/>
  <c r="C30" i="46"/>
  <c r="K30" i="46"/>
  <c r="L30" i="46"/>
  <c r="D30" i="46"/>
  <c r="C20" i="48"/>
  <c r="C20" i="52"/>
  <c r="O42" i="44"/>
  <c r="P42" i="44" s="1"/>
  <c r="O36" i="44"/>
  <c r="P36" i="44" s="1"/>
  <c r="O30" i="44"/>
  <c r="P30" i="44" s="1"/>
  <c r="C24" i="44"/>
  <c r="C29" i="58"/>
  <c r="C21" i="58"/>
  <c r="C31" i="49"/>
  <c r="O28" i="57"/>
  <c r="P28" i="57" s="1"/>
  <c r="C28" i="47"/>
  <c r="C22" i="47"/>
  <c r="C22" i="42"/>
  <c r="C62" i="39"/>
  <c r="C57" i="39"/>
  <c r="C52" i="39"/>
  <c r="C36" i="39"/>
  <c r="C30" i="39"/>
  <c r="C24" i="39"/>
  <c r="D32" i="40"/>
  <c r="D26" i="40"/>
  <c r="M38" i="58"/>
  <c r="F34" i="43"/>
  <c r="L21" i="45"/>
  <c r="I27" i="45"/>
  <c r="D27" i="45"/>
  <c r="H25" i="60"/>
  <c r="I25" i="60"/>
  <c r="J25" i="60"/>
  <c r="K25" i="60"/>
  <c r="C25" i="60"/>
  <c r="E25" i="60"/>
  <c r="O25" i="60" s="1"/>
  <c r="Q25" i="60" s="1"/>
  <c r="H28" i="52"/>
  <c r="I28" i="52"/>
  <c r="J28" i="52"/>
  <c r="L28" i="52"/>
  <c r="E28" i="52"/>
  <c r="O28" i="52" s="1"/>
  <c r="C28" i="52"/>
  <c r="C22" i="44"/>
  <c r="J22" i="44"/>
  <c r="K22" i="44"/>
  <c r="E22" i="44"/>
  <c r="O22" i="44" s="1"/>
  <c r="P22" i="44" s="1"/>
  <c r="H22" i="44"/>
  <c r="I21" i="53"/>
  <c r="C21" i="50"/>
  <c r="K21" i="50"/>
  <c r="C31" i="50"/>
  <c r="H21" i="49"/>
  <c r="J21" i="49"/>
  <c r="L21" i="49"/>
  <c r="D21" i="49"/>
  <c r="E21" i="49"/>
  <c r="E20" i="57"/>
  <c r="G20" i="57"/>
  <c r="F31" i="46"/>
  <c r="F34" i="46"/>
  <c r="C36" i="46"/>
  <c r="H36" i="46"/>
  <c r="J36" i="46"/>
  <c r="K36" i="46"/>
  <c r="L36" i="46"/>
  <c r="D36" i="46"/>
  <c r="E36" i="46"/>
  <c r="O36" i="46" s="1"/>
  <c r="P36" i="46" s="1"/>
  <c r="M36" i="46"/>
  <c r="C38" i="46"/>
  <c r="J38" i="46"/>
  <c r="M38" i="46"/>
  <c r="G38" i="46"/>
  <c r="F38" i="46"/>
  <c r="G39" i="46"/>
  <c r="H39" i="46"/>
  <c r="K39" i="46"/>
  <c r="L39" i="46"/>
  <c r="E39" i="46"/>
  <c r="O39" i="46" s="1"/>
  <c r="Q39" i="46" s="1"/>
  <c r="F39" i="46"/>
  <c r="G40" i="46"/>
  <c r="H40" i="46"/>
  <c r="K40" i="46"/>
  <c r="L40" i="46"/>
  <c r="E40" i="46"/>
  <c r="O40" i="46" s="1"/>
  <c r="Q40" i="46" s="1"/>
  <c r="F40" i="46"/>
  <c r="G41" i="46"/>
  <c r="H41" i="46"/>
  <c r="K41" i="46"/>
  <c r="L41" i="46"/>
  <c r="F41" i="46"/>
  <c r="E41" i="46"/>
  <c r="O41" i="46" s="1"/>
  <c r="G43" i="46"/>
  <c r="H43" i="46"/>
  <c r="K43" i="46"/>
  <c r="L43" i="46"/>
  <c r="E43" i="46"/>
  <c r="O43" i="46" s="1"/>
  <c r="Q43" i="46" s="1"/>
  <c r="F43" i="46"/>
  <c r="G44" i="46"/>
  <c r="F44" i="46"/>
  <c r="H44" i="46"/>
  <c r="K44" i="46"/>
  <c r="L44" i="46"/>
  <c r="E44" i="46"/>
  <c r="O44" i="46" s="1"/>
  <c r="Q44" i="46" s="1"/>
  <c r="G45" i="46"/>
  <c r="F45" i="46"/>
  <c r="H45" i="46"/>
  <c r="K45" i="46"/>
  <c r="L45" i="46"/>
  <c r="E45" i="46"/>
  <c r="O45" i="46" s="1"/>
  <c r="G46" i="46"/>
  <c r="F46" i="46"/>
  <c r="H46" i="46"/>
  <c r="K46" i="46"/>
  <c r="L46" i="46"/>
  <c r="E46" i="46"/>
  <c r="O46" i="46" s="1"/>
  <c r="Q46" i="46" s="1"/>
  <c r="G47" i="46"/>
  <c r="F47" i="46"/>
  <c r="H47" i="46"/>
  <c r="K47" i="46"/>
  <c r="L47" i="46"/>
  <c r="E47" i="46"/>
  <c r="O47" i="46" s="1"/>
  <c r="P47" i="46" s="1"/>
  <c r="G48" i="46"/>
  <c r="F48" i="46"/>
  <c r="H48" i="46"/>
  <c r="K48" i="46"/>
  <c r="L48" i="46"/>
  <c r="E48" i="46"/>
  <c r="O48" i="46" s="1"/>
  <c r="P48" i="46" s="1"/>
  <c r="G49" i="46"/>
  <c r="F49" i="46"/>
  <c r="H49" i="46"/>
  <c r="K49" i="46"/>
  <c r="L49" i="46"/>
  <c r="E49" i="46"/>
  <c r="O49" i="46" s="1"/>
  <c r="P49" i="46" s="1"/>
  <c r="D21" i="40"/>
  <c r="I24" i="45"/>
  <c r="I28" i="45"/>
  <c r="I25" i="48"/>
  <c r="H21" i="44"/>
  <c r="K21" i="44"/>
  <c r="D21" i="44"/>
  <c r="F21" i="44"/>
  <c r="J21" i="44"/>
  <c r="I29" i="47"/>
  <c r="F22" i="53"/>
  <c r="F32" i="58"/>
  <c r="E23" i="50"/>
  <c r="O23" i="50" s="1"/>
  <c r="P23" i="50" s="1"/>
  <c r="L27" i="50"/>
  <c r="F27" i="50"/>
  <c r="H27" i="50"/>
  <c r="C32" i="50"/>
  <c r="H33" i="50"/>
  <c r="L33" i="50"/>
  <c r="M33" i="50"/>
  <c r="E33" i="50"/>
  <c r="O33" i="50" s="1"/>
  <c r="Q33" i="50" s="1"/>
  <c r="F33" i="50"/>
  <c r="I33" i="50"/>
  <c r="F24" i="49"/>
  <c r="C24" i="49"/>
  <c r="K24" i="49"/>
  <c r="J24" i="49"/>
  <c r="J32" i="49"/>
  <c r="E32" i="49"/>
  <c r="O32" i="49" s="1"/>
  <c r="Q32" i="49" s="1"/>
  <c r="F32" i="49"/>
  <c r="E37" i="49"/>
  <c r="O37" i="49" s="1"/>
  <c r="Q37" i="49" s="1"/>
  <c r="F39" i="49"/>
  <c r="I39" i="49"/>
  <c r="J39" i="49"/>
  <c r="K39" i="49"/>
  <c r="C39" i="49"/>
  <c r="L39" i="49"/>
  <c r="D39" i="49"/>
  <c r="H39" i="49"/>
  <c r="E23" i="43"/>
  <c r="O23" i="43" s="1"/>
  <c r="H24" i="43"/>
  <c r="K24" i="43"/>
  <c r="L24" i="43"/>
  <c r="D24" i="43"/>
  <c r="E24" i="43"/>
  <c r="O24" i="43" s="1"/>
  <c r="J24" i="43"/>
  <c r="E29" i="43"/>
  <c r="O29" i="43" s="1"/>
  <c r="E24" i="57"/>
  <c r="O24" i="57" s="1"/>
  <c r="L24" i="57"/>
  <c r="H29" i="57"/>
  <c r="J27" i="46"/>
  <c r="L27" i="46"/>
  <c r="D27" i="46"/>
  <c r="K27" i="46"/>
  <c r="E27" i="46"/>
  <c r="O27" i="46" s="1"/>
  <c r="P27" i="46" s="1"/>
  <c r="C29" i="46"/>
  <c r="M29" i="46"/>
  <c r="F29" i="46"/>
  <c r="G29" i="46"/>
  <c r="J29" i="46"/>
  <c r="C27" i="48"/>
  <c r="K27" i="48"/>
  <c r="L27" i="48"/>
  <c r="I20" i="44"/>
  <c r="J30" i="47"/>
  <c r="E23" i="53"/>
  <c r="O23" i="53" s="1"/>
  <c r="E26" i="53"/>
  <c r="O26" i="53" s="1"/>
  <c r="P26" i="53" s="1"/>
  <c r="I26" i="53"/>
  <c r="K27" i="58"/>
  <c r="C27" i="58"/>
  <c r="E27" i="58"/>
  <c r="O27" i="58" s="1"/>
  <c r="K35" i="58"/>
  <c r="E35" i="58"/>
  <c r="O35" i="58" s="1"/>
  <c r="Q35" i="58" s="1"/>
  <c r="H35" i="58"/>
  <c r="L35" i="58"/>
  <c r="I39" i="58"/>
  <c r="C39" i="58"/>
  <c r="F39" i="58"/>
  <c r="M39" i="58"/>
  <c r="K23" i="54"/>
  <c r="M23" i="54"/>
  <c r="M25" i="54"/>
  <c r="F25" i="54"/>
  <c r="H25" i="54"/>
  <c r="C27" i="54"/>
  <c r="H27" i="54"/>
  <c r="K27" i="54"/>
  <c r="F27" i="49"/>
  <c r="E27" i="49"/>
  <c r="O27" i="49" s="1"/>
  <c r="H27" i="49"/>
  <c r="J27" i="49"/>
  <c r="K40" i="49"/>
  <c r="E25" i="43"/>
  <c r="O25" i="43" s="1"/>
  <c r="L30" i="43"/>
  <c r="D22" i="46"/>
  <c r="G22" i="46"/>
  <c r="J22" i="46"/>
  <c r="M22" i="46"/>
  <c r="K25" i="46"/>
  <c r="D25" i="46"/>
  <c r="G25" i="46"/>
  <c r="C32" i="46"/>
  <c r="J32" i="46"/>
  <c r="K32" i="46"/>
  <c r="D32" i="46"/>
  <c r="L32" i="46"/>
  <c r="E32" i="46"/>
  <c r="O32" i="46" s="1"/>
  <c r="P32" i="46" s="1"/>
  <c r="H32" i="46"/>
  <c r="G32" i="46"/>
  <c r="F7" i="27"/>
  <c r="F25" i="45"/>
  <c r="K25" i="45"/>
  <c r="C25" i="45"/>
  <c r="L25" i="45"/>
  <c r="D25" i="45"/>
  <c r="H25" i="45"/>
  <c r="I25" i="45"/>
  <c r="J25" i="45"/>
  <c r="I24" i="52"/>
  <c r="H25" i="52"/>
  <c r="D25" i="52"/>
  <c r="E25" i="52"/>
  <c r="O25" i="52" s="1"/>
  <c r="Q25" i="52" s="1"/>
  <c r="I25" i="52"/>
  <c r="J25" i="52"/>
  <c r="L25" i="52"/>
  <c r="K28" i="58"/>
  <c r="C37" i="58"/>
  <c r="I36" i="58"/>
  <c r="C36" i="58"/>
  <c r="E36" i="58"/>
  <c r="O36" i="58" s="1"/>
  <c r="H36" i="58"/>
  <c r="K36" i="58"/>
  <c r="L36" i="58"/>
  <c r="K24" i="50"/>
  <c r="M28" i="50"/>
  <c r="E23" i="49"/>
  <c r="O23" i="49" s="1"/>
  <c r="Q23" i="49" s="1"/>
  <c r="J23" i="49"/>
  <c r="F33" i="49"/>
  <c r="K33" i="49"/>
  <c r="C33" i="49"/>
  <c r="L33" i="49"/>
  <c r="D33" i="49"/>
  <c r="H33" i="49"/>
  <c r="J33" i="49"/>
  <c r="I33" i="49"/>
  <c r="E35" i="49"/>
  <c r="O35" i="49" s="1"/>
  <c r="Q35" i="49" s="1"/>
  <c r="F35" i="49"/>
  <c r="I35" i="49"/>
  <c r="J35" i="49"/>
  <c r="D21" i="57"/>
  <c r="K21" i="57"/>
  <c r="L21" i="57"/>
  <c r="K20" i="46"/>
  <c r="H3" i="22"/>
  <c r="G9" i="27" s="1"/>
  <c r="N4" i="38"/>
  <c r="Q6" i="38"/>
  <c r="U6" i="38" s="1"/>
  <c r="P8" i="38"/>
  <c r="T4" i="38"/>
  <c r="R6" i="38"/>
  <c r="R8" i="38"/>
  <c r="O5" i="38"/>
  <c r="P7" i="38"/>
  <c r="N9" i="38"/>
  <c r="R5" i="38"/>
  <c r="Q7" i="38"/>
  <c r="U7" i="38" s="1"/>
  <c r="P9" i="38"/>
  <c r="T5" i="38"/>
  <c r="R7" i="38"/>
  <c r="Q9" i="38"/>
  <c r="U9" i="38" s="1"/>
  <c r="P6" i="38"/>
  <c r="N8" i="38"/>
  <c r="S9" i="38"/>
  <c r="H23" i="60"/>
  <c r="E23" i="60"/>
  <c r="O23" i="60" s="1"/>
  <c r="P23" i="60" s="1"/>
  <c r="F23" i="60"/>
  <c r="D23" i="57"/>
  <c r="G23" i="57"/>
  <c r="E1" i="54"/>
  <c r="E1" i="50"/>
  <c r="C26" i="42"/>
  <c r="I29" i="52"/>
  <c r="E29" i="52"/>
  <c r="O29" i="52" s="1"/>
  <c r="Q29" i="52" s="1"/>
  <c r="H29" i="52"/>
  <c r="K29" i="52"/>
  <c r="C22" i="50"/>
  <c r="I22" i="50"/>
  <c r="J37" i="46"/>
  <c r="F37" i="46"/>
  <c r="H37" i="46"/>
  <c r="M37" i="46"/>
  <c r="I27" i="48"/>
  <c r="D27" i="48"/>
  <c r="E27" i="48"/>
  <c r="O27" i="48" s="1"/>
  <c r="P27" i="48" s="1"/>
  <c r="H27" i="48"/>
  <c r="J27" i="48"/>
  <c r="C26" i="58"/>
  <c r="K26" i="58"/>
  <c r="G26" i="50"/>
  <c r="H26" i="50"/>
  <c r="L26" i="50"/>
  <c r="C29" i="50"/>
  <c r="E29" i="50"/>
  <c r="O29" i="50" s="1"/>
  <c r="I29" i="50"/>
  <c r="L29" i="50"/>
  <c r="G30" i="43"/>
  <c r="D30" i="43"/>
  <c r="M30" i="43"/>
  <c r="E30" i="43"/>
  <c r="O30" i="43" s="1"/>
  <c r="Q30" i="43" s="1"/>
  <c r="F30" i="43"/>
  <c r="J30" i="43"/>
  <c r="K30" i="43"/>
  <c r="E30" i="57"/>
  <c r="O30" i="57" s="1"/>
  <c r="Q30" i="57" s="1"/>
  <c r="F30" i="57"/>
  <c r="J30" i="57"/>
  <c r="K30" i="57"/>
  <c r="M30" i="57"/>
  <c r="F28" i="46"/>
  <c r="H28" i="46"/>
  <c r="M28" i="46"/>
  <c r="F22" i="43"/>
  <c r="C22" i="43"/>
  <c r="K22" i="43"/>
  <c r="D22" i="43"/>
  <c r="L22" i="43"/>
  <c r="E22" i="43"/>
  <c r="O22" i="43" s="1"/>
  <c r="P22" i="43" s="1"/>
  <c r="H22" i="43"/>
  <c r="I22" i="43"/>
  <c r="E1" i="42"/>
  <c r="C28" i="57"/>
  <c r="K23" i="46"/>
  <c r="L23" i="46"/>
  <c r="H27" i="53"/>
  <c r="E27" i="53"/>
  <c r="O27" i="53" s="1"/>
  <c r="Q27" i="53" s="1"/>
  <c r="L27" i="53"/>
  <c r="E1" i="44"/>
  <c r="A1" i="34"/>
  <c r="E1" i="43"/>
  <c r="E1" i="49"/>
  <c r="C23" i="58"/>
  <c r="E1" i="46"/>
  <c r="E1" i="45"/>
  <c r="C22" i="52"/>
  <c r="E1" i="58"/>
  <c r="C31" i="42"/>
  <c r="D21" i="45"/>
  <c r="E21" i="45"/>
  <c r="O21" i="45" s="1"/>
  <c r="Q21" i="45" s="1"/>
  <c r="H21" i="45"/>
  <c r="E27" i="45"/>
  <c r="O27" i="45" s="1"/>
  <c r="Q27" i="45" s="1"/>
  <c r="L27" i="45"/>
  <c r="J23" i="60"/>
  <c r="C26" i="52"/>
  <c r="H26" i="52"/>
  <c r="I26" i="52"/>
  <c r="K26" i="52"/>
  <c r="C27" i="53"/>
  <c r="J22" i="43"/>
  <c r="I26" i="48"/>
  <c r="L21" i="44"/>
  <c r="C21" i="44"/>
  <c r="E31" i="47"/>
  <c r="O31" i="47" s="1"/>
  <c r="P31" i="47" s="1"/>
  <c r="K25" i="58"/>
  <c r="L27" i="58"/>
  <c r="E30" i="58"/>
  <c r="O30" i="58" s="1"/>
  <c r="E33" i="58"/>
  <c r="O33" i="58" s="1"/>
  <c r="C35" i="58"/>
  <c r="G36" i="58"/>
  <c r="G24" i="54"/>
  <c r="E21" i="50"/>
  <c r="O21" i="50" s="1"/>
  <c r="Q21" i="50" s="1"/>
  <c r="F23" i="49"/>
  <c r="I24" i="49"/>
  <c r="L27" i="49"/>
  <c r="D27" i="49"/>
  <c r="E36" i="49"/>
  <c r="O36" i="49" s="1"/>
  <c r="E21" i="43"/>
  <c r="E21" i="57"/>
  <c r="O21" i="57" s="1"/>
  <c r="G24" i="57"/>
  <c r="F25" i="57"/>
  <c r="F26" i="57"/>
  <c r="J21" i="46"/>
  <c r="E22" i="46"/>
  <c r="O22" i="46" s="1"/>
  <c r="Q22" i="46" s="1"/>
  <c r="J24" i="46"/>
  <c r="L29" i="46"/>
  <c r="E29" i="46"/>
  <c r="O29" i="46" s="1"/>
  <c r="J30" i="46"/>
  <c r="H31" i="46"/>
  <c r="F33" i="46"/>
  <c r="L38" i="46"/>
  <c r="E38" i="46"/>
  <c r="O38" i="46" s="1"/>
  <c r="J39" i="46"/>
  <c r="D39" i="46"/>
  <c r="J40" i="46"/>
  <c r="D40" i="46"/>
  <c r="J41" i="46"/>
  <c r="D41" i="46"/>
  <c r="J43" i="46"/>
  <c r="D43" i="46"/>
  <c r="J44" i="46"/>
  <c r="D44" i="46"/>
  <c r="J45" i="46"/>
  <c r="D45" i="46"/>
  <c r="J46" i="46"/>
  <c r="D46" i="46"/>
  <c r="J47" i="46"/>
  <c r="D47" i="46"/>
  <c r="J48" i="46"/>
  <c r="D48" i="46"/>
  <c r="J49" i="46"/>
  <c r="D49" i="46"/>
  <c r="Q8" i="38"/>
  <c r="U8" i="38" s="1"/>
  <c r="T6" i="38"/>
  <c r="Q5" i="38"/>
  <c r="U5" i="38" s="1"/>
  <c r="D31" i="47"/>
  <c r="F25" i="58"/>
  <c r="H24" i="49"/>
  <c r="J26" i="49"/>
  <c r="K27" i="49"/>
  <c r="C27" i="49"/>
  <c r="J25" i="43"/>
  <c r="K29" i="46"/>
  <c r="D29" i="46"/>
  <c r="H30" i="46"/>
  <c r="K38" i="46"/>
  <c r="D38" i="46"/>
  <c r="I39" i="46"/>
  <c r="C39" i="46"/>
  <c r="I40" i="46"/>
  <c r="C40" i="46"/>
  <c r="I41" i="46"/>
  <c r="C41" i="46"/>
  <c r="I43" i="46"/>
  <c r="C43" i="46"/>
  <c r="I44" i="46"/>
  <c r="C44" i="46"/>
  <c r="I45" i="46"/>
  <c r="C45" i="46"/>
  <c r="I46" i="46"/>
  <c r="C46" i="46"/>
  <c r="I47" i="46"/>
  <c r="C47" i="46"/>
  <c r="I48" i="46"/>
  <c r="C48" i="46"/>
  <c r="I49" i="46"/>
  <c r="C49" i="46"/>
  <c r="E24" i="49"/>
  <c r="O24" i="49" s="1"/>
  <c r="I26" i="49"/>
  <c r="F30" i="46"/>
  <c r="I21" i="44"/>
  <c r="L24" i="49"/>
  <c r="D24" i="49"/>
  <c r="I27" i="49"/>
  <c r="E33" i="49"/>
  <c r="O33" i="49" s="1"/>
  <c r="P33" i="49" s="1"/>
  <c r="E39" i="49"/>
  <c r="O39" i="49" s="1"/>
  <c r="Q39" i="49" s="1"/>
  <c r="G24" i="43"/>
  <c r="L25" i="57"/>
  <c r="K22" i="46"/>
  <c r="H27" i="46"/>
  <c r="H29" i="46"/>
  <c r="M30" i="46"/>
  <c r="E30" i="46"/>
  <c r="O30" i="46" s="1"/>
  <c r="M32" i="46"/>
  <c r="F32" i="46"/>
  <c r="F36" i="46"/>
  <c r="H38" i="46"/>
  <c r="M39" i="46"/>
  <c r="M40" i="46"/>
  <c r="M41" i="46"/>
  <c r="M43" i="46"/>
  <c r="M44" i="46"/>
  <c r="M45" i="46"/>
  <c r="M46" i="46"/>
  <c r="M47" i="46"/>
  <c r="M48" i="46"/>
  <c r="M49" i="46"/>
  <c r="Q31" i="47"/>
  <c r="H22" i="54"/>
  <c r="E22" i="54"/>
  <c r="O22" i="54" s="1"/>
  <c r="F22" i="54"/>
  <c r="I22" i="54"/>
  <c r="L22" i="54"/>
  <c r="J27" i="57"/>
  <c r="K27" i="57"/>
  <c r="D27" i="57"/>
  <c r="L27" i="57"/>
  <c r="H27" i="57"/>
  <c r="C25" i="53"/>
  <c r="F25" i="53"/>
  <c r="K25" i="53"/>
  <c r="I31" i="50"/>
  <c r="F31" i="50"/>
  <c r="M31" i="50"/>
  <c r="C34" i="46"/>
  <c r="D34" i="46"/>
  <c r="K34" i="46"/>
  <c r="E34" i="46"/>
  <c r="O34" i="46" s="1"/>
  <c r="L34" i="46"/>
  <c r="G34" i="46"/>
  <c r="J34" i="46"/>
  <c r="H34" i="46"/>
  <c r="M34" i="46"/>
  <c r="E1" i="39"/>
  <c r="E1" i="52"/>
  <c r="C26" i="45"/>
  <c r="C21" i="60"/>
  <c r="K21" i="60"/>
  <c r="D21" i="60"/>
  <c r="E21" i="60"/>
  <c r="O21" i="60" s="1"/>
  <c r="P21" i="60" s="1"/>
  <c r="H21" i="60"/>
  <c r="I21" i="60"/>
  <c r="C22" i="53"/>
  <c r="J22" i="53"/>
  <c r="J31" i="43"/>
  <c r="K31" i="43"/>
  <c r="D31" i="43"/>
  <c r="G31" i="43"/>
  <c r="H31" i="43"/>
  <c r="L31" i="43"/>
  <c r="C23" i="48"/>
  <c r="O1" i="34"/>
  <c r="E1" i="60"/>
  <c r="L30" i="47"/>
  <c r="I32" i="50"/>
  <c r="G32" i="50"/>
  <c r="E32" i="50"/>
  <c r="O32" i="50" s="1"/>
  <c r="H32" i="50"/>
  <c r="K32" i="50"/>
  <c r="L32" i="50"/>
  <c r="S16" i="38"/>
  <c r="T18" i="38"/>
  <c r="L31" i="58"/>
  <c r="E31" i="58"/>
  <c r="O31" i="58" s="1"/>
  <c r="H31" i="58"/>
  <c r="K31" i="58"/>
  <c r="C23" i="52"/>
  <c r="E21" i="54"/>
  <c r="C21" i="54"/>
  <c r="G21" i="54"/>
  <c r="H21" i="54"/>
  <c r="I21" i="54"/>
  <c r="L23" i="50"/>
  <c r="I23" i="50"/>
  <c r="F23" i="50"/>
  <c r="H23" i="50"/>
  <c r="M23" i="50"/>
  <c r="D30" i="47"/>
  <c r="K30" i="47"/>
  <c r="E30" i="47"/>
  <c r="O30" i="47" s="1"/>
  <c r="F30" i="47"/>
  <c r="H30" i="47"/>
  <c r="I30" i="47"/>
  <c r="C30" i="47"/>
  <c r="C31" i="58"/>
  <c r="M22" i="54"/>
  <c r="C22" i="49"/>
  <c r="H22" i="49"/>
  <c r="E22" i="49"/>
  <c r="O22" i="49" s="1"/>
  <c r="Q22" i="49" s="1"/>
  <c r="K22" i="49"/>
  <c r="E27" i="57"/>
  <c r="O27" i="57" s="1"/>
  <c r="C27" i="45"/>
  <c r="K27" i="45"/>
  <c r="L23" i="60"/>
  <c r="D23" i="60"/>
  <c r="L26" i="48"/>
  <c r="K25" i="52"/>
  <c r="C25" i="52"/>
  <c r="E26" i="52"/>
  <c r="O26" i="52" s="1"/>
  <c r="D28" i="52"/>
  <c r="K28" i="52"/>
  <c r="D29" i="52"/>
  <c r="L31" i="47"/>
  <c r="C31" i="47"/>
  <c r="K23" i="53"/>
  <c r="C24" i="53"/>
  <c r="E26" i="58"/>
  <c r="O26" i="58" s="1"/>
  <c r="K37" i="58"/>
  <c r="G27" i="54"/>
  <c r="F22" i="50"/>
  <c r="M22" i="50"/>
  <c r="H21" i="50"/>
  <c r="I21" i="50"/>
  <c r="C25" i="49"/>
  <c r="E25" i="49"/>
  <c r="O25" i="49" s="1"/>
  <c r="K25" i="49"/>
  <c r="C37" i="49"/>
  <c r="H37" i="49"/>
  <c r="K37" i="49"/>
  <c r="K23" i="43"/>
  <c r="G34" i="43"/>
  <c r="L34" i="43"/>
  <c r="L20" i="46"/>
  <c r="C31" i="46"/>
  <c r="D31" i="46"/>
  <c r="K31" i="46"/>
  <c r="E31" i="46"/>
  <c r="O31" i="46" s="1"/>
  <c r="L31" i="46"/>
  <c r="G31" i="46"/>
  <c r="J31" i="46"/>
  <c r="C21" i="45"/>
  <c r="I21" i="45"/>
  <c r="K23" i="60"/>
  <c r="C23" i="60"/>
  <c r="D26" i="48"/>
  <c r="K26" i="48"/>
  <c r="L29" i="52"/>
  <c r="C29" i="52"/>
  <c r="D22" i="44"/>
  <c r="L22" i="44"/>
  <c r="C26" i="53"/>
  <c r="K26" i="53"/>
  <c r="C32" i="58"/>
  <c r="K32" i="58"/>
  <c r="F37" i="58"/>
  <c r="C23" i="54"/>
  <c r="F23" i="54"/>
  <c r="H24" i="54"/>
  <c r="E24" i="54"/>
  <c r="O24" i="54" s="1"/>
  <c r="Q24" i="54" s="1"/>
  <c r="L21" i="50"/>
  <c r="C24" i="50"/>
  <c r="M24" i="50"/>
  <c r="F24" i="50"/>
  <c r="I26" i="50"/>
  <c r="E26" i="50"/>
  <c r="O26" i="50" s="1"/>
  <c r="C28" i="50"/>
  <c r="G28" i="50"/>
  <c r="G29" i="50"/>
  <c r="H29" i="50"/>
  <c r="F21" i="49"/>
  <c r="C21" i="49"/>
  <c r="K21" i="49"/>
  <c r="J24" i="57"/>
  <c r="K24" i="57"/>
  <c r="D24" i="57"/>
  <c r="D23" i="46"/>
  <c r="E23" i="46"/>
  <c r="O23" i="46" s="1"/>
  <c r="J23" i="46"/>
  <c r="H23" i="46"/>
  <c r="C28" i="46"/>
  <c r="D28" i="46"/>
  <c r="K28" i="46"/>
  <c r="E28" i="46"/>
  <c r="O28" i="46" s="1"/>
  <c r="L28" i="46"/>
  <c r="G28" i="46"/>
  <c r="J28" i="46"/>
  <c r="D20" i="40"/>
  <c r="E20" i="40"/>
  <c r="I20" i="40"/>
  <c r="K20" i="40"/>
  <c r="D26" i="52"/>
  <c r="L26" i="52"/>
  <c r="C23" i="53"/>
  <c r="I23" i="53"/>
  <c r="C28" i="58"/>
  <c r="F28" i="58"/>
  <c r="E27" i="54"/>
  <c r="O27" i="54" s="1"/>
  <c r="Q27" i="54" s="1"/>
  <c r="I27" i="54"/>
  <c r="C34" i="49"/>
  <c r="E34" i="49"/>
  <c r="O34" i="49" s="1"/>
  <c r="C23" i="43"/>
  <c r="H23" i="43"/>
  <c r="D20" i="46"/>
  <c r="E20" i="46"/>
  <c r="J20" i="46"/>
  <c r="H20" i="46"/>
  <c r="K21" i="45"/>
  <c r="E25" i="45"/>
  <c r="O25" i="45" s="1"/>
  <c r="H27" i="45"/>
  <c r="I23" i="60"/>
  <c r="D25" i="60"/>
  <c r="L25" i="60"/>
  <c r="H26" i="48"/>
  <c r="F25" i="52"/>
  <c r="J26" i="52"/>
  <c r="F28" i="52"/>
  <c r="J29" i="52"/>
  <c r="E21" i="44"/>
  <c r="O21" i="44" s="1"/>
  <c r="I22" i="44"/>
  <c r="H31" i="47"/>
  <c r="L24" i="53"/>
  <c r="K27" i="53"/>
  <c r="H27" i="58"/>
  <c r="K30" i="58"/>
  <c r="K24" i="54"/>
  <c r="L27" i="54"/>
  <c r="G21" i="50"/>
  <c r="K26" i="50"/>
  <c r="K29" i="50"/>
  <c r="I21" i="49"/>
  <c r="C40" i="49"/>
  <c r="E40" i="49"/>
  <c r="O40" i="49" s="1"/>
  <c r="E25" i="46"/>
  <c r="O25" i="46" s="1"/>
  <c r="M25" i="46"/>
  <c r="F25" i="46"/>
  <c r="J25" i="46"/>
  <c r="L25" i="46"/>
  <c r="M31" i="46"/>
  <c r="E25" i="54"/>
  <c r="O25" i="54" s="1"/>
  <c r="L25" i="54"/>
  <c r="E27" i="50"/>
  <c r="O27" i="50" s="1"/>
  <c r="M27" i="50"/>
  <c r="C28" i="49"/>
  <c r="H28" i="49"/>
  <c r="C37" i="46"/>
  <c r="D37" i="46"/>
  <c r="K37" i="46"/>
  <c r="E37" i="46"/>
  <c r="O37" i="46" s="1"/>
  <c r="L37" i="46"/>
  <c r="G37" i="46"/>
  <c r="M20" i="57"/>
  <c r="J21" i="57"/>
  <c r="G25" i="57"/>
  <c r="G30" i="57"/>
  <c r="F22" i="46"/>
  <c r="O9" i="38"/>
  <c r="O8" i="38"/>
  <c r="O7" i="38"/>
  <c r="N6" i="38"/>
  <c r="N5" i="38"/>
  <c r="H29" i="43"/>
  <c r="M25" i="57"/>
  <c r="D30" i="57"/>
  <c r="L22" i="46"/>
  <c r="G30" i="46"/>
  <c r="G33" i="46"/>
  <c r="G36" i="46"/>
  <c r="T9" i="38"/>
  <c r="T8" i="38"/>
  <c r="S7" i="38"/>
  <c r="S6" i="38"/>
  <c r="S5" i="38"/>
  <c r="S4" i="38"/>
  <c r="T46" i="38"/>
  <c r="O24" i="58"/>
  <c r="C24" i="58"/>
  <c r="V50" i="38"/>
  <c r="V32" i="38"/>
  <c r="T33" i="38"/>
  <c r="V33" i="38"/>
  <c r="U35" i="38"/>
  <c r="O24" i="48"/>
  <c r="C24" i="48"/>
  <c r="C30" i="52"/>
  <c r="O30" i="52"/>
  <c r="C59" i="39"/>
  <c r="O59" i="39"/>
  <c r="C50" i="39"/>
  <c r="O50" i="39"/>
  <c r="C41" i="39"/>
  <c r="O41" i="39"/>
  <c r="C32" i="39"/>
  <c r="O32" i="39"/>
  <c r="C23" i="39"/>
  <c r="O23" i="39"/>
  <c r="R30" i="36"/>
  <c r="U46" i="38"/>
  <c r="T45" i="38"/>
  <c r="V45" i="38"/>
  <c r="O25" i="50"/>
  <c r="C25" i="50"/>
  <c r="O28" i="42"/>
  <c r="C28" i="42"/>
  <c r="O34" i="58"/>
  <c r="C34" i="58"/>
  <c r="R21" i="36"/>
  <c r="T51" i="38"/>
  <c r="V51" i="38"/>
  <c r="O33" i="43"/>
  <c r="C33" i="43"/>
  <c r="O20" i="47"/>
  <c r="P23" i="36"/>
  <c r="Q28" i="36"/>
  <c r="C23" i="47"/>
  <c r="S48" i="38"/>
  <c r="P25" i="36"/>
  <c r="P32" i="36"/>
  <c r="S41" i="38"/>
  <c r="P34" i="36"/>
  <c r="P32" i="40"/>
  <c r="Q35" i="39"/>
  <c r="P35" i="39"/>
  <c r="Q20" i="43"/>
  <c r="O24" i="60"/>
  <c r="F13" i="62"/>
  <c r="C22" i="57"/>
  <c r="I22" i="57"/>
  <c r="D22" i="57"/>
  <c r="K22" i="57"/>
  <c r="J22" i="57"/>
  <c r="H22" i="57"/>
  <c r="E22" i="57"/>
  <c r="O22" i="57" s="1"/>
  <c r="F22" i="57"/>
  <c r="G22" i="57"/>
  <c r="L22" i="57"/>
  <c r="M22" i="57"/>
  <c r="T29" i="38"/>
  <c r="U25" i="38"/>
  <c r="P23" i="40"/>
  <c r="P63" i="39"/>
  <c r="O57" i="39"/>
  <c r="O48" i="39"/>
  <c r="O39" i="39"/>
  <c r="O30" i="39"/>
  <c r="O21" i="39"/>
  <c r="O29" i="49"/>
  <c r="O22" i="42"/>
  <c r="Q29" i="58"/>
  <c r="D20" i="50"/>
  <c r="J20" i="50"/>
  <c r="C20" i="50"/>
  <c r="K20" i="50"/>
  <c r="G20" i="50"/>
  <c r="E20" i="50"/>
  <c r="F20" i="50"/>
  <c r="H20" i="50"/>
  <c r="I20" i="50"/>
  <c r="L20" i="50"/>
  <c r="M20" i="50"/>
  <c r="P44" i="39"/>
  <c r="Q60" i="39"/>
  <c r="Q42" i="39"/>
  <c r="Q29" i="39"/>
  <c r="P29" i="39"/>
  <c r="P21" i="42"/>
  <c r="Q21" i="42"/>
  <c r="O45" i="44"/>
  <c r="C45" i="44"/>
  <c r="O39" i="44"/>
  <c r="C39" i="44"/>
  <c r="O33" i="44"/>
  <c r="C33" i="44"/>
  <c r="G16" i="42"/>
  <c r="G16" i="36"/>
  <c r="P15" i="38"/>
  <c r="P30" i="40"/>
  <c r="Q29" i="42"/>
  <c r="O42" i="46"/>
  <c r="R13" i="38"/>
  <c r="R15" i="38"/>
  <c r="R17" i="38"/>
  <c r="S13" i="38"/>
  <c r="S15" i="38"/>
  <c r="S17" i="38"/>
  <c r="T13" i="38"/>
  <c r="T15" i="38"/>
  <c r="T17" i="38"/>
  <c r="R14" i="38"/>
  <c r="R16" i="38"/>
  <c r="R18" i="38"/>
  <c r="S14" i="38"/>
  <c r="T14" i="38"/>
  <c r="T16" i="38"/>
  <c r="S18" i="38"/>
  <c r="F16" i="36"/>
  <c r="G37" i="51" s="1" a="1"/>
  <c r="G37" i="51" s="1"/>
  <c r="A58" i="51"/>
  <c r="R28" i="51"/>
  <c r="C20" i="43"/>
  <c r="C30" i="49"/>
  <c r="C31" i="52"/>
  <c r="O32" i="43"/>
  <c r="F16" i="39"/>
  <c r="O21" i="58"/>
  <c r="G25" i="48"/>
  <c r="M25" i="48"/>
  <c r="C25" i="48"/>
  <c r="J25" i="48"/>
  <c r="D25" i="48"/>
  <c r="K25" i="48"/>
  <c r="E25" i="48"/>
  <c r="O25" i="48" s="1"/>
  <c r="L25" i="48"/>
  <c r="F25" i="48"/>
  <c r="H25" i="48"/>
  <c r="G27" i="52"/>
  <c r="M27" i="52"/>
  <c r="C27" i="52"/>
  <c r="J27" i="52"/>
  <c r="D27" i="52"/>
  <c r="K27" i="52"/>
  <c r="E27" i="52"/>
  <c r="O27" i="52" s="1"/>
  <c r="L27" i="52"/>
  <c r="F27" i="52"/>
  <c r="H27" i="52"/>
  <c r="G29" i="47"/>
  <c r="M29" i="47"/>
  <c r="C29" i="47"/>
  <c r="J29" i="47"/>
  <c r="D29" i="47"/>
  <c r="K29" i="47"/>
  <c r="E29" i="47"/>
  <c r="O29" i="47" s="1"/>
  <c r="L29" i="47"/>
  <c r="F29" i="47"/>
  <c r="H29" i="47"/>
  <c r="C42" i="44"/>
  <c r="C36" i="44"/>
  <c r="C30" i="44"/>
  <c r="G16" i="39"/>
  <c r="F16" i="42"/>
  <c r="G24" i="45"/>
  <c r="M24" i="45"/>
  <c r="C24" i="45"/>
  <c r="J24" i="45"/>
  <c r="D24" i="45"/>
  <c r="K24" i="45"/>
  <c r="E24" i="45"/>
  <c r="O24" i="45" s="1"/>
  <c r="L24" i="45"/>
  <c r="F24" i="45"/>
  <c r="H24" i="45"/>
  <c r="D30" i="50"/>
  <c r="J30" i="50"/>
  <c r="C30" i="50"/>
  <c r="K30" i="50"/>
  <c r="G30" i="50"/>
  <c r="E30" i="50"/>
  <c r="O30" i="50" s="1"/>
  <c r="F30" i="50"/>
  <c r="H30" i="50"/>
  <c r="I30" i="50"/>
  <c r="L30" i="50"/>
  <c r="F15" i="62"/>
  <c r="G28" i="45"/>
  <c r="M28" i="45"/>
  <c r="C28" i="45"/>
  <c r="J28" i="45"/>
  <c r="D28" i="45"/>
  <c r="K28" i="45"/>
  <c r="E28" i="45"/>
  <c r="O28" i="45" s="1"/>
  <c r="L28" i="45"/>
  <c r="F28" i="45"/>
  <c r="H28" i="45"/>
  <c r="C27" i="43"/>
  <c r="I27" i="43"/>
  <c r="F27" i="43"/>
  <c r="M27" i="43"/>
  <c r="D27" i="43"/>
  <c r="L27" i="43"/>
  <c r="E27" i="43"/>
  <c r="O27" i="43" s="1"/>
  <c r="J27" i="43"/>
  <c r="G27" i="43"/>
  <c r="H27" i="43"/>
  <c r="K27" i="43"/>
  <c r="G15" i="62"/>
  <c r="G13" i="62"/>
  <c r="G22" i="60"/>
  <c r="M22" i="60"/>
  <c r="C22" i="60"/>
  <c r="J22" i="60"/>
  <c r="D22" i="60"/>
  <c r="K22" i="60"/>
  <c r="E22" i="60"/>
  <c r="O22" i="60" s="1"/>
  <c r="L22" i="60"/>
  <c r="F22" i="60"/>
  <c r="H22" i="60"/>
  <c r="G24" i="52"/>
  <c r="M24" i="52"/>
  <c r="C24" i="52"/>
  <c r="J24" i="52"/>
  <c r="D24" i="52"/>
  <c r="K24" i="52"/>
  <c r="E24" i="52"/>
  <c r="O24" i="52" s="1"/>
  <c r="L24" i="52"/>
  <c r="F24" i="52"/>
  <c r="H24" i="52"/>
  <c r="G20" i="44"/>
  <c r="M20" i="44"/>
  <c r="C20" i="44"/>
  <c r="J20" i="44"/>
  <c r="D20" i="44"/>
  <c r="K20" i="44"/>
  <c r="E20" i="44"/>
  <c r="L20" i="44"/>
  <c r="F20" i="44"/>
  <c r="H20" i="44"/>
  <c r="G21" i="53"/>
  <c r="M21" i="53"/>
  <c r="C21" i="53"/>
  <c r="J21" i="53"/>
  <c r="D21" i="53"/>
  <c r="K21" i="53"/>
  <c r="E21" i="53"/>
  <c r="L21" i="53"/>
  <c r="F21" i="53"/>
  <c r="H21" i="53"/>
  <c r="D38" i="58"/>
  <c r="J38" i="58"/>
  <c r="C38" i="58"/>
  <c r="K38" i="58"/>
  <c r="G38" i="58"/>
  <c r="E38" i="58"/>
  <c r="O38" i="58" s="1"/>
  <c r="F38" i="58"/>
  <c r="H38" i="58"/>
  <c r="I38" i="58"/>
  <c r="L38" i="58"/>
  <c r="O20" i="42"/>
  <c r="J21" i="45"/>
  <c r="J27" i="45"/>
  <c r="J21" i="60"/>
  <c r="L22" i="53"/>
  <c r="E22" i="53"/>
  <c r="O22" i="53" s="1"/>
  <c r="H23" i="53"/>
  <c r="G24" i="53"/>
  <c r="M24" i="53"/>
  <c r="D24" i="53"/>
  <c r="J24" i="53"/>
  <c r="E25" i="53"/>
  <c r="O25" i="53" s="1"/>
  <c r="H26" i="53"/>
  <c r="G27" i="53"/>
  <c r="M27" i="53"/>
  <c r="D27" i="53"/>
  <c r="J27" i="53"/>
  <c r="E25" i="58"/>
  <c r="O25" i="58" s="1"/>
  <c r="H26" i="58"/>
  <c r="G27" i="58"/>
  <c r="M27" i="58"/>
  <c r="D27" i="58"/>
  <c r="J27" i="58"/>
  <c r="E28" i="58"/>
  <c r="O28" i="58" s="1"/>
  <c r="H30" i="58"/>
  <c r="G31" i="58"/>
  <c r="M31" i="58"/>
  <c r="D31" i="58"/>
  <c r="J31" i="58"/>
  <c r="E32" i="58"/>
  <c r="O32" i="58" s="1"/>
  <c r="H33" i="58"/>
  <c r="G35" i="58"/>
  <c r="M35" i="58"/>
  <c r="D35" i="58"/>
  <c r="J35" i="58"/>
  <c r="E37" i="58"/>
  <c r="O37" i="58" s="1"/>
  <c r="D39" i="58"/>
  <c r="J39" i="58"/>
  <c r="H39" i="58"/>
  <c r="E39" i="58"/>
  <c r="O39" i="58" s="1"/>
  <c r="L39" i="58"/>
  <c r="I23" i="54"/>
  <c r="F26" i="54"/>
  <c r="D22" i="50"/>
  <c r="J22" i="50"/>
  <c r="H22" i="50"/>
  <c r="E22" i="50"/>
  <c r="O22" i="50" s="1"/>
  <c r="L22" i="50"/>
  <c r="I24" i="50"/>
  <c r="F28" i="50"/>
  <c r="D31" i="50"/>
  <c r="J31" i="50"/>
  <c r="H31" i="50"/>
  <c r="E31" i="50"/>
  <c r="O31" i="50" s="1"/>
  <c r="L31" i="50"/>
  <c r="G23" i="49"/>
  <c r="M23" i="49"/>
  <c r="D23" i="49"/>
  <c r="K23" i="49"/>
  <c r="H23" i="49"/>
  <c r="C23" i="49"/>
  <c r="L23" i="49"/>
  <c r="J25" i="49"/>
  <c r="G32" i="49"/>
  <c r="M32" i="49"/>
  <c r="D32" i="49"/>
  <c r="K32" i="49"/>
  <c r="H32" i="49"/>
  <c r="C32" i="49"/>
  <c r="L32" i="49"/>
  <c r="J34" i="49"/>
  <c r="G38" i="49"/>
  <c r="M38" i="49"/>
  <c r="D38" i="49"/>
  <c r="K38" i="49"/>
  <c r="H38" i="49"/>
  <c r="C38" i="49"/>
  <c r="L38" i="49"/>
  <c r="J40" i="49"/>
  <c r="H25" i="43"/>
  <c r="M29" i="43"/>
  <c r="C20" i="57"/>
  <c r="I20" i="57"/>
  <c r="H20" i="57"/>
  <c r="D20" i="57"/>
  <c r="L20" i="57"/>
  <c r="F20" i="57"/>
  <c r="K20" i="57"/>
  <c r="L23" i="57"/>
  <c r="M29" i="57"/>
  <c r="G21" i="45"/>
  <c r="M21" i="45"/>
  <c r="G27" i="45"/>
  <c r="M27" i="45"/>
  <c r="G21" i="60"/>
  <c r="M21" i="60"/>
  <c r="G25" i="60"/>
  <c r="M25" i="60"/>
  <c r="G27" i="48"/>
  <c r="M27" i="48"/>
  <c r="G26" i="52"/>
  <c r="M26" i="52"/>
  <c r="G29" i="52"/>
  <c r="M29" i="52"/>
  <c r="G22" i="44"/>
  <c r="M22" i="44"/>
  <c r="G31" i="47"/>
  <c r="M31" i="47"/>
  <c r="K22" i="53"/>
  <c r="F23" i="53"/>
  <c r="I24" i="53"/>
  <c r="L25" i="53"/>
  <c r="F26" i="53"/>
  <c r="I27" i="53"/>
  <c r="L25" i="58"/>
  <c r="F26" i="58"/>
  <c r="I27" i="58"/>
  <c r="L28" i="58"/>
  <c r="F30" i="58"/>
  <c r="I31" i="58"/>
  <c r="L32" i="58"/>
  <c r="F33" i="58"/>
  <c r="I35" i="58"/>
  <c r="L37" i="58"/>
  <c r="K39" i="58"/>
  <c r="G23" i="54"/>
  <c r="D25" i="54"/>
  <c r="J25" i="54"/>
  <c r="C25" i="54"/>
  <c r="K25" i="54"/>
  <c r="G25" i="54"/>
  <c r="K22" i="50"/>
  <c r="G24" i="50"/>
  <c r="D27" i="50"/>
  <c r="J27" i="50"/>
  <c r="C27" i="50"/>
  <c r="K27" i="50"/>
  <c r="G27" i="50"/>
  <c r="K31" i="50"/>
  <c r="G22" i="49"/>
  <c r="M22" i="49"/>
  <c r="F22" i="49"/>
  <c r="D22" i="49"/>
  <c r="L22" i="49"/>
  <c r="I22" i="49"/>
  <c r="H25" i="49"/>
  <c r="G28" i="49"/>
  <c r="M28" i="49"/>
  <c r="F28" i="49"/>
  <c r="D28" i="49"/>
  <c r="L28" i="49"/>
  <c r="I28" i="49"/>
  <c r="H34" i="49"/>
  <c r="G37" i="49"/>
  <c r="M37" i="49"/>
  <c r="F37" i="49"/>
  <c r="D37" i="49"/>
  <c r="L37" i="49"/>
  <c r="I37" i="49"/>
  <c r="H40" i="49"/>
  <c r="G23" i="43"/>
  <c r="M23" i="43"/>
  <c r="F23" i="43"/>
  <c r="D23" i="43"/>
  <c r="L23" i="43"/>
  <c r="I23" i="43"/>
  <c r="C26" i="43"/>
  <c r="I26" i="43"/>
  <c r="H26" i="43"/>
  <c r="J26" i="43"/>
  <c r="D26" i="43"/>
  <c r="M26" i="43"/>
  <c r="G26" i="43"/>
  <c r="J29" i="43"/>
  <c r="C34" i="43"/>
  <c r="I34" i="43"/>
  <c r="D34" i="43"/>
  <c r="K34" i="43"/>
  <c r="H34" i="43"/>
  <c r="E34" i="43"/>
  <c r="O34" i="43" s="1"/>
  <c r="J34" i="43"/>
  <c r="J23" i="57"/>
  <c r="C21" i="46"/>
  <c r="I21" i="46"/>
  <c r="D21" i="46"/>
  <c r="K21" i="46"/>
  <c r="E21" i="46"/>
  <c r="O21" i="46" s="1"/>
  <c r="L21" i="46"/>
  <c r="G21" i="46"/>
  <c r="M21" i="46"/>
  <c r="F21" i="46"/>
  <c r="G22" i="53"/>
  <c r="M22" i="53"/>
  <c r="D22" i="53"/>
  <c r="G25" i="53"/>
  <c r="M25" i="53"/>
  <c r="D25" i="53"/>
  <c r="J25" i="53"/>
  <c r="G25" i="58"/>
  <c r="M25" i="58"/>
  <c r="D25" i="58"/>
  <c r="J25" i="58"/>
  <c r="G28" i="58"/>
  <c r="M28" i="58"/>
  <c r="D28" i="58"/>
  <c r="J28" i="58"/>
  <c r="G32" i="58"/>
  <c r="M32" i="58"/>
  <c r="D32" i="58"/>
  <c r="J32" i="58"/>
  <c r="G37" i="58"/>
  <c r="M37" i="58"/>
  <c r="D37" i="58"/>
  <c r="J37" i="58"/>
  <c r="D26" i="54"/>
  <c r="J26" i="54"/>
  <c r="H26" i="54"/>
  <c r="E26" i="54"/>
  <c r="O26" i="54" s="1"/>
  <c r="L26" i="54"/>
  <c r="D28" i="50"/>
  <c r="J28" i="50"/>
  <c r="H28" i="50"/>
  <c r="E28" i="50"/>
  <c r="O28" i="50" s="1"/>
  <c r="L28" i="50"/>
  <c r="C25" i="43"/>
  <c r="I25" i="43"/>
  <c r="D25" i="43"/>
  <c r="K25" i="43"/>
  <c r="F25" i="43"/>
  <c r="L25" i="43"/>
  <c r="G25" i="43"/>
  <c r="C29" i="57"/>
  <c r="I29" i="57"/>
  <c r="D29" i="57"/>
  <c r="K29" i="57"/>
  <c r="E29" i="57"/>
  <c r="O29" i="57" s="1"/>
  <c r="L29" i="57"/>
  <c r="G29" i="57"/>
  <c r="J29" i="57"/>
  <c r="F29" i="57"/>
  <c r="F21" i="45"/>
  <c r="G25" i="45"/>
  <c r="M25" i="45"/>
  <c r="F27" i="45"/>
  <c r="F21" i="60"/>
  <c r="G23" i="60"/>
  <c r="M23" i="60"/>
  <c r="F25" i="60"/>
  <c r="G26" i="48"/>
  <c r="M26" i="48"/>
  <c r="F27" i="48"/>
  <c r="G25" i="52"/>
  <c r="M25" i="52"/>
  <c r="F26" i="52"/>
  <c r="G28" i="52"/>
  <c r="M28" i="52"/>
  <c r="F29" i="52"/>
  <c r="G21" i="44"/>
  <c r="M21" i="44"/>
  <c r="F22" i="44"/>
  <c r="G30" i="47"/>
  <c r="M30" i="47"/>
  <c r="F31" i="47"/>
  <c r="I22" i="53"/>
  <c r="L23" i="53"/>
  <c r="F24" i="53"/>
  <c r="I25" i="53"/>
  <c r="L26" i="53"/>
  <c r="F27" i="53"/>
  <c r="I25" i="58"/>
  <c r="L26" i="58"/>
  <c r="F27" i="58"/>
  <c r="I28" i="58"/>
  <c r="L30" i="58"/>
  <c r="F31" i="58"/>
  <c r="I32" i="58"/>
  <c r="L33" i="58"/>
  <c r="F35" i="58"/>
  <c r="I37" i="58"/>
  <c r="G39" i="58"/>
  <c r="D22" i="54"/>
  <c r="J22" i="54"/>
  <c r="C22" i="54"/>
  <c r="K22" i="54"/>
  <c r="G22" i="54"/>
  <c r="I25" i="54"/>
  <c r="K26" i="54"/>
  <c r="G22" i="50"/>
  <c r="D23" i="50"/>
  <c r="J23" i="50"/>
  <c r="C23" i="50"/>
  <c r="K23" i="50"/>
  <c r="G23" i="50"/>
  <c r="I27" i="50"/>
  <c r="K28" i="50"/>
  <c r="G31" i="50"/>
  <c r="D33" i="50"/>
  <c r="J33" i="50"/>
  <c r="C33" i="50"/>
  <c r="K33" i="50"/>
  <c r="G33" i="50"/>
  <c r="J22" i="49"/>
  <c r="I23" i="49"/>
  <c r="G26" i="49"/>
  <c r="M26" i="49"/>
  <c r="D26" i="49"/>
  <c r="K26" i="49"/>
  <c r="C26" i="49"/>
  <c r="L26" i="49"/>
  <c r="H26" i="49"/>
  <c r="J28" i="49"/>
  <c r="I32" i="49"/>
  <c r="G35" i="49"/>
  <c r="M35" i="49"/>
  <c r="D35" i="49"/>
  <c r="K35" i="49"/>
  <c r="C35" i="49"/>
  <c r="L35" i="49"/>
  <c r="H35" i="49"/>
  <c r="J37" i="49"/>
  <c r="I38" i="49"/>
  <c r="G21" i="43"/>
  <c r="M21" i="43"/>
  <c r="D21" i="43"/>
  <c r="K21" i="43"/>
  <c r="C21" i="43"/>
  <c r="L21" i="43"/>
  <c r="H21" i="43"/>
  <c r="J23" i="43"/>
  <c r="L26" i="43"/>
  <c r="M34" i="43"/>
  <c r="J20" i="57"/>
  <c r="H22" i="53"/>
  <c r="G23" i="53"/>
  <c r="M23" i="53"/>
  <c r="D23" i="53"/>
  <c r="J23" i="53"/>
  <c r="H25" i="53"/>
  <c r="G26" i="53"/>
  <c r="M26" i="53"/>
  <c r="D26" i="53"/>
  <c r="J26" i="53"/>
  <c r="H25" i="58"/>
  <c r="G26" i="58"/>
  <c r="M26" i="58"/>
  <c r="D26" i="58"/>
  <c r="J26" i="58"/>
  <c r="H28" i="58"/>
  <c r="G30" i="58"/>
  <c r="M30" i="58"/>
  <c r="D30" i="58"/>
  <c r="J30" i="58"/>
  <c r="H32" i="58"/>
  <c r="G33" i="58"/>
  <c r="M33" i="58"/>
  <c r="D33" i="58"/>
  <c r="J33" i="58"/>
  <c r="H37" i="58"/>
  <c r="D23" i="54"/>
  <c r="J23" i="54"/>
  <c r="H23" i="54"/>
  <c r="E23" i="54"/>
  <c r="O23" i="54" s="1"/>
  <c r="L23" i="54"/>
  <c r="I26" i="54"/>
  <c r="D24" i="50"/>
  <c r="J24" i="50"/>
  <c r="H24" i="50"/>
  <c r="E24" i="50"/>
  <c r="O24" i="50" s="1"/>
  <c r="L24" i="50"/>
  <c r="I28" i="50"/>
  <c r="G25" i="49"/>
  <c r="M25" i="49"/>
  <c r="F25" i="49"/>
  <c r="I25" i="49"/>
  <c r="D25" i="49"/>
  <c r="L25" i="49"/>
  <c r="G34" i="49"/>
  <c r="M34" i="49"/>
  <c r="F34" i="49"/>
  <c r="I34" i="49"/>
  <c r="D34" i="49"/>
  <c r="L34" i="49"/>
  <c r="G40" i="49"/>
  <c r="M40" i="49"/>
  <c r="F40" i="49"/>
  <c r="I40" i="49"/>
  <c r="D40" i="49"/>
  <c r="L40" i="49"/>
  <c r="M25" i="43"/>
  <c r="C29" i="43"/>
  <c r="I29" i="43"/>
  <c r="D29" i="43"/>
  <c r="K29" i="43"/>
  <c r="G29" i="43"/>
  <c r="F29" i="43"/>
  <c r="L29" i="43"/>
  <c r="C23" i="57"/>
  <c r="I23" i="57"/>
  <c r="H23" i="57"/>
  <c r="E23" i="57"/>
  <c r="O23" i="57" s="1"/>
  <c r="M23" i="57"/>
  <c r="K23" i="57"/>
  <c r="F23" i="57"/>
  <c r="D36" i="58"/>
  <c r="J36" i="58"/>
  <c r="D21" i="54"/>
  <c r="J21" i="54"/>
  <c r="D24" i="54"/>
  <c r="J24" i="54"/>
  <c r="D27" i="54"/>
  <c r="J27" i="54"/>
  <c r="D21" i="50"/>
  <c r="J21" i="50"/>
  <c r="D26" i="50"/>
  <c r="J26" i="50"/>
  <c r="D29" i="50"/>
  <c r="J29" i="50"/>
  <c r="D32" i="50"/>
  <c r="J32" i="50"/>
  <c r="C21" i="57"/>
  <c r="I21" i="57"/>
  <c r="F21" i="57"/>
  <c r="M21" i="57"/>
  <c r="G21" i="57"/>
  <c r="B10" i="62"/>
  <c r="D10" i="62" s="1"/>
  <c r="E15" i="62"/>
  <c r="M36" i="58"/>
  <c r="F36" i="58"/>
  <c r="M21" i="54"/>
  <c r="F21" i="54"/>
  <c r="M24" i="54"/>
  <c r="F24" i="54"/>
  <c r="M27" i="54"/>
  <c r="F27" i="54"/>
  <c r="M21" i="50"/>
  <c r="F21" i="50"/>
  <c r="M26" i="50"/>
  <c r="F26" i="50"/>
  <c r="M29" i="50"/>
  <c r="F29" i="50"/>
  <c r="M32" i="50"/>
  <c r="F32" i="50"/>
  <c r="C31" i="43"/>
  <c r="I31" i="43"/>
  <c r="F31" i="43"/>
  <c r="M31" i="43"/>
  <c r="E31" i="43"/>
  <c r="O31" i="43" s="1"/>
  <c r="H21" i="57"/>
  <c r="C24" i="57"/>
  <c r="I24" i="57"/>
  <c r="F24" i="57"/>
  <c r="M24" i="57"/>
  <c r="H24" i="57"/>
  <c r="C24" i="46"/>
  <c r="I24" i="46"/>
  <c r="D24" i="46"/>
  <c r="K24" i="46"/>
  <c r="E24" i="46"/>
  <c r="O24" i="46" s="1"/>
  <c r="L24" i="46"/>
  <c r="G24" i="46"/>
  <c r="F24" i="46"/>
  <c r="G21" i="49"/>
  <c r="M21" i="49"/>
  <c r="G24" i="49"/>
  <c r="M24" i="49"/>
  <c r="G27" i="49"/>
  <c r="M27" i="49"/>
  <c r="G33" i="49"/>
  <c r="M33" i="49"/>
  <c r="G36" i="49"/>
  <c r="M36" i="49"/>
  <c r="G39" i="49"/>
  <c r="M39" i="49"/>
  <c r="G22" i="43"/>
  <c r="M22" i="43"/>
  <c r="C24" i="43"/>
  <c r="I24" i="43"/>
  <c r="F24" i="43"/>
  <c r="M24" i="43"/>
  <c r="C30" i="43"/>
  <c r="I30" i="43"/>
  <c r="H30" i="43"/>
  <c r="C25" i="57"/>
  <c r="I25" i="57"/>
  <c r="D25" i="57"/>
  <c r="K25" i="57"/>
  <c r="C27" i="57"/>
  <c r="I27" i="57"/>
  <c r="L30" i="57"/>
  <c r="C20" i="46"/>
  <c r="I20" i="46"/>
  <c r="C23" i="46"/>
  <c r="I23" i="46"/>
  <c r="C27" i="46"/>
  <c r="I27" i="46"/>
  <c r="C26" i="57"/>
  <c r="I26" i="57"/>
  <c r="G27" i="57"/>
  <c r="C30" i="57"/>
  <c r="I30" i="57"/>
  <c r="G20" i="46"/>
  <c r="C22" i="46"/>
  <c r="I22" i="46"/>
  <c r="G23" i="46"/>
  <c r="C25" i="46"/>
  <c r="I25" i="46"/>
  <c r="G27" i="46"/>
  <c r="H26" i="57"/>
  <c r="M27" i="57"/>
  <c r="F27" i="57"/>
  <c r="H30" i="57"/>
  <c r="M20" i="46"/>
  <c r="F20" i="46"/>
  <c r="H22" i="46"/>
  <c r="M23" i="46"/>
  <c r="F23" i="46"/>
  <c r="H25" i="46"/>
  <c r="M27" i="46"/>
  <c r="F27" i="46"/>
  <c r="I28" i="46"/>
  <c r="I29" i="46"/>
  <c r="I30" i="46"/>
  <c r="I31" i="46"/>
  <c r="I32" i="46"/>
  <c r="I33" i="46"/>
  <c r="I34" i="46"/>
  <c r="I35" i="46"/>
  <c r="I36" i="46"/>
  <c r="I37" i="46"/>
  <c r="I38" i="46"/>
  <c r="N20" i="40"/>
  <c r="H20" i="40"/>
  <c r="I18" i="27"/>
  <c r="F18" i="27"/>
  <c r="C18" i="27"/>
  <c r="H26" i="27"/>
  <c r="E26" i="27"/>
  <c r="G3" i="22"/>
  <c r="F9" i="27" s="1"/>
  <c r="R4" i="38"/>
  <c r="O2" i="51"/>
  <c r="M20" i="40"/>
  <c r="G20" i="40"/>
  <c r="G16" i="40" s="1"/>
  <c r="F3" i="22"/>
  <c r="E9" i="27" s="1"/>
  <c r="R9" i="38"/>
  <c r="S8" i="38"/>
  <c r="T7" i="38"/>
  <c r="N7" i="38"/>
  <c r="O6" i="38"/>
  <c r="P5" i="38"/>
  <c r="Q4" i="38"/>
  <c r="Q1" i="51"/>
  <c r="L20" i="40"/>
  <c r="F20" i="40"/>
  <c r="H18" i="27"/>
  <c r="E18" i="27"/>
  <c r="B18" i="27"/>
  <c r="G26" i="27"/>
  <c r="D26" i="27"/>
  <c r="B26" i="27"/>
  <c r="E3" i="22"/>
  <c r="D9" i="27" s="1"/>
  <c r="P4" i="38"/>
  <c r="D3" i="22"/>
  <c r="C9" i="27" s="1"/>
  <c r="O4" i="38"/>
  <c r="O3" i="51"/>
  <c r="J20" i="40"/>
  <c r="G18" i="27"/>
  <c r="D18" i="27"/>
  <c r="I26" i="27"/>
  <c r="F26" i="27"/>
  <c r="C26" i="27"/>
  <c r="I3" i="22"/>
  <c r="H9" i="27" s="1"/>
  <c r="C3" i="22"/>
  <c r="B9" i="27" s="1"/>
  <c r="A36" i="51" a="1"/>
  <c r="W6" i="51" a="1"/>
  <c r="P49" i="39" l="1"/>
  <c r="Q35" i="40"/>
  <c r="Q20" i="39"/>
  <c r="H37" i="27"/>
  <c r="I41" i="27"/>
  <c r="R25" i="40"/>
  <c r="Q47" i="44"/>
  <c r="P27" i="47"/>
  <c r="P53" i="39"/>
  <c r="R20" i="36"/>
  <c r="G41" i="27"/>
  <c r="G16" i="60"/>
  <c r="F16" i="53"/>
  <c r="T27" i="38"/>
  <c r="P21" i="52"/>
  <c r="U37" i="38"/>
  <c r="B10" i="27"/>
  <c r="B13" i="27"/>
  <c r="G16" i="46"/>
  <c r="G16" i="45"/>
  <c r="F16" i="45"/>
  <c r="F16" i="46"/>
  <c r="F16" i="60"/>
  <c r="Q33" i="60"/>
  <c r="Q26" i="49"/>
  <c r="I31" i="27"/>
  <c r="P50" i="46"/>
  <c r="Q50" i="46"/>
  <c r="Q26" i="60"/>
  <c r="Q31" i="60"/>
  <c r="Q35" i="60"/>
  <c r="Q28" i="60"/>
  <c r="P27" i="60"/>
  <c r="Q27" i="60"/>
  <c r="P32" i="60"/>
  <c r="Q32" i="60"/>
  <c r="P38" i="60"/>
  <c r="Q38" i="60"/>
  <c r="P30" i="60"/>
  <c r="Q30" i="60"/>
  <c r="P36" i="60"/>
  <c r="Q36" i="60"/>
  <c r="P29" i="60"/>
  <c r="Q29" i="60"/>
  <c r="P34" i="60"/>
  <c r="Q34" i="60"/>
  <c r="T24" i="38"/>
  <c r="P20" i="52"/>
  <c r="P21" i="47"/>
  <c r="R24" i="36"/>
  <c r="T28" i="38"/>
  <c r="T35" i="38"/>
  <c r="Q44" i="44"/>
  <c r="U28" i="38"/>
  <c r="P20" i="49"/>
  <c r="Q22" i="48"/>
  <c r="U24" i="38"/>
  <c r="V38" i="38"/>
  <c r="C31" i="27"/>
  <c r="T38" i="38"/>
  <c r="E15" i="27"/>
  <c r="Q31" i="44"/>
  <c r="Q24" i="47"/>
  <c r="Q42" i="44"/>
  <c r="Q35" i="44"/>
  <c r="R21" i="40"/>
  <c r="Q38" i="44"/>
  <c r="P43" i="39"/>
  <c r="Q43" i="44"/>
  <c r="P24" i="44"/>
  <c r="P25" i="47"/>
  <c r="Q28" i="43"/>
  <c r="Q31" i="42"/>
  <c r="Q26" i="40"/>
  <c r="G15" i="27"/>
  <c r="D37" i="27"/>
  <c r="Q47" i="39"/>
  <c r="Q36" i="46"/>
  <c r="Q24" i="39"/>
  <c r="V27" i="38"/>
  <c r="Q36" i="39"/>
  <c r="R27" i="40"/>
  <c r="P64" i="39"/>
  <c r="R27" i="36"/>
  <c r="G21" i="27"/>
  <c r="P26" i="46"/>
  <c r="Q49" i="46"/>
  <c r="V37" i="38"/>
  <c r="Q32" i="44"/>
  <c r="E23" i="27"/>
  <c r="G37" i="27"/>
  <c r="I17" i="27"/>
  <c r="F17" i="27"/>
  <c r="I15" i="27"/>
  <c r="F25" i="27"/>
  <c r="I21" i="27"/>
  <c r="E41" i="27"/>
  <c r="Q23" i="50"/>
  <c r="P20" i="58"/>
  <c r="Q31" i="49"/>
  <c r="P22" i="58"/>
  <c r="H15" i="27"/>
  <c r="P32" i="49"/>
  <c r="Q20" i="53"/>
  <c r="Q26" i="36"/>
  <c r="Q28" i="40"/>
  <c r="P20" i="48"/>
  <c r="E31" i="27"/>
  <c r="G25" i="27"/>
  <c r="I25" i="27"/>
  <c r="E21" i="27"/>
  <c r="P38" i="49"/>
  <c r="P23" i="58"/>
  <c r="D41" i="27"/>
  <c r="P26" i="39"/>
  <c r="D17" i="27"/>
  <c r="C15" i="27"/>
  <c r="P37" i="49"/>
  <c r="Q27" i="46"/>
  <c r="Q28" i="57"/>
  <c r="P37" i="39"/>
  <c r="P25" i="57"/>
  <c r="P33" i="50"/>
  <c r="Q27" i="48"/>
  <c r="Q33" i="46"/>
  <c r="Q22" i="43"/>
  <c r="P44" i="46"/>
  <c r="Q47" i="46"/>
  <c r="P21" i="50"/>
  <c r="P46" i="46"/>
  <c r="Q21" i="60"/>
  <c r="P30" i="49"/>
  <c r="P21" i="48"/>
  <c r="P28" i="49"/>
  <c r="P25" i="60"/>
  <c r="G48" i="51" a="1"/>
  <c r="G48" i="51" s="1"/>
  <c r="O19" i="39"/>
  <c r="A14" i="39" s="1"/>
  <c r="P26" i="45"/>
  <c r="P27" i="54"/>
  <c r="P43" i="46"/>
  <c r="Q22" i="44"/>
  <c r="Q32" i="46"/>
  <c r="H21" i="27"/>
  <c r="C21" i="27"/>
  <c r="G23" i="27"/>
  <c r="F41" i="27"/>
  <c r="G16" i="43"/>
  <c r="Q36" i="44"/>
  <c r="P35" i="49"/>
  <c r="P27" i="53"/>
  <c r="P22" i="46"/>
  <c r="P21" i="45"/>
  <c r="C41" i="27"/>
  <c r="P22" i="45"/>
  <c r="P25" i="52"/>
  <c r="G39" i="51" a="1"/>
  <c r="G39" i="51" s="1"/>
  <c r="P40" i="46"/>
  <c r="A36" i="51"/>
  <c r="AC7" i="51"/>
  <c r="C4" i="27" s="1"/>
  <c r="AD17" i="51"/>
  <c r="Z6" i="51"/>
  <c r="W11" i="51"/>
  <c r="AA15" i="51"/>
  <c r="Y9" i="51"/>
  <c r="AB14" i="51"/>
  <c r="AA8" i="51"/>
  <c r="AD13" i="51"/>
  <c r="AB7" i="51"/>
  <c r="X13" i="51"/>
  <c r="W6" i="51"/>
  <c r="AA11" i="51"/>
  <c r="AD16" i="51"/>
  <c r="Y17" i="51"/>
  <c r="X17" i="51"/>
  <c r="AA13" i="51"/>
  <c r="W7" i="51"/>
  <c r="Y7" i="51"/>
  <c r="X7" i="51"/>
  <c r="AC11" i="51"/>
  <c r="Y16" i="51"/>
  <c r="X10" i="51"/>
  <c r="AB15" i="51"/>
  <c r="Z9" i="51"/>
  <c r="AD14" i="51"/>
  <c r="AB8" i="51"/>
  <c r="X14" i="51"/>
  <c r="AD6" i="51"/>
  <c r="Z12" i="51"/>
  <c r="AC17" i="51"/>
  <c r="AA14" i="51"/>
  <c r="Z14" i="51"/>
  <c r="Z16" i="51"/>
  <c r="AC10" i="51"/>
  <c r="Y15" i="51"/>
  <c r="AD9" i="51"/>
  <c r="W8" i="51"/>
  <c r="AA12" i="51"/>
  <c r="W17" i="51"/>
  <c r="X11" i="51"/>
  <c r="AA16" i="51"/>
  <c r="Z10" i="51"/>
  <c r="AC15" i="51"/>
  <c r="AB9" i="51"/>
  <c r="W15" i="51"/>
  <c r="AD7" i="51"/>
  <c r="Z13" i="51"/>
  <c r="AD11" i="51"/>
  <c r="AB11" i="51"/>
  <c r="AB13" i="51"/>
  <c r="X8" i="51"/>
  <c r="AB12" i="51"/>
  <c r="AC8" i="51"/>
  <c r="Y13" i="51"/>
  <c r="AA6" i="51"/>
  <c r="W12" i="51"/>
  <c r="Z17" i="51"/>
  <c r="Y11" i="51"/>
  <c r="AB16" i="51"/>
  <c r="AA10" i="51"/>
  <c r="AD15" i="51"/>
  <c r="AD8" i="51"/>
  <c r="Y14" i="51"/>
  <c r="X9" i="51"/>
  <c r="W9" i="51"/>
  <c r="AD10" i="51"/>
  <c r="AC12" i="51"/>
  <c r="AA9" i="51"/>
  <c r="W14" i="51"/>
  <c r="Z7" i="51"/>
  <c r="AD12" i="51"/>
  <c r="AB6" i="51"/>
  <c r="X12" i="51"/>
  <c r="AA17" i="51"/>
  <c r="Z11" i="51"/>
  <c r="AC16" i="51"/>
  <c r="AC9" i="51"/>
  <c r="X15" i="51"/>
  <c r="Y6" i="51"/>
  <c r="X6" i="51"/>
  <c r="Y8" i="51"/>
  <c r="W10" i="51"/>
  <c r="Z15" i="51"/>
  <c r="Y10" i="51"/>
  <c r="AC14" i="51"/>
  <c r="Z8" i="51"/>
  <c r="AC13" i="51"/>
  <c r="AA7" i="51"/>
  <c r="W13" i="51"/>
  <c r="AC6" i="51"/>
  <c r="Y12" i="51"/>
  <c r="AB17" i="51"/>
  <c r="AB10" i="51"/>
  <c r="W16" i="51"/>
  <c r="X16" i="51"/>
  <c r="F23" i="27"/>
  <c r="H23" i="27"/>
  <c r="D23" i="27"/>
  <c r="S23" i="38"/>
  <c r="N11" i="38" s="1"/>
  <c r="P19" i="36"/>
  <c r="P39" i="46"/>
  <c r="P34" i="44"/>
  <c r="Q34" i="44"/>
  <c r="F31" i="27"/>
  <c r="Q37" i="36"/>
  <c r="R37" i="36"/>
  <c r="P54" i="39"/>
  <c r="Q54" i="39"/>
  <c r="F37" i="27"/>
  <c r="Q55" i="39"/>
  <c r="P55" i="39"/>
  <c r="R36" i="40"/>
  <c r="Q36" i="40"/>
  <c r="R35" i="36"/>
  <c r="Q35" i="36"/>
  <c r="Q61" i="39"/>
  <c r="P61" i="39"/>
  <c r="G16" i="58"/>
  <c r="P22" i="52"/>
  <c r="Q22" i="52"/>
  <c r="D15" i="27"/>
  <c r="H31" i="27"/>
  <c r="T36" i="38"/>
  <c r="V36" i="38"/>
  <c r="U36" i="38"/>
  <c r="V43" i="38"/>
  <c r="T43" i="38"/>
  <c r="P20" i="45"/>
  <c r="Q20" i="45"/>
  <c r="H41" i="27"/>
  <c r="Q22" i="36"/>
  <c r="R22" i="36"/>
  <c r="P27" i="39"/>
  <c r="Q27" i="39"/>
  <c r="T40" i="38"/>
  <c r="U40" i="38"/>
  <c r="V40" i="38"/>
  <c r="Q28" i="39"/>
  <c r="P28" i="39"/>
  <c r="V34" i="38"/>
  <c r="U34" i="38"/>
  <c r="T34" i="38"/>
  <c r="P26" i="57"/>
  <c r="Q30" i="44"/>
  <c r="Q48" i="46"/>
  <c r="E17" i="27"/>
  <c r="P29" i="52"/>
  <c r="P30" i="43"/>
  <c r="P23" i="52"/>
  <c r="Q23" i="52"/>
  <c r="P26" i="47"/>
  <c r="Q26" i="47"/>
  <c r="P40" i="44"/>
  <c r="Q40" i="44"/>
  <c r="F15" i="27"/>
  <c r="I23" i="27"/>
  <c r="G17" i="27"/>
  <c r="C17" i="27"/>
  <c r="T42" i="38"/>
  <c r="U42" i="38"/>
  <c r="V42" i="38"/>
  <c r="Q52" i="39"/>
  <c r="P52" i="39"/>
  <c r="V49" i="38"/>
  <c r="T49" i="38"/>
  <c r="U49" i="38"/>
  <c r="R33" i="40"/>
  <c r="Q33" i="40"/>
  <c r="Q25" i="39"/>
  <c r="P25" i="39"/>
  <c r="Q58" i="39"/>
  <c r="P58" i="39"/>
  <c r="Q25" i="44"/>
  <c r="P25" i="44"/>
  <c r="T30" i="38"/>
  <c r="V30" i="38"/>
  <c r="Q30" i="42"/>
  <c r="P30" i="42"/>
  <c r="E37" i="27"/>
  <c r="Q27" i="44"/>
  <c r="P27" i="44"/>
  <c r="Q34" i="39"/>
  <c r="P34" i="39"/>
  <c r="T47" i="38"/>
  <c r="U47" i="38"/>
  <c r="V47" i="38"/>
  <c r="Q31" i="40"/>
  <c r="R31" i="40"/>
  <c r="Q56" i="39"/>
  <c r="P56" i="39"/>
  <c r="P25" i="42"/>
  <c r="Q25" i="42"/>
  <c r="Q23" i="48"/>
  <c r="P23" i="48"/>
  <c r="D31" i="27"/>
  <c r="G31" i="27"/>
  <c r="H25" i="27"/>
  <c r="D21" i="27"/>
  <c r="F21" i="27"/>
  <c r="P62" i="39"/>
  <c r="Q62" i="39"/>
  <c r="Q31" i="39"/>
  <c r="P31" i="39"/>
  <c r="R34" i="40"/>
  <c r="Q34" i="40"/>
  <c r="V31" i="38"/>
  <c r="U31" i="38"/>
  <c r="T31" i="38"/>
  <c r="Q33" i="36"/>
  <c r="R33" i="36"/>
  <c r="Q38" i="39"/>
  <c r="P38" i="39"/>
  <c r="V52" i="38"/>
  <c r="T52" i="38"/>
  <c r="U52" i="38"/>
  <c r="P45" i="39"/>
  <c r="Q45" i="39"/>
  <c r="V53" i="38"/>
  <c r="U53" i="38"/>
  <c r="T53" i="38"/>
  <c r="Q46" i="39"/>
  <c r="P46" i="39"/>
  <c r="P41" i="44"/>
  <c r="Q41" i="44"/>
  <c r="Q31" i="52"/>
  <c r="Q33" i="49"/>
  <c r="P23" i="47"/>
  <c r="Q23" i="47"/>
  <c r="P24" i="42"/>
  <c r="Q24" i="42"/>
  <c r="P46" i="44"/>
  <c r="Q46" i="44"/>
  <c r="U29" i="38"/>
  <c r="V29" i="38"/>
  <c r="U26" i="38"/>
  <c r="T26" i="38"/>
  <c r="R36" i="36"/>
  <c r="Q36" i="36"/>
  <c r="P22" i="47"/>
  <c r="Q22" i="47"/>
  <c r="P23" i="42"/>
  <c r="Q23" i="42"/>
  <c r="P37" i="44"/>
  <c r="Q37" i="44"/>
  <c r="U44" i="38"/>
  <c r="T44" i="38"/>
  <c r="V44" i="38"/>
  <c r="Q20" i="54"/>
  <c r="P20" i="54"/>
  <c r="V39" i="38"/>
  <c r="T39" i="38"/>
  <c r="R29" i="40"/>
  <c r="Q29" i="40"/>
  <c r="R29" i="36"/>
  <c r="Q29" i="36"/>
  <c r="Q23" i="45"/>
  <c r="P23" i="45"/>
  <c r="Q27" i="42"/>
  <c r="P27" i="42"/>
  <c r="Q40" i="39"/>
  <c r="P40" i="39"/>
  <c r="Q26" i="42"/>
  <c r="P26" i="42"/>
  <c r="D25" i="27"/>
  <c r="E25" i="27"/>
  <c r="C23" i="27"/>
  <c r="U32" i="38"/>
  <c r="T32" i="38"/>
  <c r="P28" i="47"/>
  <c r="Q28" i="47"/>
  <c r="Q31" i="36"/>
  <c r="R31" i="36"/>
  <c r="U50" i="38"/>
  <c r="T50" i="38"/>
  <c r="Q26" i="44"/>
  <c r="P26" i="44"/>
  <c r="I37" i="27"/>
  <c r="R24" i="40"/>
  <c r="Q24" i="40"/>
  <c r="P28" i="44"/>
  <c r="Q28" i="44"/>
  <c r="Q29" i="44"/>
  <c r="P29" i="44"/>
  <c r="P23" i="44"/>
  <c r="Q23" i="44"/>
  <c r="B7" i="27"/>
  <c r="G7" i="27"/>
  <c r="G16" i="52"/>
  <c r="G16" i="50"/>
  <c r="P35" i="58"/>
  <c r="Q26" i="43"/>
  <c r="P27" i="49"/>
  <c r="Q27" i="49"/>
  <c r="Q27" i="58"/>
  <c r="P27" i="58"/>
  <c r="P24" i="57"/>
  <c r="Q24" i="57"/>
  <c r="G16" i="54"/>
  <c r="G16" i="48"/>
  <c r="Q26" i="53"/>
  <c r="P29" i="43"/>
  <c r="Q29" i="43"/>
  <c r="P28" i="52"/>
  <c r="Q28" i="52"/>
  <c r="G16" i="44"/>
  <c r="P23" i="49"/>
  <c r="G16" i="49"/>
  <c r="P25" i="43"/>
  <c r="Q25" i="43"/>
  <c r="Q23" i="43"/>
  <c r="P23" i="43"/>
  <c r="Q24" i="43"/>
  <c r="P24" i="43"/>
  <c r="O20" i="57"/>
  <c r="O19" i="57" s="1"/>
  <c r="F16" i="57"/>
  <c r="Q26" i="48"/>
  <c r="P26" i="48"/>
  <c r="G16" i="53"/>
  <c r="P36" i="58"/>
  <c r="Q36" i="58"/>
  <c r="O21" i="49"/>
  <c r="O19" i="49" s="1"/>
  <c r="A14" i="49" s="1"/>
  <c r="F16" i="49"/>
  <c r="G16" i="57"/>
  <c r="G16" i="47"/>
  <c r="P27" i="45"/>
  <c r="Q23" i="53"/>
  <c r="P23" i="53"/>
  <c r="P45" i="46"/>
  <c r="Q45" i="46"/>
  <c r="Q41" i="46"/>
  <c r="P41" i="46"/>
  <c r="P24" i="53"/>
  <c r="Q24" i="53"/>
  <c r="Q35" i="46"/>
  <c r="P35" i="46"/>
  <c r="O21" i="43"/>
  <c r="O19" i="43" s="1"/>
  <c r="A14" i="43" s="1"/>
  <c r="F16" i="43"/>
  <c r="P24" i="54"/>
  <c r="P39" i="49"/>
  <c r="Q23" i="60"/>
  <c r="Q36" i="49"/>
  <c r="P36" i="49"/>
  <c r="O19" i="48"/>
  <c r="A14" i="48" s="1"/>
  <c r="P22" i="49"/>
  <c r="Q24" i="49"/>
  <c r="P24" i="49"/>
  <c r="Q29" i="46"/>
  <c r="P29" i="46"/>
  <c r="P30" i="57"/>
  <c r="Q38" i="46"/>
  <c r="P38" i="46"/>
  <c r="Q33" i="58"/>
  <c r="P33" i="58"/>
  <c r="Q29" i="50"/>
  <c r="P29" i="50"/>
  <c r="P30" i="46"/>
  <c r="Q30" i="46"/>
  <c r="Q21" i="57"/>
  <c r="P21" i="57"/>
  <c r="Q30" i="58"/>
  <c r="P30" i="58"/>
  <c r="Q34" i="49"/>
  <c r="P34" i="49"/>
  <c r="Q28" i="46"/>
  <c r="P28" i="46"/>
  <c r="Q23" i="46"/>
  <c r="P23" i="46"/>
  <c r="Q26" i="50"/>
  <c r="P26" i="50"/>
  <c r="F16" i="54"/>
  <c r="O21" i="54"/>
  <c r="O19" i="54" s="1"/>
  <c r="F16" i="48"/>
  <c r="P25" i="54"/>
  <c r="Q25" i="54"/>
  <c r="Q25" i="46"/>
  <c r="P25" i="46"/>
  <c r="Q31" i="46"/>
  <c r="P31" i="46"/>
  <c r="P25" i="49"/>
  <c r="Q25" i="49"/>
  <c r="P22" i="54"/>
  <c r="Q22" i="54"/>
  <c r="Q35" i="38"/>
  <c r="Q42" i="38"/>
  <c r="Q33" i="38"/>
  <c r="Q26" i="38"/>
  <c r="Q45" i="38"/>
  <c r="Q27" i="38"/>
  <c r="Q44" i="38"/>
  <c r="Q38" i="38"/>
  <c r="Q34" i="38"/>
  <c r="Q25" i="38"/>
  <c r="Q39" i="38"/>
  <c r="Q37" i="38"/>
  <c r="Q51" i="38"/>
  <c r="Q30" i="38"/>
  <c r="Q36" i="38"/>
  <c r="Q46" i="38"/>
  <c r="Q29" i="38"/>
  <c r="Q47" i="38"/>
  <c r="Q28" i="38"/>
  <c r="P40" i="49"/>
  <c r="Q40" i="49"/>
  <c r="Q25" i="45"/>
  <c r="P25" i="45"/>
  <c r="O20" i="46"/>
  <c r="O19" i="46" s="1"/>
  <c r="Q48" i="38"/>
  <c r="Q32" i="50"/>
  <c r="P32" i="50"/>
  <c r="Q31" i="38"/>
  <c r="O19" i="45"/>
  <c r="A14" i="45" s="1"/>
  <c r="Q24" i="38"/>
  <c r="Q32" i="38"/>
  <c r="Q26" i="58"/>
  <c r="P26" i="58"/>
  <c r="P27" i="57"/>
  <c r="Q27" i="57"/>
  <c r="Q31" i="58"/>
  <c r="P31" i="58"/>
  <c r="Q40" i="38"/>
  <c r="Q52" i="38"/>
  <c r="P37" i="46"/>
  <c r="Q37" i="46"/>
  <c r="Q21" i="44"/>
  <c r="P21" i="44"/>
  <c r="Q41" i="38"/>
  <c r="Q30" i="47"/>
  <c r="P30" i="47"/>
  <c r="Q34" i="46"/>
  <c r="P34" i="46"/>
  <c r="O20" i="60"/>
  <c r="O19" i="60" s="1"/>
  <c r="Q49" i="38"/>
  <c r="Q53" i="38"/>
  <c r="P27" i="50"/>
  <c r="Q27" i="50"/>
  <c r="Q50" i="38"/>
  <c r="Q26" i="52"/>
  <c r="P26" i="52"/>
  <c r="Q43" i="38"/>
  <c r="A14" i="36"/>
  <c r="F11" i="27"/>
  <c r="F27" i="27"/>
  <c r="F12" i="27"/>
  <c r="A2" i="57" a="1"/>
  <c r="A2" i="57" s="1"/>
  <c r="A2" i="60" a="1"/>
  <c r="A2" i="60" s="1"/>
  <c r="A2" i="58" a="1"/>
  <c r="A2" i="58" s="1"/>
  <c r="A2" i="44" a="1"/>
  <c r="A2" i="44" s="1"/>
  <c r="A2" i="54" a="1"/>
  <c r="A2" i="54" s="1"/>
  <c r="A2" i="43" a="1"/>
  <c r="A2" i="43" s="1"/>
  <c r="A2" i="52" a="1"/>
  <c r="A2" i="52" s="1"/>
  <c r="A2" i="42" a="1"/>
  <c r="A2" i="42" s="1"/>
  <c r="A2" i="36" a="1"/>
  <c r="A2" i="36" s="1"/>
  <c r="A2" i="48" a="1"/>
  <c r="A2" i="48" s="1"/>
  <c r="A2" i="45" a="1"/>
  <c r="A2" i="45" s="1"/>
  <c r="A2" i="47" a="1"/>
  <c r="A2" i="47" s="1"/>
  <c r="A2" i="46" a="1"/>
  <c r="A2" i="46" s="1"/>
  <c r="A2" i="50" a="1"/>
  <c r="A2" i="50" s="1"/>
  <c r="A2" i="53" a="1"/>
  <c r="A2" i="53" s="1"/>
  <c r="A2" i="39" a="1"/>
  <c r="A2" i="39" s="1"/>
  <c r="A2" i="40" a="1"/>
  <c r="A2" i="40" s="1"/>
  <c r="A2" i="49" a="1"/>
  <c r="A2" i="49" s="1"/>
  <c r="E19" i="27"/>
  <c r="E13" i="27"/>
  <c r="D19" i="27"/>
  <c r="D13" i="27"/>
  <c r="C28" i="27"/>
  <c r="C10" i="27" s="1"/>
  <c r="I28" i="27"/>
  <c r="I10" i="27" s="1"/>
  <c r="D28" i="27"/>
  <c r="D10" i="27" s="1"/>
  <c r="E28" i="27"/>
  <c r="E10" i="27" s="1"/>
  <c r="F28" i="27"/>
  <c r="G28" i="27"/>
  <c r="G10" i="27" s="1"/>
  <c r="H28" i="27"/>
  <c r="H10" i="27" s="1"/>
  <c r="E42" i="27"/>
  <c r="F38" i="27"/>
  <c r="F32" i="27"/>
  <c r="H38" i="27"/>
  <c r="G34" i="27"/>
  <c r="C34" i="27"/>
  <c r="C38" i="27"/>
  <c r="C32" i="27"/>
  <c r="D42" i="27"/>
  <c r="E34" i="27"/>
  <c r="I42" i="27"/>
  <c r="E32" i="27"/>
  <c r="E38" i="27"/>
  <c r="D32" i="27"/>
  <c r="G42" i="27"/>
  <c r="B38" i="27"/>
  <c r="B32" i="27"/>
  <c r="C42" i="27"/>
  <c r="H42" i="27"/>
  <c r="F42" i="27"/>
  <c r="I34" i="27"/>
  <c r="I32" i="27"/>
  <c r="D34" i="27"/>
  <c r="B34" i="27"/>
  <c r="G38" i="27"/>
  <c r="G32" i="27"/>
  <c r="D38" i="27"/>
  <c r="H34" i="27"/>
  <c r="I38" i="27"/>
  <c r="H32" i="27"/>
  <c r="B42" i="27"/>
  <c r="F34" i="27"/>
  <c r="H19" i="27"/>
  <c r="H13" i="27"/>
  <c r="I19" i="27"/>
  <c r="I13" i="27"/>
  <c r="Q34" i="43"/>
  <c r="P34" i="43"/>
  <c r="O21" i="53"/>
  <c r="Q22" i="60"/>
  <c r="P22" i="60"/>
  <c r="P39" i="39"/>
  <c r="Q39" i="39"/>
  <c r="Q23" i="40"/>
  <c r="R23" i="40"/>
  <c r="R32" i="40"/>
  <c r="Q32" i="40"/>
  <c r="R32" i="36"/>
  <c r="Q32" i="36"/>
  <c r="P34" i="58"/>
  <c r="Q34" i="58"/>
  <c r="Q24" i="48"/>
  <c r="P24" i="48"/>
  <c r="P24" i="58"/>
  <c r="Q24" i="58"/>
  <c r="Q23" i="57"/>
  <c r="P23" i="57"/>
  <c r="Q27" i="43"/>
  <c r="P27" i="43"/>
  <c r="Q27" i="52"/>
  <c r="P27" i="52"/>
  <c r="Q21" i="58"/>
  <c r="P21" i="58"/>
  <c r="P33" i="44"/>
  <c r="Q33" i="44"/>
  <c r="P48" i="39"/>
  <c r="Q48" i="39"/>
  <c r="P24" i="60"/>
  <c r="Q24" i="60"/>
  <c r="R25" i="36"/>
  <c r="Q25" i="36"/>
  <c r="Q32" i="39"/>
  <c r="P32" i="39"/>
  <c r="Q59" i="39"/>
  <c r="P59" i="39"/>
  <c r="D11" i="27"/>
  <c r="D12" i="27"/>
  <c r="D27" i="27"/>
  <c r="E11" i="27"/>
  <c r="E27" i="27"/>
  <c r="E12" i="27"/>
  <c r="P31" i="43"/>
  <c r="Q31" i="43"/>
  <c r="Q31" i="50"/>
  <c r="P31" i="50"/>
  <c r="Q37" i="58"/>
  <c r="P37" i="58"/>
  <c r="P32" i="58"/>
  <c r="Q32" i="58"/>
  <c r="Q28" i="58"/>
  <c r="P28" i="58"/>
  <c r="P25" i="58"/>
  <c r="Q25" i="58"/>
  <c r="Q25" i="53"/>
  <c r="P25" i="53"/>
  <c r="P22" i="53"/>
  <c r="Q22" i="53"/>
  <c r="Q20" i="42"/>
  <c r="O19" i="42"/>
  <c r="P20" i="42"/>
  <c r="Q24" i="52"/>
  <c r="P24" i="52"/>
  <c r="O19" i="52"/>
  <c r="Q24" i="45"/>
  <c r="P24" i="45"/>
  <c r="F16" i="58"/>
  <c r="G46" i="51" s="1" a="1"/>
  <c r="G46" i="51" s="1"/>
  <c r="Q42" i="46"/>
  <c r="P42" i="46"/>
  <c r="Q30" i="40"/>
  <c r="R30" i="40"/>
  <c r="F16" i="50"/>
  <c r="O20" i="50"/>
  <c r="P57" i="39"/>
  <c r="Q57" i="39"/>
  <c r="Q22" i="57"/>
  <c r="P22" i="57"/>
  <c r="T48" i="38"/>
  <c r="V48" i="38"/>
  <c r="U48" i="38"/>
  <c r="O19" i="47"/>
  <c r="P20" i="47"/>
  <c r="Q20" i="47"/>
  <c r="P33" i="43"/>
  <c r="Q33" i="43"/>
  <c r="P28" i="42"/>
  <c r="Q28" i="42"/>
  <c r="C11" i="27"/>
  <c r="C12" i="27"/>
  <c r="C27" i="27"/>
  <c r="G11" i="27"/>
  <c r="G27" i="27"/>
  <c r="G12" i="27"/>
  <c r="H11" i="27"/>
  <c r="H12" i="27"/>
  <c r="H27" i="27"/>
  <c r="Q24" i="46"/>
  <c r="P24" i="46"/>
  <c r="P24" i="50"/>
  <c r="Q24" i="50"/>
  <c r="Q23" i="54"/>
  <c r="P23" i="54"/>
  <c r="Q22" i="50"/>
  <c r="P22" i="50"/>
  <c r="P38" i="58"/>
  <c r="Q38" i="58"/>
  <c r="P29" i="47"/>
  <c r="Q29" i="47"/>
  <c r="O19" i="58"/>
  <c r="P39" i="44"/>
  <c r="Q39" i="44"/>
  <c r="Q41" i="39"/>
  <c r="P41" i="39"/>
  <c r="Q30" i="52"/>
  <c r="P30" i="52"/>
  <c r="B11" i="27"/>
  <c r="B12" i="27"/>
  <c r="C13" i="27"/>
  <c r="C19" i="27"/>
  <c r="P29" i="57"/>
  <c r="Q29" i="57"/>
  <c r="Q26" i="54"/>
  <c r="P26" i="54"/>
  <c r="Q39" i="58"/>
  <c r="P39" i="58"/>
  <c r="F16" i="44"/>
  <c r="O20" i="44"/>
  <c r="Q32" i="43"/>
  <c r="P32" i="43"/>
  <c r="P22" i="42"/>
  <c r="Q22" i="42"/>
  <c r="P21" i="39"/>
  <c r="Q21" i="39"/>
  <c r="F16" i="47"/>
  <c r="Q34" i="36"/>
  <c r="R34" i="36"/>
  <c r="P25" i="50"/>
  <c r="Q25" i="50"/>
  <c r="G19" i="27"/>
  <c r="G13" i="27"/>
  <c r="F16" i="40"/>
  <c r="G38" i="51" s="1" a="1"/>
  <c r="G38" i="51" s="1"/>
  <c r="P20" i="40"/>
  <c r="I11" i="27"/>
  <c r="I12" i="27"/>
  <c r="I27" i="27"/>
  <c r="F19" i="27"/>
  <c r="F13" i="27"/>
  <c r="Q28" i="50"/>
  <c r="P28" i="50"/>
  <c r="P21" i="46"/>
  <c r="Q21" i="46"/>
  <c r="P28" i="45"/>
  <c r="Q28" i="45"/>
  <c r="P30" i="50"/>
  <c r="Q30" i="50"/>
  <c r="Q25" i="48"/>
  <c r="P25" i="48"/>
  <c r="F16" i="52"/>
  <c r="P45" i="44"/>
  <c r="Q45" i="44"/>
  <c r="Q29" i="49"/>
  <c r="P29" i="49"/>
  <c r="P30" i="39"/>
  <c r="Q30" i="39"/>
  <c r="U41" i="38"/>
  <c r="T41" i="38"/>
  <c r="V41" i="38"/>
  <c r="R23" i="36"/>
  <c r="Q23" i="36"/>
  <c r="Q23" i="39"/>
  <c r="P23" i="39"/>
  <c r="Q50" i="39"/>
  <c r="P50" i="39"/>
  <c r="G43" i="51" l="1" a="1"/>
  <c r="G43" i="51" s="1"/>
  <c r="D33" i="27"/>
  <c r="G40" i="51" a="1"/>
  <c r="G40" i="51" s="1"/>
  <c r="G51" i="51" a="1"/>
  <c r="G51" i="51" s="1"/>
  <c r="G44" i="51" a="1"/>
  <c r="G44" i="51" s="1"/>
  <c r="G45" i="51" a="1"/>
  <c r="G45" i="51" s="1"/>
  <c r="G53" i="51" a="1"/>
  <c r="G53" i="51" s="1"/>
  <c r="G33" i="27"/>
  <c r="G47" i="51" a="1"/>
  <c r="G47" i="51" s="1"/>
  <c r="G49" i="51" a="1"/>
  <c r="G49" i="51" s="1"/>
  <c r="U23" i="38"/>
  <c r="P17" i="38" s="1"/>
  <c r="T23" i="38"/>
  <c r="P16" i="38" s="1"/>
  <c r="G41" i="51" a="1"/>
  <c r="G41" i="51" s="1"/>
  <c r="G42" i="51" a="1"/>
  <c r="G42" i="51" s="1"/>
  <c r="G52" i="51" a="1"/>
  <c r="G52" i="51" s="1"/>
  <c r="R19" i="36"/>
  <c r="A16" i="36" s="1"/>
  <c r="V23" i="38"/>
  <c r="P18" i="38" s="1"/>
  <c r="P19" i="45"/>
  <c r="A15" i="45" s="1"/>
  <c r="Q19" i="45"/>
  <c r="A16" i="45" s="1"/>
  <c r="G50" i="51" a="1"/>
  <c r="G50" i="51" s="1"/>
  <c r="F35" i="27"/>
  <c r="F29" i="27"/>
  <c r="F10" i="27"/>
  <c r="C6" i="27" s="1"/>
  <c r="Q19" i="58"/>
  <c r="A16" i="58" s="1"/>
  <c r="Q19" i="39"/>
  <c r="A16" i="39" s="1"/>
  <c r="P19" i="58"/>
  <c r="A15" i="58" s="1"/>
  <c r="P19" i="52"/>
  <c r="A15" i="52" s="1"/>
  <c r="Q19" i="36"/>
  <c r="A15" i="36" s="1"/>
  <c r="Q19" i="52"/>
  <c r="A16" i="52" s="1"/>
  <c r="Q19" i="48"/>
  <c r="A16" i="48" s="1"/>
  <c r="Q21" i="49"/>
  <c r="Q19" i="49" s="1"/>
  <c r="A16" i="49" s="1"/>
  <c r="P21" i="49"/>
  <c r="P19" i="49" s="1"/>
  <c r="A15" i="49" s="1"/>
  <c r="Q20" i="57"/>
  <c r="Q19" i="57" s="1"/>
  <c r="A16" i="57" s="1"/>
  <c r="P20" i="57"/>
  <c r="P19" i="57" s="1"/>
  <c r="A15" i="57" s="1"/>
  <c r="C43" i="27"/>
  <c r="D35" i="27"/>
  <c r="I43" i="27"/>
  <c r="C29" i="27"/>
  <c r="P19" i="48"/>
  <c r="A15" i="48" s="1"/>
  <c r="D39" i="27"/>
  <c r="P19" i="47"/>
  <c r="A15" i="47" s="1"/>
  <c r="F43" i="27"/>
  <c r="F39" i="27"/>
  <c r="Q21" i="43"/>
  <c r="Q19" i="43" s="1"/>
  <c r="A16" i="43" s="1"/>
  <c r="P21" i="43"/>
  <c r="P19" i="43" s="1"/>
  <c r="A15" i="43" s="1"/>
  <c r="E29" i="27"/>
  <c r="Q21" i="54"/>
  <c r="Q19" i="54" s="1"/>
  <c r="A16" i="54" s="1"/>
  <c r="P21" i="54"/>
  <c r="P19" i="54" s="1"/>
  <c r="A15" i="54" s="1"/>
  <c r="Q20" i="60"/>
  <c r="Q19" i="60" s="1"/>
  <c r="A16" i="60" s="1"/>
  <c r="P20" i="60"/>
  <c r="P19" i="60" s="1"/>
  <c r="A15" i="60" s="1"/>
  <c r="I39" i="27"/>
  <c r="G29" i="27"/>
  <c r="P20" i="46"/>
  <c r="P19" i="46" s="1"/>
  <c r="A15" i="46" s="1"/>
  <c r="Q20" i="46"/>
  <c r="Q19" i="46" s="1"/>
  <c r="A16" i="46" s="1"/>
  <c r="O19" i="44"/>
  <c r="Q20" i="44"/>
  <c r="Q19" i="44" s="1"/>
  <c r="A16" i="44" s="1"/>
  <c r="P20" i="44"/>
  <c r="P19" i="44" s="1"/>
  <c r="A15" i="44" s="1"/>
  <c r="A14" i="54"/>
  <c r="A14" i="47"/>
  <c r="Q19" i="42"/>
  <c r="A16" i="42" s="1"/>
  <c r="P21" i="53"/>
  <c r="P19" i="53" s="1"/>
  <c r="A15" i="53" s="1"/>
  <c r="Q21" i="53"/>
  <c r="Q19" i="53" s="1"/>
  <c r="A16" i="53" s="1"/>
  <c r="O19" i="53"/>
  <c r="H35" i="27"/>
  <c r="I33" i="27"/>
  <c r="E35" i="27"/>
  <c r="H39" i="27"/>
  <c r="A14" i="42"/>
  <c r="G35" i="27"/>
  <c r="A14" i="46"/>
  <c r="P19" i="40"/>
  <c r="R20" i="40"/>
  <c r="R19" i="40" s="1"/>
  <c r="A16" i="40" s="1"/>
  <c r="Q20" i="40"/>
  <c r="Q19" i="40" s="1"/>
  <c r="A15" i="40" s="1"/>
  <c r="A14" i="52"/>
  <c r="I35" i="27"/>
  <c r="G43" i="27"/>
  <c r="D43" i="27"/>
  <c r="F33" i="27"/>
  <c r="A14" i="60"/>
  <c r="C33" i="27"/>
  <c r="P19" i="39"/>
  <c r="B4" i="27"/>
  <c r="P20" i="50"/>
  <c r="P19" i="50" s="1"/>
  <c r="A15" i="50" s="1"/>
  <c r="Q20" i="50"/>
  <c r="Q19" i="50" s="1"/>
  <c r="A16" i="50" s="1"/>
  <c r="O19" i="50"/>
  <c r="G39" i="27"/>
  <c r="H43" i="27"/>
  <c r="E39" i="27"/>
  <c r="C39" i="27"/>
  <c r="E43" i="27"/>
  <c r="D29" i="27"/>
  <c r="A14" i="58"/>
  <c r="B3" i="27"/>
  <c r="Q19" i="47"/>
  <c r="A16" i="47" s="1"/>
  <c r="A14" i="57"/>
  <c r="P19" i="42"/>
  <c r="A15" i="42" s="1"/>
  <c r="H33" i="27"/>
  <c r="E33" i="27"/>
  <c r="C35" i="27"/>
  <c r="H29" i="27"/>
  <c r="I29" i="27"/>
  <c r="A17" i="48" l="1"/>
  <c r="A17" i="45"/>
  <c r="A17" i="36"/>
  <c r="B5" i="27"/>
  <c r="A17" i="58"/>
  <c r="A17" i="57"/>
  <c r="A17" i="52"/>
  <c r="A17" i="49"/>
  <c r="A17" i="54"/>
  <c r="A17" i="46"/>
  <c r="A17" i="43"/>
  <c r="A17" i="60"/>
  <c r="A17" i="42"/>
  <c r="A15" i="39"/>
  <c r="A17" i="39"/>
  <c r="A14" i="40"/>
  <c r="A17" i="40"/>
  <c r="A14" i="50"/>
  <c r="A17" i="50"/>
  <c r="A14" i="44"/>
  <c r="A17" i="44"/>
  <c r="A17" i="47"/>
  <c r="A14" i="53"/>
  <c r="A17" i="53"/>
  <c r="H6" i="27" l="1"/>
  <c r="H7" i="27" s="1"/>
  <c r="I6" i="27"/>
  <c r="I7" i="27" s="1"/>
  <c r="B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ang gia CP!$B$1:$G$3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BanggiaCPB1G311"/>
        </x15:connection>
      </ext>
    </extLst>
  </connection>
  <connection id="3" xr16:uid="{00000000-0015-0000-FFFF-FFFF02000000}" name="WorksheetConnection_Bang gia CP!$E:$G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BanggiaCPEG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<sst xmlns="http://schemas.openxmlformats.org/spreadsheetml/2006/main" count="12797" uniqueCount="3221">
  <si>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</si>
  <si>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</si>
  <si>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</si>
  <si>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</si>
  <si>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</si>
  <si>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</si>
  <si>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</si>
  <si>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</si>
  <si>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</si>
  <si>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</si>
  <si>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</si>
  <si>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</si>
  <si>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</si>
  <si>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</si>
  <si>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</si>
  <si>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Loại BCTC</t>
  </si>
  <si>
    <t>Mã</t>
  </si>
  <si>
    <t>Năm tài chính</t>
  </si>
  <si>
    <t>Timely</t>
  </si>
  <si>
    <t>P&amp;L</t>
  </si>
  <si>
    <t>CF</t>
  </si>
  <si>
    <t>Sử dụng tương tự như hàm  report_finance_vnd</t>
  </si>
  <si>
    <t>Hàm giao dịch khối ngoại</t>
  </si>
  <si>
    <t>giao_dich_tu_doanh(symbol,fromdate,todate)</t>
  </si>
  <si>
    <t>Hàm giao dịch tự doanh</t>
  </si>
  <si>
    <t>Hàm giao dịch nội bộ</t>
  </si>
  <si>
    <t>giao_dich_noi_bo(symbol,fromdate,todate)</t>
  </si>
  <si>
    <t>giao_dich_khoi_ngoai(symbol,fromdate,todate)</t>
  </si>
  <si>
    <t>Hàm đổi tỷ giá</t>
  </si>
  <si>
    <t>exchange_currency(current,cover_current,from_date,to_date)</t>
  </si>
  <si>
    <t>laisuat_vietstock(fromdate,todate)</t>
  </si>
  <si>
    <t>report_finance_vnd(symbol,report,year,timely)</t>
  </si>
  <si>
    <t>report_finance_cf(symbol,report,year,timely)</t>
  </si>
  <si>
    <t>Hàm lấy chỉ số CPI</t>
  </si>
  <si>
    <t>getCPI_vietstock(fromdate,todate)</t>
  </si>
  <si>
    <t>Hàm lấy số liệu sản xuất</t>
  </si>
  <si>
    <t>solieu_sanxuat_congnghiep(fromdate,todate)</t>
  </si>
  <si>
    <t>Hàm lấy số liệu bán lẻ</t>
  </si>
  <si>
    <t>Hàm lấy số liệu Xuất Nhập Khẩu</t>
  </si>
  <si>
    <t>solieu_XNK_vietstock(fromdate,todate)</t>
  </si>
  <si>
    <t>solieu_banle_vietstock(fromdate,todate)</t>
  </si>
  <si>
    <t>Hàm lấy tỷ giá theo vietstock</t>
  </si>
  <si>
    <t>tygia_vietstock(fromdate,todate)</t>
  </si>
  <si>
    <t>Hàm lấy số liệu tín dụng</t>
  </si>
  <si>
    <t>solieu_tindung_vietstock(fromdate,todate)</t>
  </si>
  <si>
    <t>Hàm lấy số liệu GDP</t>
  </si>
  <si>
    <t>solieu_GDP_vietstock(fromyear,fromQ,toyear,toQ)</t>
  </si>
  <si>
    <t>get_price_history_cafef(symbol,fromdate,todate)</t>
  </si>
  <si>
    <t>Hàm lấy lãi suất từ vietstock</t>
  </si>
  <si>
    <t>Hàm lẫy lãi suất từ cafef</t>
  </si>
  <si>
    <t>lai_suat_cafef()</t>
  </si>
  <si>
    <t>Hàm lấy giá chứng khoán từ cafef</t>
  </si>
  <si>
    <t>Hàm lấy báo cáo tài chính từ trang cafef</t>
  </si>
  <si>
    <t>Hàm lấy báo cáo tài chính từ công ty chứng khoán vndirect</t>
  </si>
  <si>
    <t>ví dụ =giao_dich_khoi_ngoai(ACB,20/08/2023,30/08/2023)</t>
  </si>
  <si>
    <t>ví dụ =giao_dich_noi_bo(ACB,20/08/2023,30/08/2023)</t>
  </si>
  <si>
    <t>ví dụ =giao_dich_tu_doanh(ACB,20/08/2023,30/08/2023)</t>
  </si>
  <si>
    <t>ví dụ: =report_finance_vnd(acb,bs,2023,quarter)</t>
  </si>
  <si>
    <t>ví dụ: =get_price_history_cafef(ACB,20/08/2023,30/08/2023)</t>
  </si>
  <si>
    <t>ví dụ =exchange_currency(USD,VND,20/08/2023,30/08/2023)</t>
  </si>
  <si>
    <t>ví dụ =lai_suat_cafef() không cần chuyền đối số</t>
  </si>
  <si>
    <t>ví dụ =laisuat_vietstock(20/08/2023,30/08/2023)</t>
  </si>
  <si>
    <t>ví dụ =getCPI_vietstock(20/08/2023,30/08/2023)</t>
  </si>
  <si>
    <t>ví dụ =solieu_sanxuat_congnghiep(20/08/2023,30/08/2023)</t>
  </si>
  <si>
    <t>ví dụ =solieu_banle_vietstock(20/08/2023,30/08/2023)</t>
  </si>
  <si>
    <t>ví dụ =solieu_XNK_vietstock(20/08/2023,30/08/2023)</t>
  </si>
  <si>
    <t>ví dụ =tygia_vietstock(20/08/2023,30/08/2023)</t>
  </si>
  <si>
    <t>ví dụ =solieu_tindung_vietstock(20/08/2023,30/08/2023)</t>
  </si>
  <si>
    <t>ví dụ =solieu_GDP_vietstock(2022,2,2023,4)</t>
  </si>
  <si>
    <t>Hàm lấy danh sách các công ty niêm yết</t>
  </si>
  <si>
    <t>list_company()</t>
  </si>
  <si>
    <t>ví dụ =list_company() không cần chuyền đối số</t>
  </si>
  <si>
    <t>update_company()</t>
  </si>
  <si>
    <t>Hàm cập nhật danh sách các công ty niêm yết theo thời gian thực</t>
  </si>
  <si>
    <t>ví dụ =update_company() không cần chuyền đối số</t>
  </si>
  <si>
    <t>Hàm kích thành viên giới hạn</t>
  </si>
  <si>
    <t>key_id(code)</t>
  </si>
  <si>
    <t>ví dụ: =key_id(mã code của bạn)</t>
  </si>
  <si>
    <t>Ghi chú:</t>
  </si>
  <si>
    <t>Đối với các hàm lấy báo cáo tài chính</t>
  </si>
  <si>
    <t>4 loại báo cáo gồm:</t>
  </si>
  <si>
    <t>loại thời gian báo cáo gồm:</t>
  </si>
  <si>
    <r>
      <rPr>
        <b/>
        <sz val="12"/>
        <color theme="1"/>
        <rFont val="Arial"/>
        <family val="2"/>
        <scheme val="minor"/>
      </rPr>
      <t>symbol:</t>
    </r>
    <r>
      <rPr>
        <sz val="12"/>
        <color theme="1"/>
        <rFont val="Arial"/>
        <family val="2"/>
        <scheme val="minor"/>
      </rPr>
      <t xml:space="preserve"> là ký hiệu mã cổ phiếu</t>
    </r>
  </si>
  <si>
    <r>
      <rPr>
        <b/>
        <sz val="12"/>
        <color theme="1"/>
        <rFont val="Arial"/>
        <family val="2"/>
        <scheme val="minor"/>
      </rPr>
      <t>fromdate:</t>
    </r>
    <r>
      <rPr>
        <sz val="12"/>
        <color theme="1"/>
        <rFont val="Arial"/>
        <family val="2"/>
        <scheme val="minor"/>
      </rPr>
      <t xml:space="preserve"> là ngày bắt đầu</t>
    </r>
  </si>
  <si>
    <r>
      <rPr>
        <b/>
        <sz val="12"/>
        <color theme="1"/>
        <rFont val="Arial"/>
        <family val="2"/>
        <scheme val="minor"/>
      </rPr>
      <t>todate:</t>
    </r>
    <r>
      <rPr>
        <sz val="12"/>
        <color theme="1"/>
        <rFont val="Arial"/>
        <family val="2"/>
        <scheme val="minor"/>
      </rPr>
      <t xml:space="preserve"> là ngày kết thúc</t>
    </r>
  </si>
  <si>
    <r>
      <rPr>
        <b/>
        <sz val="12"/>
        <color theme="1"/>
        <rFont val="Arial"/>
        <family val="2"/>
        <scheme val="minor"/>
      </rPr>
      <t>fromyear:</t>
    </r>
    <r>
      <rPr>
        <sz val="12"/>
        <color theme="1"/>
        <rFont val="Arial"/>
        <family val="2"/>
        <scheme val="minor"/>
      </rPr>
      <t xml:space="preserve"> là năm bắt đầu</t>
    </r>
  </si>
  <si>
    <r>
      <rPr>
        <b/>
        <sz val="12"/>
        <color theme="1"/>
        <rFont val="Arial"/>
        <family val="2"/>
        <scheme val="minor"/>
      </rPr>
      <t>toyear</t>
    </r>
    <r>
      <rPr>
        <sz val="12"/>
        <color theme="1"/>
        <rFont val="Arial"/>
        <family val="2"/>
        <scheme val="minor"/>
      </rPr>
      <t>: là năm kết thúc</t>
    </r>
  </si>
  <si>
    <r>
      <rPr>
        <b/>
        <sz val="12"/>
        <color theme="1"/>
        <rFont val="Arial"/>
        <family val="2"/>
        <scheme val="minor"/>
      </rPr>
      <t>fromQ:</t>
    </r>
    <r>
      <rPr>
        <sz val="12"/>
        <color theme="1"/>
        <rFont val="Arial"/>
        <family val="2"/>
        <scheme val="minor"/>
      </rPr>
      <t xml:space="preserve"> là quý bắt đầu</t>
    </r>
  </si>
  <si>
    <r>
      <rPr>
        <b/>
        <sz val="12"/>
        <color theme="1"/>
        <rFont val="Arial"/>
        <family val="2"/>
        <scheme val="minor"/>
      </rPr>
      <t>toQ:</t>
    </r>
    <r>
      <rPr>
        <sz val="12"/>
        <color theme="1"/>
        <rFont val="Arial"/>
        <family val="2"/>
        <scheme val="minor"/>
      </rPr>
      <t xml:space="preserve"> là quý kết thúc</t>
    </r>
  </si>
  <si>
    <r>
      <rPr>
        <b/>
        <sz val="12"/>
        <color theme="1"/>
        <rFont val="Arial"/>
        <family val="2"/>
        <scheme val="minor"/>
      </rPr>
      <t>Cân đối kế toán:</t>
    </r>
    <r>
      <rPr>
        <sz val="12"/>
        <color theme="1"/>
        <rFont val="Arial"/>
        <family val="2"/>
        <scheme val="minor"/>
      </rPr>
      <t xml:space="preserve"> BS - CDKT -BALANCESHEET</t>
    </r>
  </si>
  <si>
    <r>
      <rPr>
        <b/>
        <sz val="12"/>
        <color theme="1"/>
        <rFont val="Arial"/>
        <family val="2"/>
        <scheme val="minor"/>
      </rPr>
      <t>report:</t>
    </r>
    <r>
      <rPr>
        <sz val="12"/>
        <color theme="1"/>
        <rFont val="Arial"/>
        <family val="2"/>
        <scheme val="minor"/>
      </rPr>
      <t xml:space="preserve"> là loại báo cáo.</t>
    </r>
  </si>
  <si>
    <r>
      <rPr>
        <b/>
        <sz val="12"/>
        <color theme="1"/>
        <rFont val="Arial"/>
        <family val="2"/>
        <scheme val="minor"/>
      </rPr>
      <t>year:</t>
    </r>
    <r>
      <rPr>
        <sz val="12"/>
        <color theme="1"/>
        <rFont val="Arial"/>
        <family val="2"/>
        <scheme val="minor"/>
      </rPr>
      <t xml:space="preserve"> là năm tài chính cần lấy</t>
    </r>
  </si>
  <si>
    <r>
      <rPr>
        <b/>
        <sz val="12"/>
        <color theme="1"/>
        <rFont val="Arial"/>
        <family val="2"/>
        <scheme val="minor"/>
      </rPr>
      <t>timely:</t>
    </r>
    <r>
      <rPr>
        <sz val="12"/>
        <color theme="1"/>
        <rFont val="Arial"/>
        <family val="2"/>
        <scheme val="minor"/>
      </rPr>
      <t xml:space="preserve"> là loại thời gian năm hoặc quý</t>
    </r>
  </si>
  <si>
    <r>
      <rPr>
        <b/>
        <sz val="12"/>
        <color theme="1"/>
        <rFont val="Arial"/>
        <family val="2"/>
        <scheme val="minor"/>
      </rPr>
      <t xml:space="preserve">Kết quả kinh doanh: </t>
    </r>
    <r>
      <rPr>
        <sz val="12"/>
        <color theme="1"/>
        <rFont val="Arial"/>
        <family val="2"/>
        <scheme val="minor"/>
      </rPr>
      <t>P&amp;L - KQKD</t>
    </r>
  </si>
  <si>
    <r>
      <rPr>
        <b/>
        <sz val="12"/>
        <color theme="1"/>
        <rFont val="Arial"/>
        <family val="2"/>
        <scheme val="minor"/>
      </rPr>
      <t>Lưu chuyển tiền tệ:</t>
    </r>
    <r>
      <rPr>
        <sz val="12"/>
        <color theme="1"/>
        <rFont val="Arial"/>
        <family val="2"/>
        <scheme val="minor"/>
      </rPr>
      <t xml:space="preserve"> CFD - LCTT</t>
    </r>
  </si>
  <si>
    <r>
      <rPr>
        <b/>
        <sz val="12"/>
        <color theme="1"/>
        <rFont val="Arial"/>
        <family val="2"/>
        <scheme val="minor"/>
      </rPr>
      <t xml:space="preserve">Năm: </t>
    </r>
    <r>
      <rPr>
        <sz val="12"/>
        <color theme="1"/>
        <rFont val="Arial"/>
        <family val="2"/>
        <scheme val="minor"/>
      </rPr>
      <t>YEAR - NAM</t>
    </r>
  </si>
  <si>
    <r>
      <rPr>
        <b/>
        <sz val="12"/>
        <color theme="1"/>
        <rFont val="Arial"/>
        <family val="2"/>
        <scheme val="minor"/>
      </rPr>
      <t xml:space="preserve">Quý: </t>
    </r>
    <r>
      <rPr>
        <sz val="12"/>
        <color theme="1"/>
        <rFont val="Arial"/>
        <family val="2"/>
        <scheme val="minor"/>
      </rPr>
      <t>QUARTER - QUY</t>
    </r>
  </si>
  <si>
    <t>Để hoạt động hiệu quả cần khai báo biến vào ô giá trị trước, rồi sử dụng hàm.</t>
  </si>
  <si>
    <t>BS</t>
  </si>
  <si>
    <t>Hàm lấy lịch sử giá cổ phiếu từ vndirect</t>
  </si>
  <si>
    <t>get_price_historical_vnd(symbol,fromdate,todate)</t>
  </si>
  <si>
    <t>ví dụ: =get_price_historical_vnd(ACB,20/08/2023,30/08/2023)</t>
  </si>
  <si>
    <t>Hello xlwings!</t>
  </si>
  <si>
    <t>1uTMdKCqJ7SivAxd8rdsu_5eQoLs8p_OK</t>
  </si>
  <si>
    <t>TÀI SẢN NGẮN HẠN</t>
  </si>
  <si>
    <t>NỢ PHẢI TRẢ</t>
  </si>
  <si>
    <t>SSI</t>
  </si>
  <si>
    <t>TỔNG CỘNG TÀI SẢN</t>
  </si>
  <si>
    <t>VỐN CHỦ SỞ HỮU</t>
  </si>
  <si>
    <t>HPG</t>
  </si>
  <si>
    <t>SHB</t>
  </si>
  <si>
    <t>TCB</t>
  </si>
  <si>
    <t xml:space="preserve">A: Annual Earnings Increases: </t>
  </si>
  <si>
    <t>VAY VÀ NỢ NGẮN HẠN</t>
  </si>
  <si>
    <t>LỢI NHUẬN SAU THUẾ CHƯA PHÂN PHỐI</t>
  </si>
  <si>
    <t>CHI PHÍ PHẢI TRẢ</t>
  </si>
  <si>
    <t>LỢI ÍCH CỔ ĐÔNG KHÔNG KIỂM SOÁT</t>
  </si>
  <si>
    <t>HSG</t>
  </si>
  <si>
    <t>ACB</t>
  </si>
  <si>
    <t>VND</t>
  </si>
  <si>
    <t>DOANH THU THUẦN</t>
  </si>
  <si>
    <t>AGG</t>
  </si>
  <si>
    <t>NVL</t>
  </si>
  <si>
    <t>VCB</t>
  </si>
  <si>
    <t>THU NHẬP LÃI VÀ CÁC KHOẢN THU NHẬP TƯƠNG TỰ</t>
  </si>
  <si>
    <t/>
  </si>
  <si>
    <t>Công ty</t>
  </si>
  <si>
    <t>Ngành</t>
  </si>
  <si>
    <t>Sàn</t>
  </si>
  <si>
    <t>Khối lượng NY/ĐKGD</t>
  </si>
  <si>
    <t>Ngành Cấp 3</t>
  </si>
  <si>
    <t>Ngành Cấp 2</t>
  </si>
  <si>
    <t>Ngành Cấp 1</t>
  </si>
  <si>
    <t>A32</t>
  </si>
  <si>
    <t>CÔNG TY CỔ PHẦN 32</t>
  </si>
  <si>
    <t>GIẦY DÉP</t>
  </si>
  <si>
    <t>UPCOM</t>
  </si>
  <si>
    <t>HÀNG CÁ NHÂN</t>
  </si>
  <si>
    <t>HÀNG CÁ NHÂN &amp; GIA DỤNG</t>
  </si>
  <si>
    <t>HÀNG TIÊU DÙNG</t>
  </si>
  <si>
    <t>AAA</t>
  </si>
  <si>
    <t>CÔNG TY CỔ PHẦN NHỰA AN PHÁT XANH</t>
  </si>
  <si>
    <t>NHỰA, CAO SU &amp; SỢI</t>
  </si>
  <si>
    <t>HOSE</t>
  </si>
  <si>
    <t>HÓA CHẤT</t>
  </si>
  <si>
    <t>NGUYÊN VẬT LIỆU</t>
  </si>
  <si>
    <t>AAH</t>
  </si>
  <si>
    <t>CÔNG TY CỔ PHẦN HỢP NHẤT</t>
  </si>
  <si>
    <t>KHAI THÁC THAN</t>
  </si>
  <si>
    <t>KHAI KHOÁNG</t>
  </si>
  <si>
    <t>TÀI NGUYÊN CƠ BẢN</t>
  </si>
  <si>
    <t>AAM</t>
  </si>
  <si>
    <t>CÔNG TY CỔ PHẦN THỦY SẢN MEKONG</t>
  </si>
  <si>
    <t>NUÔI TRỒNG NÔNG &amp; HẢI SẢN</t>
  </si>
  <si>
    <t>SẢN XUẤT THỰC PHẨM</t>
  </si>
  <si>
    <t>THỰC PHẨM VÀ ĐỒ UỐNG</t>
  </si>
  <si>
    <t>AAS</t>
  </si>
  <si>
    <t>CÔNG TY CỔ PHẦN CHỨNG KHOÁN SMART INVEST</t>
  </si>
  <si>
    <t>MÔI GIỚI CHỨNG KHOÁN</t>
  </si>
  <si>
    <t>DỊCH VỤ TÀI CHÍNH</t>
  </si>
  <si>
    <t>TÀI CHÍNH</t>
  </si>
  <si>
    <t>AAT</t>
  </si>
  <si>
    <t>CÔNG TY CỔ PHẦN TIÊN SƠN THANH HOÁ</t>
  </si>
  <si>
    <t>HÀNG MAY MẶC</t>
  </si>
  <si>
    <t>AAV</t>
  </si>
  <si>
    <t>CÔNG TY CỔ PHẦN VIỆT TIÊN SƠN ĐỊA ỐC</t>
  </si>
  <si>
    <t>BẤT ĐỘNG SẢN</t>
  </si>
  <si>
    <t>HNX</t>
  </si>
  <si>
    <t>ABB</t>
  </si>
  <si>
    <t>NGÂN HÀNG THƯƠNG MẠI CỔ PHẦN AN BÌNH</t>
  </si>
  <si>
    <t>NGÂN HÀNG</t>
  </si>
  <si>
    <t>ABC</t>
  </si>
  <si>
    <t>CÔNG TY CỔ PHẦN TRUYỀN THÔNG VMG</t>
  </si>
  <si>
    <t>VIỄN THÔNG DI ĐỘNG</t>
  </si>
  <si>
    <t>VIỄN THÔNG</t>
  </si>
  <si>
    <t>ABI</t>
  </si>
  <si>
    <t>CÔNG TY CỔ PHẦN BẢO HIỂM NGÂN HÀNG NÔNG NGHIỆP</t>
  </si>
  <si>
    <t>BẢO HIỂM PHI NHÂN THỌ</t>
  </si>
  <si>
    <t>BẢO HIỂM</t>
  </si>
  <si>
    <t>ABR</t>
  </si>
  <si>
    <t>CÔNG TY CỔ PHẦN ĐẦU TƯ NHÃN HIỆU VIỆT</t>
  </si>
  <si>
    <t>TƯ VẤN &amp; HỖ TRỢ KD</t>
  </si>
  <si>
    <t>TƯ VẤN &amp; HỖ TRỢ KINH DOANH</t>
  </si>
  <si>
    <t>HÀNG &amp; DỊCH VỤ CÔNG NGHIỆP</t>
  </si>
  <si>
    <t>CÔNG NGHIỆP</t>
  </si>
  <si>
    <t>ABS</t>
  </si>
  <si>
    <t>CÔNG TY CỔ PHẦN DỊCH VỤ NÔNG NGHIỆP BÌNH THUẬN</t>
  </si>
  <si>
    <t>ABT</t>
  </si>
  <si>
    <t>CÔNG TY CỔ PHẦN XUẤT NHẬP KHẨU THỦY SẢN BẾN TRE</t>
  </si>
  <si>
    <t>ABW</t>
  </si>
  <si>
    <t>CÔNG TY CỔ PHẦN CHỨNG KHOÁN AN BÌNH</t>
  </si>
  <si>
    <t>NGÂN HÀNG THƯƠNG MẠI CỔ PHẦN Á CHÂU</t>
  </si>
  <si>
    <t>ACC</t>
  </si>
  <si>
    <t>CÔNG TY CỔ PHẦN ĐẦU TƯ VÀ XÂY DỰNG BÌNH DƯƠNG ACC</t>
  </si>
  <si>
    <t>VẬT LIỆU XÂY DỰNG &amp; NỘI THẤT</t>
  </si>
  <si>
    <t>XÂY DỰNG VÀ VẬT LIỆU</t>
  </si>
  <si>
    <t>ACE</t>
  </si>
  <si>
    <t>CÔNG TY CỔ PHẦN BÊ TÔNG LY TÂM AN GIANG</t>
  </si>
  <si>
    <t>ACG</t>
  </si>
  <si>
    <t>CÔNG TY CỔ PHẦN GỖ AN CƯỜNG</t>
  </si>
  <si>
    <t>LÂM SẢN VÀ CHẾ BIẾN GỖ</t>
  </si>
  <si>
    <t>LÂM NGHIỆP VÀ GIẤY</t>
  </si>
  <si>
    <t>ACL</t>
  </si>
  <si>
    <t>CÔNG TY CỔ PHẦN XUẤT NHẬP KHẨU THỦY SẢN CỬU LONG AN GIANG</t>
  </si>
  <si>
    <t>ACM</t>
  </si>
  <si>
    <t>CÔNG TY CỔ PHẦN TẬP ĐOÀN KHOÁNG SẢN Á CƯỜNG</t>
  </si>
  <si>
    <t>ACS</t>
  </si>
  <si>
    <t>CÔNG TY CỔ PHẦN XÂY LẮP THƯƠNG MẠI 2</t>
  </si>
  <si>
    <t>XÂY DỰNG</t>
  </si>
  <si>
    <t>ACV</t>
  </si>
  <si>
    <t>TỔNG CÔNG TY CẢNG HÀNG KHÔNG VIỆT NAM - CTCP</t>
  </si>
  <si>
    <t>KHO BÃI, HẬU CẦN VÀ BẢO DƯỠNG</t>
  </si>
  <si>
    <t>VẬN TẢI</t>
  </si>
  <si>
    <t>ADC</t>
  </si>
  <si>
    <t>CÔNG TY CỔ PHẦN MĨ THUẬT VÀ TRUYỀN THÔNG</t>
  </si>
  <si>
    <t>SÁCH, ẤN BẢN &amp; SẢN PHẨM VĂN HÓA</t>
  </si>
  <si>
    <t>TRUYỀN THÔNG</t>
  </si>
  <si>
    <t>DỊCH VỤ TIÊU DÙNG</t>
  </si>
  <si>
    <t>ADG</t>
  </si>
  <si>
    <t>CÔNG TY CỔ PHẦN CLEVER GROUP</t>
  </si>
  <si>
    <t>DỊCH VỤ TRUYỀN THÔNG</t>
  </si>
  <si>
    <t>ADP</t>
  </si>
  <si>
    <t>CÔNG TY CỔ PHẦN SƠN Á ĐÔNG</t>
  </si>
  <si>
    <t>ADS</t>
  </si>
  <si>
    <t>CÔNG TY CỔ PHẦN DAMSAN</t>
  </si>
  <si>
    <t>AFX</t>
  </si>
  <si>
    <t>CÔNG TY CỔ PHẦN XUẤT NHẬP KHẨU NÔNG SẢN THỰC PHẨM AN GIANG</t>
  </si>
  <si>
    <t>PHÂN PHỐI THỰC PHẨM</t>
  </si>
  <si>
    <t>PHÂN PHỐI THỰC PHẨM &amp; DƯỢC PHẨM</t>
  </si>
  <si>
    <t>BÁN LẺ</t>
  </si>
  <si>
    <t>AG1</t>
  </si>
  <si>
    <t>CÔNG TY CỔ PHẦN 28.1</t>
  </si>
  <si>
    <t>AGF</t>
  </si>
  <si>
    <t>CÔNG TY CỔ PHẦN XUẤT NHẬP KHẨU THỦY SẢN AN GIANG</t>
  </si>
  <si>
    <t>CTCP ĐẦU TƯ VÀ PHÁT TRIỂN BẤT ĐỘNG SẢN AN GIA</t>
  </si>
  <si>
    <t>AGM</t>
  </si>
  <si>
    <t>CÔNG TY CỔ PHẦN XUẤT NHẬP KHẨU AN GIANG</t>
  </si>
  <si>
    <t>THỰC PHẨM</t>
  </si>
  <si>
    <t>AGP</t>
  </si>
  <si>
    <t>CÔNG TY CỔ PHẦN DƯỢC PHẨM AGIMEXPHARM</t>
  </si>
  <si>
    <t>DƯỢC PHẨM</t>
  </si>
  <si>
    <t>Y TẾ</t>
  </si>
  <si>
    <t>DƯỢC PHẨM VÀ Y TẾ</t>
  </si>
  <si>
    <t>AGR</t>
  </si>
  <si>
    <t>CÔNG TY CỔ PHẦN CHỨNG KHOÁN AGRIBANK</t>
  </si>
  <si>
    <t>AGX</t>
  </si>
  <si>
    <t>CÔNG TY CỔ PHẦN THỰC PHẨM NÔNG SẢN XUẤT KHẨU SÀI GÒN</t>
  </si>
  <si>
    <t>AIC</t>
  </si>
  <si>
    <t>CÔNG TY CỔ PHẦN BẢO HIỂM HÀNG KHÔNG</t>
  </si>
  <si>
    <t>ALT</t>
  </si>
  <si>
    <t>CÔNG TY CỔ PHẦN VĂN HOÁ TÂN BÌNH</t>
  </si>
  <si>
    <t>ALV</t>
  </si>
  <si>
    <t>CÔNG TY CỔ PHẦN XÂY DỰNG ALVICO</t>
  </si>
  <si>
    <t>AMC</t>
  </si>
  <si>
    <t>CÔNG TY CỔ PHẦN KHOÁNG SẢN Á CHÂU</t>
  </si>
  <si>
    <t>AMD</t>
  </si>
  <si>
    <t>CÔNG TY CỔ PHẦN ĐẦU TƯ VÀ KHOÁNG SẢN FLC STONE</t>
  </si>
  <si>
    <t>AME</t>
  </si>
  <si>
    <t>CÔNG TY CỔ PHẦN ALPHANAM E&amp;C</t>
  </si>
  <si>
    <t>THIẾT BỊ ĐIỆN</t>
  </si>
  <si>
    <t>ĐIỆN TỬ &amp; THIẾT BỊ ĐIỆN</t>
  </si>
  <si>
    <t>AMP</t>
  </si>
  <si>
    <t>CÔNG TY CỔ PHẦN ARMEPHACO</t>
  </si>
  <si>
    <t>AMS</t>
  </si>
  <si>
    <t>CÔNG TY CỔ PHẦN CƠ KHÍ XÂY DỰNG AMECC</t>
  </si>
  <si>
    <t>NHÀ CUNG CẤP THIẾT BỊ</t>
  </si>
  <si>
    <t>AMV</t>
  </si>
  <si>
    <t>CÔNG TY CỔ PHẦN SẢN XUẤT KINH DOANH DƯỢC VÀ TRANG THIẾT BỊ Y TẾ VIỆT MỸ</t>
  </si>
  <si>
    <t>THIẾT BỊ Y TẾ</t>
  </si>
  <si>
    <t>THIẾT BỊ VÀ DỊCH VỤ Y TẾ</t>
  </si>
  <si>
    <t>ANT</t>
  </si>
  <si>
    <t>CÔNG TY CỔ PHẦN RAU QUẢ THỰC PHẨM AN GIANG</t>
  </si>
  <si>
    <t>ANV</t>
  </si>
  <si>
    <t>CÔNG TY CỔ PHẦN NAM VIỆT</t>
  </si>
  <si>
    <t>APC</t>
  </si>
  <si>
    <t>CÔNG TY CỔ PHẦN CHIẾU XẠ AN PHÚ</t>
  </si>
  <si>
    <t>CÔNG NGHỆ SINH HỌC</t>
  </si>
  <si>
    <t>APF</t>
  </si>
  <si>
    <t>CÔNG TY CỔ PHẦN NÔNG SẢN THỰC PHẨM QUẢNG NGÃI</t>
  </si>
  <si>
    <t>APG</t>
  </si>
  <si>
    <t>CÔNG TY CỔ PHẦN CHỨNG KHOÁN APG</t>
  </si>
  <si>
    <t>APH</t>
  </si>
  <si>
    <t>CÔNG TY CỔ PHẦN TẬP ĐOÀN AN PHÁT HOLDINGS</t>
  </si>
  <si>
    <t>CONTAINERS &amp; ĐÓNG GÓI</t>
  </si>
  <si>
    <t>HÀNG CÔNG NGHIỆP</t>
  </si>
  <si>
    <t>API</t>
  </si>
  <si>
    <t>CÔNG TY CỔ PHẦN ĐẦU TƯ CHÂU Á - THÁI BÌNH DƯƠNG</t>
  </si>
  <si>
    <t>APL</t>
  </si>
  <si>
    <t>CÔNG TY CỔ PHẦN CƠ KHÍ VÀ THIẾT BỊ ÁP LỰC - VVMI</t>
  </si>
  <si>
    <t>MÁY CÔNG NGHIỆP</t>
  </si>
  <si>
    <t>CÔNG NGHIỆP NẶNG</t>
  </si>
  <si>
    <t>APP</t>
  </si>
  <si>
    <t>CÔNG TY CỔ PHẦN PHÁT TRIỂN PHỤ GIA VÀ SẢN PHẨM DẦU MỎ</t>
  </si>
  <si>
    <t>SẢN PHẨM HÓA DẦU, NÔNG DƯỢC &amp; HÓA CHẤT KHÁC</t>
  </si>
  <si>
    <t>APS</t>
  </si>
  <si>
    <t>CÔNG TY CỔ PHẦN CHỨNG KHOÁN CHÂU Á – THÁI BÌNH DƯƠNG</t>
  </si>
  <si>
    <t>APT</t>
  </si>
  <si>
    <t>CÔNG TY CỔ PHẦN KINH DOANH THỦY HẢI SẢN SÀI GÒN</t>
  </si>
  <si>
    <t>ARM</t>
  </si>
  <si>
    <t>CÔNG TY CỔ PHẦN XUẤT NHẬP KHẨU HÀNG KHÔNG</t>
  </si>
  <si>
    <t>ART</t>
  </si>
  <si>
    <t>CÔNG TY CỔ PHẦN CHỨNG KHOÁN BOS</t>
  </si>
  <si>
    <t>ASA</t>
  </si>
  <si>
    <t>CÔNG TY CỔ PHẦN TẬP ĐOÀN ASA</t>
  </si>
  <si>
    <t>ASG</t>
  </si>
  <si>
    <t>CỔ PHIẾU CÔNG TY CỔ PHẦN TẬP ĐOÀN ASG</t>
  </si>
  <si>
    <t>ASM</t>
  </si>
  <si>
    <t>CÔNG TY CỔ PHẦN TẬP ĐOÀN SAO MAI</t>
  </si>
  <si>
    <t>ASP</t>
  </si>
  <si>
    <t>CÔNG TY CỔ PHẦN TẬP ĐOÀN DẦU KHÍ AN PHA</t>
  </si>
  <si>
    <t>PHÂN PHỐI XĂNG DẦU &amp; KHÍ ĐỐT</t>
  </si>
  <si>
    <t>NƯỚC &amp; KHÍ ĐỐT</t>
  </si>
  <si>
    <t>ĐIỆN, NƯỚC &amp; XĂNG DẦU KHÍ ĐỐT</t>
  </si>
  <si>
    <t>TIỆN ÍCH CỘNG ĐỒNG</t>
  </si>
  <si>
    <t>AST</t>
  </si>
  <si>
    <t>CÔNG TY CỔ PHẦN DỊCH VỤ HÀNG KHÔNG TASECO</t>
  </si>
  <si>
    <t>PHÂN PHỐI HÀNG CHUYÊN DỤNG</t>
  </si>
  <si>
    <t>ATA</t>
  </si>
  <si>
    <t>CÔNG TY CỔ PHẦN NTACO</t>
  </si>
  <si>
    <t>ATB</t>
  </si>
  <si>
    <t>CÔNG TY CỔ PHẦN AN THỊNH</t>
  </si>
  <si>
    <t>ATG</t>
  </si>
  <si>
    <t>CÔNG TY CỔ PHẦN AN TRƯỜNG AN</t>
  </si>
  <si>
    <t>ATS</t>
  </si>
  <si>
    <t>CÔNG TY CỔ PHẦN TẬP ĐOÀN DƯỢC PHẨM ATESCO</t>
  </si>
  <si>
    <t>NHÀ HÀNG VÀ QUÁN BAR</t>
  </si>
  <si>
    <t>DU LỊCH &amp; GIẢI TRÍ</t>
  </si>
  <si>
    <t>DU LỊCH VÀ GIẢI TRÍ</t>
  </si>
  <si>
    <t>AVC</t>
  </si>
  <si>
    <t>CÔNG TY CỔ PHẦN THỦY ĐIỆN A VƯƠNG</t>
  </si>
  <si>
    <t>SẢN XUẤT &amp; PHÂN PHỐI ĐIỆN</t>
  </si>
  <si>
    <t>AVF</t>
  </si>
  <si>
    <t>CÔNG TY CỔ PHẦN VIỆT AN</t>
  </si>
  <si>
    <t>BAB</t>
  </si>
  <si>
    <t>NGÂN HÀNG THƯƠNG MẠI CỔ PHẦN BẮC Á</t>
  </si>
  <si>
    <t>BAF</t>
  </si>
  <si>
    <t>CÔNG TY CỔ PHẦN NÔNG NGHIỆP BAF VIỆT NAM</t>
  </si>
  <si>
    <t>BAL</t>
  </si>
  <si>
    <t>CÔNG TY CỔ PHẦN BAO BÌ BIA – RƯỢU – NƯỚC GIẢI KHÁT</t>
  </si>
  <si>
    <t>BAX</t>
  </si>
  <si>
    <t>CÔNG TY CỔ PHẦN THỐNG NHẤT</t>
  </si>
  <si>
    <t>BBC</t>
  </si>
  <si>
    <t>CÔNG TY CỔ PHẦN BIBICA</t>
  </si>
  <si>
    <t>BBH</t>
  </si>
  <si>
    <t>CÔNG TY CỔ PHẦN BAO BÌ HOÀNG THẠCH</t>
  </si>
  <si>
    <t>BBM</t>
  </si>
  <si>
    <t>CÔNG TY CỔ PHẦN BIA HÀ NỘI - NAM ĐỊNH</t>
  </si>
  <si>
    <t>SẢN XUẤT BIA</t>
  </si>
  <si>
    <t>BIA VÀ ĐỒ UỐNG</t>
  </si>
  <si>
    <t>BBS</t>
  </si>
  <si>
    <t>CÔNG TY CỔ PHẦN VICEM BAO BÌ BÚT SƠN</t>
  </si>
  <si>
    <t>BBT</t>
  </si>
  <si>
    <t>CÔNG TY CỔ PHẦN BÔNG BẠCH TUYẾT</t>
  </si>
  <si>
    <t>BCA</t>
  </si>
  <si>
    <t>CÔNG TY CỔ PHẦN B.C.H</t>
  </si>
  <si>
    <t>THÉP VÀ SẢN PHẨM THÉP</t>
  </si>
  <si>
    <t>KIM LOẠI</t>
  </si>
  <si>
    <t>BCB</t>
  </si>
  <si>
    <t>CÔNG TY CỔ PHẦN 397</t>
  </si>
  <si>
    <t>BCC</t>
  </si>
  <si>
    <t>CÔNG TY CỔ PHẦN XI MĂNG BỈM SƠN</t>
  </si>
  <si>
    <t>BCE</t>
  </si>
  <si>
    <t>CÔNG TY CỔ PHẦN XÂY DỰNG VÀ GIAO THÔNG BÌNH DƯƠNG</t>
  </si>
  <si>
    <t>BCF</t>
  </si>
  <si>
    <t>CÔNG TY CỔ PHẦN THỰC PHẨM BÍCH CHI</t>
  </si>
  <si>
    <t>BCG</t>
  </si>
  <si>
    <t>CÔNG TY CỔ PHẦN BAMBOO CAPITAL</t>
  </si>
  <si>
    <t>TÀI CHÍNH ĐẶC BIỆT</t>
  </si>
  <si>
    <t>BCM</t>
  </si>
  <si>
    <t>TỔNG CÔNG TY ĐẦU TƯ VÀ PHÁT TRIỂN CÔNG NGHIỆP - CTCP</t>
  </si>
  <si>
    <t>BCO</t>
  </si>
  <si>
    <t>CÔNG TY CỔ PHẦN XÂY DỰNG BÌNH PHƯỚC</t>
  </si>
  <si>
    <t>BCP</t>
  </si>
  <si>
    <t>CÔNG TY CỔ PHẦN DƯỢC BECAMEX</t>
  </si>
  <si>
    <t>BCR</t>
  </si>
  <si>
    <t>CÔNG TY CỔ PHẦN BCG LAND</t>
  </si>
  <si>
    <t>BCV</t>
  </si>
  <si>
    <t>CÔNG TY CỔ PHẦN DU LỊCH VÀ THƯƠNG MẠI BẰNG GIANG CAO BẰNG - VIMICO</t>
  </si>
  <si>
    <t>KHÁCH SẠN</t>
  </si>
  <si>
    <t>BDB</t>
  </si>
  <si>
    <t>CÔNG TY CỔ PHẦN SÁCH VÀ THIẾT BỊ BÌNH ĐỊNH</t>
  </si>
  <si>
    <t>BDG</t>
  </si>
  <si>
    <t>CÔNG TY CỔ PHẦN MAY MẶC BÌNH DƯƠNG</t>
  </si>
  <si>
    <t>BDT</t>
  </si>
  <si>
    <t>CÔNG TY CỔ PHẦN XÂY LẮP VÀ VẬT LIỆU XÂY DỰNG ĐỒNG THÁP</t>
  </si>
  <si>
    <t>BDW</t>
  </si>
  <si>
    <t>CÔNG TY CỔ PHẦN CẤP THOÁT NƯỚC BÌNH ĐỊNH</t>
  </si>
  <si>
    <t>NƯỚC</t>
  </si>
  <si>
    <t>BED</t>
  </si>
  <si>
    <t>CÔNG TY CỔ PHẦN SÁCH VÀ THIẾT BỊ TRƯỜNG HỌC ĐÀ NẴNG</t>
  </si>
  <si>
    <t>BEL</t>
  </si>
  <si>
    <t>CÔNG TY CỔ PHẦN ĐIỆN TỬ BIÊN HÒA</t>
  </si>
  <si>
    <t>ĐIỆN TỬ TIÊU DÙNG</t>
  </si>
  <si>
    <t>HÀNG HÓA GIẢI TRÍ</t>
  </si>
  <si>
    <t>BFC</t>
  </si>
  <si>
    <t>CÔNG TY CỔ PHẦN PHÂN BÓN BÌNH ĐIỀN</t>
  </si>
  <si>
    <t>BGW</t>
  </si>
  <si>
    <t>CÔNG TY CỔ PHẦN NƯỚC SẠCH BẮC GIANG</t>
  </si>
  <si>
    <t>BHA</t>
  </si>
  <si>
    <t>CÔNG TY CỔ PHẦN THỦY ĐIỆN BẮC HÀ</t>
  </si>
  <si>
    <t>BHC</t>
  </si>
  <si>
    <t>CÔNG TY CỔ PHẦN BÊ TÔNG BIÊN HÒA</t>
  </si>
  <si>
    <t>BHG</t>
  </si>
  <si>
    <t>CÔNG TY CỔ PHẦN CHÈ BIỂN HỒ</t>
  </si>
  <si>
    <t>ĐỒ UỐNG &amp; GIẢI KHÁT</t>
  </si>
  <si>
    <t>BHI</t>
  </si>
  <si>
    <t>TỔNG CÔNG TY CỔ PHẦN BẢO HIỂM SÀI GÒN - HÀ NỘI</t>
  </si>
  <si>
    <t>BHK</t>
  </si>
  <si>
    <t>CÔNG TY CỔ PHẦN BIA HÀ NỘI - KIM BÀI</t>
  </si>
  <si>
    <t>BHN</t>
  </si>
  <si>
    <t>TỔNG CÔNG TY CỔ PHẦN BIA - RƯỢU - NƯỚC GIẢI KHÁT HÀ NỘI</t>
  </si>
  <si>
    <t>BHP</t>
  </si>
  <si>
    <t>CÔNG TY CỔ PHẦN BIA HÀ NỘI - HẢI PHÒNG</t>
  </si>
  <si>
    <t>BIC</t>
  </si>
  <si>
    <t>TỔNG CÔNG TY CỔ PHẦN BẢO HIỂM NGÂN HÀNG ĐẦU TƯ VÀ PHÁT TRIỂN VIỆT NAM</t>
  </si>
  <si>
    <t>BID</t>
  </si>
  <si>
    <t>NGÂN HÀNG THƯƠNG MẠI CỔ PHẦN ĐẦU TƯ VÀ PHÁT TRIỂN VIỆT NAM</t>
  </si>
  <si>
    <t>BIG</t>
  </si>
  <si>
    <t>CÔNG TY CỔ PHẦN BIG INVEST GROUP</t>
  </si>
  <si>
    <t>TƯ VẤN, ĐỊNH GIÁ, MÔI GIỚI BẤT ĐỘNG SẢN</t>
  </si>
  <si>
    <t>BII</t>
  </si>
  <si>
    <t>CÔNG TY CỔ PHẦN LOUIS LAND</t>
  </si>
  <si>
    <t>BIO</t>
  </si>
  <si>
    <t>CÔNG TY CỔ PHẦN VẮC XIN VÀ SINH PHẨM NHA TRANG</t>
  </si>
  <si>
    <t>BKC</t>
  </si>
  <si>
    <t>CÔNG TY CỔ PHẦN KHOÁNG SẢN BẮC KẠN</t>
  </si>
  <si>
    <t>BKG</t>
  </si>
  <si>
    <t>CÔNG TY CỔ PHẦN ĐẦU TƯ BKG VIỆT NAM</t>
  </si>
  <si>
    <t>BLF</t>
  </si>
  <si>
    <t>CÔNG TY CỔ PHẦN THỦY SẢN BẠC LIÊU</t>
  </si>
  <si>
    <t>BLI</t>
  </si>
  <si>
    <t>TỔNG CÔNG TY CỔ PHẦN BẢO HIỂM BẢO LONG</t>
  </si>
  <si>
    <t>BLN</t>
  </si>
  <si>
    <t>CÔNG TY CỔ PHẦN VẬN TẢI VÀ DỊCH VỤ LIÊN NINH</t>
  </si>
  <si>
    <t>VẬN TẢI HÀNH KHÁCH &amp; DU LỊCH</t>
  </si>
  <si>
    <t>BLT</t>
  </si>
  <si>
    <t>CÔNG TY CỔ PHẦN LƯƠNG THỰC BÌNH ĐỊNH</t>
  </si>
  <si>
    <t>BMC</t>
  </si>
  <si>
    <t>CÔNG TY CỔ PHẦN KHOÁNG SẢN BÌNH ĐỊNH</t>
  </si>
  <si>
    <t>BMD</t>
  </si>
  <si>
    <t>CÔNG TY CỔ PHẦN MÔI TRƯỜNG VÀ DỊCH VỤ ĐÔ THỊ BÌNH THUẬN</t>
  </si>
  <si>
    <t>CHẤT THẢI &amp; MÔI TRƯỜNG</t>
  </si>
  <si>
    <t>BMF</t>
  </si>
  <si>
    <t>CÔNG TY CỔ PHẦN VẬT LIỆU XÂY DỰNG VÀ CHẤT ĐỐT ĐỒNG NAI</t>
  </si>
  <si>
    <t>BMG</t>
  </si>
  <si>
    <t>CÔNG TY CỔ PHẦN MAY BÌNH MINH</t>
  </si>
  <si>
    <t>BMI</t>
  </si>
  <si>
    <t>TỔNG CÔNG TY CỔ PHẦN BẢO MINH</t>
  </si>
  <si>
    <t>BMJ</t>
  </si>
  <si>
    <t>CÔNG TY CỔ PHẦN KHOÁNG SẢN MIỀN ĐÔNG AHP</t>
  </si>
  <si>
    <t>BMN</t>
  </si>
  <si>
    <t>CÔNG TY CỔ PHẦN 715</t>
  </si>
  <si>
    <t>BMP</t>
  </si>
  <si>
    <t>CÔNG TY CỔ PHẦN NHỰA BÌNH MINH</t>
  </si>
  <si>
    <t>BMS</t>
  </si>
  <si>
    <t>CÔNG TY CỔ PHẦN CHỨNG KHOÁN BẢO MINH</t>
  </si>
  <si>
    <t>BMV</t>
  </si>
  <si>
    <t>CÔNG TY CỔ PHẦN BỘT MỲ VINAFOOD 1</t>
  </si>
  <si>
    <t>BNA</t>
  </si>
  <si>
    <t>CÔNG TY CỔ PHẦN ĐẦU TƯ SẢN XUẤT BẢO NGỌC</t>
  </si>
  <si>
    <t>BNW</t>
  </si>
  <si>
    <t>CÔNG TY CỔ PHẦN NƯỚC SẠCH BẮC NINH</t>
  </si>
  <si>
    <t>BOT</t>
  </si>
  <si>
    <t>CÔNG TY CỔ PHẦN BOT CẦU THÁI HÀ</t>
  </si>
  <si>
    <t>BPC</t>
  </si>
  <si>
    <t>CÔNG TY CỔ PHẦN VICEM BAO BÌ BỈM SƠN</t>
  </si>
  <si>
    <t>BQB</t>
  </si>
  <si>
    <t>CÔNG TY CỔ PHẦN BIA HÀ NỘI - QUẢNG BÌNH</t>
  </si>
  <si>
    <t>BRC</t>
  </si>
  <si>
    <t>CÔNG TY CỔ PHẦN CAO SU BẾN THÀNH</t>
  </si>
  <si>
    <t>BRR</t>
  </si>
  <si>
    <t>CÔNG TY CỔ PHẦN CAO SU BÀ RỊA</t>
  </si>
  <si>
    <t>BRS</t>
  </si>
  <si>
    <t>CÔNG TY CỔ PHẦN DỊCH VỤ ĐÔ THỊ BÀ RỊA</t>
  </si>
  <si>
    <t>BSA</t>
  </si>
  <si>
    <t>CÔNG TY CỔ PHẦN THỦY ĐIỆN BUÔN ĐÔN</t>
  </si>
  <si>
    <t>BSC</t>
  </si>
  <si>
    <t>CÔNG TY CỔ PHẦN DỊCH VỤ BẾN THÀNH</t>
  </si>
  <si>
    <t>BSD</t>
  </si>
  <si>
    <t>CÔNG TY CỔ PHẦN BIA, RƯỢU SÀI GÒN - ĐỒNG XUÂN</t>
  </si>
  <si>
    <t>BSG</t>
  </si>
  <si>
    <t>CÔNG TY CỔ PHẦN XE KHÁCH SÀI GÒN</t>
  </si>
  <si>
    <t>BSH</t>
  </si>
  <si>
    <t>CÔNG TY CỔ PHẦN BIA SÀI GÒN - HÀ NỘI</t>
  </si>
  <si>
    <t>BSI</t>
  </si>
  <si>
    <t>CÔNG TY CỔ PHẦN CHỨNG KHOÁN NGÂN HÀNG ĐẦU TƯ VÀ PHÁT TRIỂN VIỆT NAM</t>
  </si>
  <si>
    <t>BSL</t>
  </si>
  <si>
    <t>CÔNG TY CỔ PHẦN BIA SÀI GÒN - SÔNG LAM</t>
  </si>
  <si>
    <t>BSP</t>
  </si>
  <si>
    <t>CÔNG TY CỔ PHẦN BIA SÀI GÒN - PHÚ THỌ</t>
  </si>
  <si>
    <t>BSQ</t>
  </si>
  <si>
    <t>CÔNG TY CỔ PHẦN BIA SÀI GÒN - QUẢNG NGÃI</t>
  </si>
  <si>
    <t>BSR</t>
  </si>
  <si>
    <t>CÔNG TY CỔ PHẦN LỌC HÓA DẦU BÌNH SƠN</t>
  </si>
  <si>
    <t>SẢN XUẤT VÀ KHAI THÁC DẦU KHÍ</t>
  </si>
  <si>
    <t>SẢN XUẤT DẦU KHÍ</t>
  </si>
  <si>
    <t>DẦU KHÍ</t>
  </si>
  <si>
    <t>BST</t>
  </si>
  <si>
    <t>CÔNG TY CỔ PHẦN SÁCH - THIẾT BỊ BÌNH THUẬN</t>
  </si>
  <si>
    <t>BT1</t>
  </si>
  <si>
    <t>CÔNG TY CỔ PHẦN BẢO VỆ THỰC VẬT 1 TRUNG ƯƠNG</t>
  </si>
  <si>
    <t>BT6</t>
  </si>
  <si>
    <t>CÔNG TY CỔ PHẦN BETON 6</t>
  </si>
  <si>
    <t>BTB</t>
  </si>
  <si>
    <t>CÔNG TY CỔ PHẦN BIA HÀ NỘI - THÁI BÌNH</t>
  </si>
  <si>
    <t>BTD</t>
  </si>
  <si>
    <t>CÔNG TY CỔ PHẦN BÊ TÔNG LY TÂM THỦ ĐỨC</t>
  </si>
  <si>
    <t>BTG</t>
  </si>
  <si>
    <t>CÔNG TY CỔ PHẦN BAO BÌ TIỀN GIANG</t>
  </si>
  <si>
    <t>BTH</t>
  </si>
  <si>
    <t>CÔNG TY CỔ PHẦN CHẾ TẠO BIẾN THẾ VÀ VẬT LIỆU ĐIỆN HÀ NỘI</t>
  </si>
  <si>
    <t>BTN</t>
  </si>
  <si>
    <t>CÔNG TY CỔ PHẦN GẠCH TUY NEN BÌNH ĐỊNH</t>
  </si>
  <si>
    <t>BTP</t>
  </si>
  <si>
    <t>CÔNG TY CỔ PHẦN NHIỆT ĐIỆN BÀ RỊA</t>
  </si>
  <si>
    <t>BTS</t>
  </si>
  <si>
    <t>CÔNG TY CỔ PHẦN XI MĂNG VICEM BÚT SƠN</t>
  </si>
  <si>
    <t>BTT</t>
  </si>
  <si>
    <t>CÔNG TY CỔ PHẦN THƯƠNG MẠI - DỊCH VỤ BẾN THÀNH</t>
  </si>
  <si>
    <t>BÁN LẺ PHỨC HỢP</t>
  </si>
  <si>
    <t>BTU</t>
  </si>
  <si>
    <t>CÔNG TY CỔ PHẦN CÔNG TRÌNH ĐÔ THỊ BẾN TRE</t>
  </si>
  <si>
    <t>BTV</t>
  </si>
  <si>
    <t>CÔNG TY CỔ PHẦN DỊCH VỤ DU LỊCH BẾN THÀNH</t>
  </si>
  <si>
    <t>BTW</t>
  </si>
  <si>
    <t>CÔNG TY CỔ PHẦN CẤP NƯỚC BẾN THÀNH</t>
  </si>
  <si>
    <t>BVB</t>
  </si>
  <si>
    <t>NGÂN HÀNG THƯƠNG MẠI CỔ PHẦN BẢN VIỆT</t>
  </si>
  <si>
    <t>BVG</t>
  </si>
  <si>
    <t>CÔNG TY CỔ PHẦN ĐẦU TƯ BVG</t>
  </si>
  <si>
    <t>BVH</t>
  </si>
  <si>
    <t>BVL</t>
  </si>
  <si>
    <t>CÔNG TY CỔ PHẦN BV LAND</t>
  </si>
  <si>
    <t>BVN</t>
  </si>
  <si>
    <t>CÔNG TY CỔ PHẦN BÔNG VIỆT NAM</t>
  </si>
  <si>
    <t>BVS</t>
  </si>
  <si>
    <t>CÔNG TY CỔ PHẦN CHỨNG KHOÁN BẢO VIỆT</t>
  </si>
  <si>
    <t>BWA</t>
  </si>
  <si>
    <t>CÔNG TY CỔ PHẦN CẤP THOÁT NƯỚC VÀ XÂY DỰNG BẢO LỘC</t>
  </si>
  <si>
    <t>BWE</t>
  </si>
  <si>
    <t>CÔNG TY CỔ PHẦN NƯỚC – MÔI TRƯỜNG BÌNH DƯƠNG</t>
  </si>
  <si>
    <t>BWS</t>
  </si>
  <si>
    <t>CÔNG TY CỔ PHẦN CẤP NƯỚC BÀ RỊA - VŨNG TÀU</t>
  </si>
  <si>
    <t>BXH</t>
  </si>
  <si>
    <t>CÔNG TY CỔ PHẦN VICEM BAO BÌ HẢI PHÒNG</t>
  </si>
  <si>
    <t>C12</t>
  </si>
  <si>
    <t>CÔNG TY CỔ PHẦN CẦU 12</t>
  </si>
  <si>
    <t>C21</t>
  </si>
  <si>
    <t>CÔNG TY CỔ PHẦN THẾ KỶ 21</t>
  </si>
  <si>
    <t>C22</t>
  </si>
  <si>
    <t>CÔNG TY CỔ PHẦN 22</t>
  </si>
  <si>
    <t>C32</t>
  </si>
  <si>
    <t>CÔNG TY CỔ PHẦN CIC39</t>
  </si>
  <si>
    <t>C47</t>
  </si>
  <si>
    <t>CÔNG TY CỔ PHẦN XÂY DỰNG 47</t>
  </si>
  <si>
    <t>C4G</t>
  </si>
  <si>
    <t>CÔNG TY CỔ PHẦN TẬP ĐOÀN CIENCO4</t>
  </si>
  <si>
    <t>C69</t>
  </si>
  <si>
    <t>CÔNG TY CỔ PHẦN XÂY DỰNG 1369</t>
  </si>
  <si>
    <t>C92</t>
  </si>
  <si>
    <t>CÔNG TY CỔ PHẦN XÂY DỰNG VÀ ĐẦU TƯ 492</t>
  </si>
  <si>
    <t>CAB</t>
  </si>
  <si>
    <t>CÔNG TY CỔ PHẦN TỔNG CÔNG TY TRUYỀN HÌNH CÁP VIỆT NAM</t>
  </si>
  <si>
    <t>GIẢI TRÍ &amp; TRUYỀN THÔNG</t>
  </si>
  <si>
    <t>CAD</t>
  </si>
  <si>
    <t>CÔNG TY CỔ PHẦN CHẾ BIẾN VÀ XUẤT NHẬP KHẨU THỦY SẢN CADOVIMEX</t>
  </si>
  <si>
    <t>CAG</t>
  </si>
  <si>
    <t>CÔNG TY CỔ PHẦN CẢNG AN GIANG</t>
  </si>
  <si>
    <t>CAN</t>
  </si>
  <si>
    <t>CÔNG TY CỔ PHẦN ĐỒ HỘP HẠ LONG</t>
  </si>
  <si>
    <t>CAP</t>
  </si>
  <si>
    <t>CÔNG TY CỔ PHẦN LÂM NÔNG SẢN THỰC PHẨM YÊN BÁI</t>
  </si>
  <si>
    <t>SẢN XUẤT GIẤY</t>
  </si>
  <si>
    <t>CAR</t>
  </si>
  <si>
    <t>CÔNG TY CỔ PHẦN TẬP ĐOÀN GIÁO DỤC TRÍ VIỆT</t>
  </si>
  <si>
    <t>ĐÀO TẠO &amp; VIỆC LÀM</t>
  </si>
  <si>
    <t>CAT</t>
  </si>
  <si>
    <t>CÔNG TY CỔ PHẦN THỦY SẢN CÀ MAU</t>
  </si>
  <si>
    <t>HÀNG ĐIỆN &amp; ĐIỆN TỬ</t>
  </si>
  <si>
    <t>CBI</t>
  </si>
  <si>
    <t>CÔNG TY CỔ PHẦN GANG THÉP CAO BẰNG</t>
  </si>
  <si>
    <t>CBS</t>
  </si>
  <si>
    <t>CÔNG TY CỔ PHẦN MÍA ĐƯỜNG CAO BẰNG</t>
  </si>
  <si>
    <t>CC1</t>
  </si>
  <si>
    <t>TỔNG CÔNG TY XÂY DỰNG SỐ 1 - CÔNG TY CỔ PHẦN</t>
  </si>
  <si>
    <t>CC4</t>
  </si>
  <si>
    <t>CÔNG TY CỔ PHẦN ĐẦU TƯ VÀ XÂY DỰNG SỐ 4</t>
  </si>
  <si>
    <t>CCA</t>
  </si>
  <si>
    <t>CÔNG TY CỔ PHẦN XUẤT NHẬP KHẨU THỦY SẢN CẦN THƠ</t>
  </si>
  <si>
    <t>CCI</t>
  </si>
  <si>
    <t>CÔNG TY CỔ PHẦN ĐẦU TƯ PHÁT TRIỂN CÔNG NGHIỆP - THƯƠNG MẠI CỦ CHI</t>
  </si>
  <si>
    <t>CCL</t>
  </si>
  <si>
    <t>CÔNG TY CỔ PHẦN ĐẦU TƯ VÀ PHÁT TRIỂN ĐÔ THỊ DẦU KHÍ CỬU LONG</t>
  </si>
  <si>
    <t>CCM</t>
  </si>
  <si>
    <t>CÔNG TY CỔ PHẦN KHOÁNG SẢN &amp; XI MĂNG CẦN THƠ</t>
  </si>
  <si>
    <t>CCP</t>
  </si>
  <si>
    <t>CÔNG TY CỔ PHẦN CẢNG CỬA CẤM HẢI PHÒNG</t>
  </si>
  <si>
    <t>CCR</t>
  </si>
  <si>
    <t>CÔNG TY CỔ PHẦN CẢNG CAM RANH</t>
  </si>
  <si>
    <t>CCT</t>
  </si>
  <si>
    <t>CÔNG TY CỔ PHẦN CẢNG CẦN THƠ</t>
  </si>
  <si>
    <t>CCV</t>
  </si>
  <si>
    <t>CÔNG TY CỔ PHẦN TƯ VẤN XÂY DỰNG CÔNG NGHIỆP VÀ ĐÔ THỊ VIỆT NAM</t>
  </si>
  <si>
    <t>CDC</t>
  </si>
  <si>
    <t>CÔNG TY CỔ PHẦN CHƯƠNG DƯƠNG</t>
  </si>
  <si>
    <t>CDG</t>
  </si>
  <si>
    <t>CÔNG TY CỔ PHẦN CẦU ĐUỐNG</t>
  </si>
  <si>
    <t>CDH</t>
  </si>
  <si>
    <t>CÔNG TY CỔ PHẦN CÔNG TRÌNH CÔNG CỘNG DỊCH VỤ DU LỊCH HẢI PHÒNG</t>
  </si>
  <si>
    <t>CDN</t>
  </si>
  <si>
    <t>CÔNG TY CỔ PHẦN CẢNG ĐÀ NẴNG</t>
  </si>
  <si>
    <t>CDO</t>
  </si>
  <si>
    <t>CÔNG TY CỔ PHẦN TƯ VẤN THIẾT KẾ VÀ PHÁT TRIỂN ĐÔ THỊ</t>
  </si>
  <si>
    <t>CDP</t>
  </si>
  <si>
    <t>CÔNG TY CỔ PHẦN DƯỢC PHẨM TRUNG ƯƠNG CODUPHA</t>
  </si>
  <si>
    <t>CDR</t>
  </si>
  <si>
    <t>CÔNG TY CỔ PHẦN XÂY DỰNG CAO SU ĐỒNG NAI</t>
  </si>
  <si>
    <t>CE1</t>
  </si>
  <si>
    <t>CÔNG TY CỔ PHẦN XÂY DỰNG VÀ THIẾT BỊ CÔNG NGHIỆP CIE1</t>
  </si>
  <si>
    <t>CEG</t>
  </si>
  <si>
    <t>CÔNG TY CỔ PHẦN TẬP ĐOÀN XÂY DỰNG VÀ THIẾT BỊ CÔNG NGHIỆP</t>
  </si>
  <si>
    <t>CEN</t>
  </si>
  <si>
    <t>CÔNG TY CỔ PHẦN CENCON VIỆT NAM</t>
  </si>
  <si>
    <t>CEO</t>
  </si>
  <si>
    <t>CÔNG TY CỔ PHẦN TẬP ĐOÀN C.E.O</t>
  </si>
  <si>
    <t>CET</t>
  </si>
  <si>
    <t>CÔNG TY CỔ PHẦN HTC HOLDING</t>
  </si>
  <si>
    <t>CFM</t>
  </si>
  <si>
    <t>CÔNG TY CỔ PHẦN ĐẦU TƯ CFM</t>
  </si>
  <si>
    <t>CFV</t>
  </si>
  <si>
    <t>CÔNG TY TNHH MỘT THÀNH VIÊN CÀ PHÊ THẮNG LỢI</t>
  </si>
  <si>
    <t>CGV</t>
  </si>
  <si>
    <t>CÔNG TY CỔ PHẦN SÀNH SỨ THỦY TINH VIỆT NAM</t>
  </si>
  <si>
    <t>CH5</t>
  </si>
  <si>
    <t>CÔNG TY CỔ PHẦN XÂY DỰNG SỐ 5 HÀ NỘI</t>
  </si>
  <si>
    <t>CHC</t>
  </si>
  <si>
    <t>CÔNG TY CỔ PHẦN CẨM HÀ</t>
  </si>
  <si>
    <t>CHP</t>
  </si>
  <si>
    <t>CÔNG TY CỔ PHẦN THỦY ĐIỆN MIỀN TRUNG</t>
  </si>
  <si>
    <t>CHS</t>
  </si>
  <si>
    <t>CÔNG TY CỔ PHẦN CHIẾU SÁNG CÔNG CỘNG THÀNH PHỐ HỒ CHÍ MINH</t>
  </si>
  <si>
    <t>TIỆN ÍCH KHÁC</t>
  </si>
  <si>
    <t>CI5</t>
  </si>
  <si>
    <t>CÔNG TY CỔ PHẦN ĐẦU TƯ XÂY DỰNG SỐ 5</t>
  </si>
  <si>
    <t>CIA</t>
  </si>
  <si>
    <t>CÔNG TY CỔ PHẦN DỊCH VỤ SÂN BAY QUỐC TẾ CAM RANH</t>
  </si>
  <si>
    <t>CID</t>
  </si>
  <si>
    <t>CÔNG TY CỔ PHẦN XÂY DỰNG VÀ PHÁT TRIỂN CƠ SỞ HẠ TẦNG</t>
  </si>
  <si>
    <t>CIG</t>
  </si>
  <si>
    <t>CÔNG TY CỔ PHẦN COMA18</t>
  </si>
  <si>
    <t>CII</t>
  </si>
  <si>
    <t>CÔNG TY CỔ PHẦN ĐẦU TƯ HẠ TẦNG KỸ THUẬT T.P HỒ CHÍ MINH</t>
  </si>
  <si>
    <t>CIP</t>
  </si>
  <si>
    <t>CÔNG TY CỔ PHẦN XÂY LẮP VÀ SẢN XUẤT CÔNG NGHIỆP</t>
  </si>
  <si>
    <t>CJC</t>
  </si>
  <si>
    <t>CÔNG TY CỔ PHẦN CƠ ĐIỆN MIỀN TRUNG</t>
  </si>
  <si>
    <t>CK8</t>
  </si>
  <si>
    <t>CÔNG TY CỔ PHẦN CƠ KHÍ 120</t>
  </si>
  <si>
    <t>CKA</t>
  </si>
  <si>
    <t>CÔNG TY CỔ PHẦN CƠ KHÍ AN GIANG</t>
  </si>
  <si>
    <t>CKD</t>
  </si>
  <si>
    <t>CÔNG TY CỔ PHẦN CƠ KHÍ ĐÔNG ANH LICOGI</t>
  </si>
  <si>
    <t>CKG</t>
  </si>
  <si>
    <t>CÔNG TY CỔ PHẦN TẬP ĐOÀN TƯ VẤN ĐẦU TƯ &amp; XÂY DỰNG KIÊN GIANG</t>
  </si>
  <si>
    <t>CKV</t>
  </si>
  <si>
    <t>CÔNG TY CỔ PHẦN COKYVINA</t>
  </si>
  <si>
    <t>THIẾT BỊ VIỄN THÔNG</t>
  </si>
  <si>
    <t>THIẾT BỊ VÀ PHẦN CỨNG</t>
  </si>
  <si>
    <t>CÔNG NGHỆ THÔNG TIN</t>
  </si>
  <si>
    <t>CLC</t>
  </si>
  <si>
    <t>CÔNG TY CỔ PHẦN CÁT LỢI</t>
  </si>
  <si>
    <t>THUỐC LÁ</t>
  </si>
  <si>
    <t>CLG</t>
  </si>
  <si>
    <t>CÔNG TY CỔ PHẦN ĐẦU TƯ VÀ PHÁT TRIỂN NHÀ ĐẤT COTEC</t>
  </si>
  <si>
    <t>CLH</t>
  </si>
  <si>
    <t>CÔNG TY CỔ PHẦN XI MĂNG LA HIÊN VVMI</t>
  </si>
  <si>
    <t>CÔNG TY CỔ PHẦN CẢNG CÁT LÁI</t>
  </si>
  <si>
    <t>CLM</t>
  </si>
  <si>
    <t>CÔNG TY CỔ PHẦN XUẤT NHẬP KHẨU THAN - VINACOMIN</t>
  </si>
  <si>
    <t>CLW</t>
  </si>
  <si>
    <t>CÔNG TY CỔ PHẦN CẤP NƯỚC CHỢ LỚN</t>
  </si>
  <si>
    <t>CLX</t>
  </si>
  <si>
    <t>CÔNG TY CỔ PHẦN XUẤT NHẬP KHẨU VÀ ĐẦU TƯ CHỢ LỚN (CHOLIMEX)</t>
  </si>
  <si>
    <t>CMC</t>
  </si>
  <si>
    <t>CÔNG TY CỔ PHẦN ĐẦU TƯ CMC</t>
  </si>
  <si>
    <t>SẢN XUẤT Ô TÔ</t>
  </si>
  <si>
    <t>Ô TÔ VÀ PHỤ TÙNG</t>
  </si>
  <si>
    <t>CÔNG TY CỔ PHẦN VẬT LIỆU XÂY DỰNG VÀ TRANG TRÍ NỘI THẤT THÀNH PHỐ HỒ CHÍ MINH</t>
  </si>
  <si>
    <t>CMF</t>
  </si>
  <si>
    <t>CÔNG TY CỔ PHẦN THỰC PHẨM CHOLIMEX</t>
  </si>
  <si>
    <t>CMG</t>
  </si>
  <si>
    <t>CÔNG TY CỔ PHẦN TẬP ĐOÀN CÔNG NGHỆ CMC</t>
  </si>
  <si>
    <t>DỊCH VỤ MÁY TÍNH</t>
  </si>
  <si>
    <t>PHẦN MỀM &amp; DỊCH VỤ MÁY TÍNH</t>
  </si>
  <si>
    <t>CÔNG TY CỔ PHẦN CMISTONE VIỆT NAM</t>
  </si>
  <si>
    <t>CÔNG TY CỔ PHẦN CƠ KHÍ MẠO KHÊ - VINACOMIN</t>
  </si>
  <si>
    <t>CMM</t>
  </si>
  <si>
    <t>CTCP CAMIMEX</t>
  </si>
  <si>
    <t>CMN</t>
  </si>
  <si>
    <t>CÔNG TY CỔ PHẦN LƯƠNG THỰC THỰC PHẨM COLUSA-MILIKET</t>
  </si>
  <si>
    <t>CÔNG TY CỔ PHẦN CẢNG CHÂN MÂY</t>
  </si>
  <si>
    <t>CÔNG TY CỔ PHẦN TẬP ĐOÀN CMH VIỆT NAM</t>
  </si>
  <si>
    <t>CMT</t>
  </si>
  <si>
    <t>CÔNG TY CỔ PHẦN CÔNG NGHỆ MẠNG VÀ TRUYỀN THÔNG</t>
  </si>
  <si>
    <t>PHẦN MỀM</t>
  </si>
  <si>
    <t>CMV</t>
  </si>
  <si>
    <t>CÔNG TY CỔ PHẦN THƯƠNG NGHIỆP CÀ MAU</t>
  </si>
  <si>
    <t>CMW</t>
  </si>
  <si>
    <t>CÔNG TY CỔ PHẦN CẤP NƯỚC CÀ MAU</t>
  </si>
  <si>
    <t>CMX</t>
  </si>
  <si>
    <t>CÔNG TY CỔ PHẦN CAMIMEX GROUP</t>
  </si>
  <si>
    <t>CNA</t>
  </si>
  <si>
    <t>CÔNG TY TNHH MTV ĐẦU TƯ PHÁT TRIỂN CHÈ NGHỆ AN</t>
  </si>
  <si>
    <t>CNC</t>
  </si>
  <si>
    <t>CÔNG TY CỔ PHẦN CÔNG NGHỆ CAO TRAPHACO</t>
  </si>
  <si>
    <t>CNG</t>
  </si>
  <si>
    <t>CÔNG TY CỔ PHẦN CNG VIỆT NAM</t>
  </si>
  <si>
    <t>CÔNG TY CỔ PHẦN TƯ VẤN CÔNG NGHỆ, THIẾT BỊ VÀ KIỂM ĐỊNH XÂY DỰNG - CONINCO</t>
  </si>
  <si>
    <t>CÔNG TY CỔ PHẦN XÂY DỰNG VÀ KINH DOANH VẬT TƯ</t>
  </si>
  <si>
    <t>COM</t>
  </si>
  <si>
    <t>CÔNG TY CỔ PHẦN VẬT TƯ - XĂNG DẦU</t>
  </si>
  <si>
    <t>CPA</t>
  </si>
  <si>
    <t>CÔNG TY CỔ PHẦN CÀ PHÊ PHƯỚC AN</t>
  </si>
  <si>
    <t>CPC</t>
  </si>
  <si>
    <t>CÔNG TY CỔ PHẦN THUỐC SÁT TRÙNG CẦN THƠ</t>
  </si>
  <si>
    <t>CPH</t>
  </si>
  <si>
    <t>CÔNG TY CỔ PHẦN MAI TÁNG HẢI PHÒNG</t>
  </si>
  <si>
    <t>DỊCH VỤ TIÊU DÙNG CHUYÊN NGÀNH</t>
  </si>
  <si>
    <t>CÔNG TY CỔ PHẦN ĐẦU TƯ CẢNG CÁI LÂN</t>
  </si>
  <si>
    <t>CÔNG TY CỔ PHẦN XI MĂNG QUÁN TRIỀU VVMI</t>
  </si>
  <si>
    <t>CRC</t>
  </si>
  <si>
    <t>CÔNG TY CỔ PHẦN CREATE CAPITAL VIỆT NAM</t>
  </si>
  <si>
    <t>CRE</t>
  </si>
  <si>
    <t>CÔNG TY CỔ PHẦN BẤT ĐỘNG SẢN THẾ KỶ</t>
  </si>
  <si>
    <t>CÔNG TY CỔ PHẦN TẬP ĐOÀN COTANA</t>
  </si>
  <si>
    <t>CSI</t>
  </si>
  <si>
    <t>CÔNG TY CỔ PHẦN CHỨNG KHOÁN KIẾN THIẾT VIỆT NAM</t>
  </si>
  <si>
    <t>CSM</t>
  </si>
  <si>
    <t>CÔNG TY CỔ PHẦN CÔNG NGHIỆP CAO SU MIỀN NAM</t>
  </si>
  <si>
    <t>LỐP XE</t>
  </si>
  <si>
    <t>CST</t>
  </si>
  <si>
    <t>CÔNG TY CỔ PHẦN THAN CAO SƠN - TKV</t>
  </si>
  <si>
    <t>CSV</t>
  </si>
  <si>
    <t>CÔNG TY CỔ PHẦN HÓA CHẤT CƠ BẢN MIỀN NAM</t>
  </si>
  <si>
    <t>CÔNG TY CỔ PHẦN ĐẦU TƯ VÀ XÂY DỰNG CÔNG TRÌNH 3</t>
  </si>
  <si>
    <t>CÔNG TY CỔ PHẦN CÔNG TRÌNH 6</t>
  </si>
  <si>
    <t>CÔNG TY CỔ PHẦN VINAVICO</t>
  </si>
  <si>
    <t>CÔNG TY CỔ PHẦN CHẾ TẠO BƠM HẢI DƯƠNG</t>
  </si>
  <si>
    <t>CTC</t>
  </si>
  <si>
    <t>CÔNG TY CỔ PHẦN TẬP ĐOÀN HOÀNG KIM TÂY NGUYÊN</t>
  </si>
  <si>
    <t>CTD</t>
  </si>
  <si>
    <t>CÔNG TY CỔ PHẦN XÂY DỰNG COTECCONS</t>
  </si>
  <si>
    <t>CTF</t>
  </si>
  <si>
    <t>CÔNG TY CỔ PHẦN CITY AUTO</t>
  </si>
  <si>
    <t>CTG</t>
  </si>
  <si>
    <t>NGÂN HÀNG THƯƠNG MẠI CỔ PHẦN CÔNG THƯƠNG VIỆT NAM</t>
  </si>
  <si>
    <t>CTI</t>
  </si>
  <si>
    <t>CÔNG TY CỔ PHẦN ĐẦU TƯ PHÁT TRIỂN CƯỜNG THUẬN IDICO</t>
  </si>
  <si>
    <t>CÔNG TY CỔ PHẦN XÂY DỰNG CÔNG TRÌNH NGẦM</t>
  </si>
  <si>
    <t>CTP</t>
  </si>
  <si>
    <t>CÔNG TY CỔ PHẦN MINH KHANG CAPITAL TRADING PUBLIC</t>
  </si>
  <si>
    <t>CTR</t>
  </si>
  <si>
    <t>TỔNG CÔNG TY CỔ PHẦN CÔNG TRÌNH VIETTEL</t>
  </si>
  <si>
    <t>CTS</t>
  </si>
  <si>
    <t>CÔNG TY CỔ PHẦN CHỨNG KHOÁN NGÂN HÀNG CÔNG THƯƠNG VIỆT NAM</t>
  </si>
  <si>
    <t>CÔNG TY CỔ PHẦN CHẾ TẠO MÁY VINACOMIN</t>
  </si>
  <si>
    <t>CTW</t>
  </si>
  <si>
    <t>CÔNG TY CỔ PHẦN CẤP THOÁT NƯỚC CẦN THƠ</t>
  </si>
  <si>
    <t>TỔNG CÔNG TY CỔ PHẦN ĐẦU TƯ XÂY DỰNG VÀ THƯƠNG MẠI VIỆT NAM</t>
  </si>
  <si>
    <t>CVN</t>
  </si>
  <si>
    <t>CÔNG TY CỔ PHẦN VINAM</t>
  </si>
  <si>
    <t>CÔNG TY CỔ PHẦN CMC</t>
  </si>
  <si>
    <t>CÔNG TY CỔ PHẦN ĐẦU TƯ VÀ XÂY LẮP CONSTREXIM SỐ 8</t>
  </si>
  <si>
    <t>CÔNG TY CỔ PHẦN GẠCH MEN CHANG YIH</t>
  </si>
  <si>
    <t>D11</t>
  </si>
  <si>
    <t>CÔNG TY CỔ PHẦN ĐỊA ỐC 11</t>
  </si>
  <si>
    <t>D17</t>
  </si>
  <si>
    <t>CÔNG TY CỔ PHẦN ĐỒNG TÂN</t>
  </si>
  <si>
    <t>D2D</t>
  </si>
  <si>
    <t>CÔNG TY CỔ PHẦN PHÁT TRIỂN ĐÔ THỊ CÔNG NGHIỆP SỐ 2</t>
  </si>
  <si>
    <t>CÔNG TY CỔ PHẦN VIGLACERA ĐÔNG ANH</t>
  </si>
  <si>
    <t>DAD</t>
  </si>
  <si>
    <t>CÔNG TY CỔ PHẦN ĐẦU TƯ VÀ PHÁT TRIỂN GIÁO DỤC ĐÀ NẴNG</t>
  </si>
  <si>
    <t>DAE</t>
  </si>
  <si>
    <t>CÔNG TY CỔ PHẦN SÁCH GIÁO DỤC TẠI TP. ĐÀ NẴNG</t>
  </si>
  <si>
    <t>DAG</t>
  </si>
  <si>
    <t>CÔNG TY CỔ PHẦN TẬP ĐOÀN NHỰA ĐÔNG Á</t>
  </si>
  <si>
    <t>DAH</t>
  </si>
  <si>
    <t>CÔNG TY CỔ PHẦN TẬP ĐOÀN KHÁCH SẠN ĐÔNG Á</t>
  </si>
  <si>
    <t>DAN</t>
  </si>
  <si>
    <t>CÔNG TY CỔ PHẦN DƯỢC DANAPHA</t>
  </si>
  <si>
    <t>CÔNG TY CỔ PHẦN MÁY - THIẾT BỊ DẦU KHÍ ĐÀ NẴNG</t>
  </si>
  <si>
    <t>XE TẢI &amp; ĐÓNG TÀU</t>
  </si>
  <si>
    <t>DAT</t>
  </si>
  <si>
    <t>CÔNG TY CỔ PHẦN ĐẦU TƯ DU LỊCH VÀ PHÁT TRIỂN THUỶ SẢN</t>
  </si>
  <si>
    <t>DBC</t>
  </si>
  <si>
    <t>CÔNG TY CỔ PHẦN TẬP ĐOÀN DABACO VIỆT NAM</t>
  </si>
  <si>
    <t>DBD</t>
  </si>
  <si>
    <t>CÔNG TY CỔ PHẦN DƯỢC - TRANG THIẾT BỊ Y TẾ BÌNH ĐỊNH</t>
  </si>
  <si>
    <t>DBM</t>
  </si>
  <si>
    <t>CÔNG TY CỔ PHẦN DƯỢC - VẬT TƯ Y TẾ ĐĂK LĂK</t>
  </si>
  <si>
    <t>DBT</t>
  </si>
  <si>
    <t>CÔNG TY CỔ PHẦN DƯỢC PHẨM BẾN TRE</t>
  </si>
  <si>
    <t>CÔNG TY CỔ PHẦN ĐẦU TƯ PHÁT TRIỂN XÂY DỰNG SỐ 1</t>
  </si>
  <si>
    <t>CÔNG TY CỔ PHẦN ĐẦU TƯ PHÁT TRIỂN - XÂY DỰNG SỐ 2</t>
  </si>
  <si>
    <t>DC4</t>
  </si>
  <si>
    <t>CÔNG TY CỔ PHẦN XÂY DỰNG DIC HOLDINGS</t>
  </si>
  <si>
    <t>CÔNG TY CỔ PHẦN XÂY DỰNG VÀ THIẾT KẾ SỐ 1</t>
  </si>
  <si>
    <t>DCG</t>
  </si>
  <si>
    <t>CÔNG TY CỔ PHẦN TỔNG CÔNG TY MAY ĐÁP CẦU</t>
  </si>
  <si>
    <t>DCH</t>
  </si>
  <si>
    <t>CÔNG TY CỔ PHẦN ĐỊA CHÍNH HÀ NỘI</t>
  </si>
  <si>
    <t>DCL</t>
  </si>
  <si>
    <t>CÔNG TY CỔ PHẦN DƯỢC PHẨM CỬU LONG</t>
  </si>
  <si>
    <t>DCM</t>
  </si>
  <si>
    <t>CÔNG TY CỔ PHẦN PHÂN BÓN DẦU KHÍ CÀ MAU</t>
  </si>
  <si>
    <t>CÔNG TY CỔ PHẦN GẠCH MEN COSEVCO</t>
  </si>
  <si>
    <t>DCS</t>
  </si>
  <si>
    <t>CÔNG TY CỔ PHẦN TẬP ĐOÀN ĐẠI CHÂU</t>
  </si>
  <si>
    <t>THIẾT BỊ GIA DỤNG</t>
  </si>
  <si>
    <t>HÀNG GIA DỤNG</t>
  </si>
  <si>
    <t>CÔNG TY CỔ PHẦN TẤM LỢP VẬT LIỆU XÂY DỰNG ĐỒNG NAI</t>
  </si>
  <si>
    <t>DDG</t>
  </si>
  <si>
    <t>CÔNG TY CỔ PHẦN ĐẦU TƯ CÔNG NGHIỆP XUẤT NHẬP KHẨU ĐÔNG DƯƠNG</t>
  </si>
  <si>
    <t>CÔNG TY CỔ PHẦN ĐẢM BẢO GIAO THÔNG ĐƯỜNG THỦY HẢI PHÒNG</t>
  </si>
  <si>
    <t>CÔNG TY CỔ PHẦN HÀNG HẢI ĐÔNG ĐÔ</t>
  </si>
  <si>
    <t>VẬN TẢI THỦY</t>
  </si>
  <si>
    <t>DDN</t>
  </si>
  <si>
    <t>CÔNG TY CỔ PHẦN DƯỢC - THIẾT BỊ Y TẾ ĐÀ NẴNG</t>
  </si>
  <si>
    <t>DDV</t>
  </si>
  <si>
    <t>CÔNG TY CỔ PHẦN DAP - VINACHEM</t>
  </si>
  <si>
    <t>DFC</t>
  </si>
  <si>
    <t>CÔNG TY CỔ PHẦN XÍCH LÍP ĐÔNG ANH</t>
  </si>
  <si>
    <t>CÔNG TY CỔ PHẦN TẬP ĐOÀN ĐUA FAT</t>
  </si>
  <si>
    <t>DGC</t>
  </si>
  <si>
    <t>CÔNG TY CỔ PHẦN TẬP ĐOÀN HÓA CHẤT ĐỨC GIANG</t>
  </si>
  <si>
    <t>CÔNG TY CỔ PHẦN CÔNG TRÌNH GIAO THÔNG ĐỒNG NAI</t>
  </si>
  <si>
    <t>DGW</t>
  </si>
  <si>
    <t>CÔNG TY CỔ PHẦN THẾ GIỚI SỐ</t>
  </si>
  <si>
    <t>DHA</t>
  </si>
  <si>
    <t>CÔNG TY CỔ PHẦN HOÁ AN</t>
  </si>
  <si>
    <t>DHB</t>
  </si>
  <si>
    <t>CÔNG TY CỔ PHẦN PHÂN ĐẠM VÀ HÓA CHẤT HÀ BẮC</t>
  </si>
  <si>
    <t>DHC</t>
  </si>
  <si>
    <t>CÔNG TY CỔ PHẦN ĐÔNG HẢI BẾN TRE</t>
  </si>
  <si>
    <t>DHD</t>
  </si>
  <si>
    <t>CÔNG TY CỔ PHẦN DƯỢC VẬT TƯ Y TẾ HẢI DƯƠNG</t>
  </si>
  <si>
    <t>DHG</t>
  </si>
  <si>
    <t>CÔNG TY CỔ PHẦN DƯỢC HẬU GIANG</t>
  </si>
  <si>
    <t>DHM</t>
  </si>
  <si>
    <t>CÔNG TY CỔ PHẦN THƯƠNG MẠI VÀ KHAI THÁC KHOÁNG SẢN DƯƠNG HIẾU</t>
  </si>
  <si>
    <t>DHN</t>
  </si>
  <si>
    <t>CÔNG TY CỔ PHẦN DƯỢC PHẨM HÀ NỘI</t>
  </si>
  <si>
    <t>CÔNG TY CỔ PHẦN ĐIỆN CƠ HẢI PHÒNG</t>
  </si>
  <si>
    <t>DHT</t>
  </si>
  <si>
    <t>CÔNG TY CỔ PHẦN DƯỢC PHẨM HÀ TÂY</t>
  </si>
  <si>
    <t>PHÂN PHỐI DƯỢC PHẨM</t>
  </si>
  <si>
    <t>CÔNG TY CỔ PHẦN ĐẦU TƯ VÀ THƯƠNG MẠI DIC</t>
  </si>
  <si>
    <t>CÔNG TY CỔ PHẦN DIC - ĐỒNG TIẾN</t>
  </si>
  <si>
    <t>DIG</t>
  </si>
  <si>
    <t>TỔNG CÔNG TY CỔ PHẦN ĐẦU TƯ PHÁT TRIỂN XÂY DỰNG</t>
  </si>
  <si>
    <t>CÔNG TY CỔ PHẦN ĐẦU TƯ PHÁT TRIỂN XÂY DỰNG - HỘI AN</t>
  </si>
  <si>
    <t>DKC</t>
  </si>
  <si>
    <t>CÔNG TY CỔ PHẦN CHỢ LẠNG SƠN</t>
  </si>
  <si>
    <t>CÔNG TY CỔ PHẦN TẬP ĐOÀN ALPHA SEVEN</t>
  </si>
  <si>
    <t>DLD</t>
  </si>
  <si>
    <t>CÔNG TY CỔ PHẦN DU LỊCH ĐẮK LẮK</t>
  </si>
  <si>
    <t>DLG</t>
  </si>
  <si>
    <t>CÔNG TY CỔ PHẦN TẬP ĐOÀN ĐỨC LONG GIA LAI</t>
  </si>
  <si>
    <t>CÔNG TY CỔ PHẦN ĐỊA ỐC ĐÀ LẠT</t>
  </si>
  <si>
    <t>DLT</t>
  </si>
  <si>
    <t>CÔNG TY CỔ PHẦN DU LỊCH VÀ THƯƠNG MẠI – VINACOMIN</t>
  </si>
  <si>
    <t>DM7</t>
  </si>
  <si>
    <t>CÔNG TY CỔ PHẦN DỆT MAY 7</t>
  </si>
  <si>
    <t>DMC</t>
  </si>
  <si>
    <t>CÔNG TY CỔ PHẦN XUẤT NHẬP KHẨU Y TẾ DOMESCO</t>
  </si>
  <si>
    <t>DMN</t>
  </si>
  <si>
    <t>CÔNG TY CỔ PHẦN DOMENAL</t>
  </si>
  <si>
    <t>DMS</t>
  </si>
  <si>
    <t>CÔNG TY CỔ PHẦN HÓA PHẨM DẦU KHÍ DMC - MIỀN NAM</t>
  </si>
  <si>
    <t>DNA</t>
  </si>
  <si>
    <t>CÔNG TY CỔ PHẦN ĐIỆN NƯỚC AN GIANG</t>
  </si>
  <si>
    <t>DNC</t>
  </si>
  <si>
    <t>CÔNG TY CỔ PHẦN ĐIỆN NƯỚC LẮP MÁY HẢI PHÒNG</t>
  </si>
  <si>
    <t>CÔNG TY CỔ PHẦN ĐẦU TƯ XÂY DỰNG VÀ VẬT LIỆU ĐỒNG NAI</t>
  </si>
  <si>
    <t>CÔNG TY CỔ PHẦN MÔI TRƯỜNG ĐÔ THỊ ĐÀ NẴNG</t>
  </si>
  <si>
    <t>DNH</t>
  </si>
  <si>
    <t>CÔNG TY CỔ PHẦN THỦY ĐIỆN ĐA NHIM - HÀM THUẬN - ĐA MI</t>
  </si>
  <si>
    <t>CÔNG TY CỔ PHẦN LOGISTIC CẢNG ĐÀ NẴNG</t>
  </si>
  <si>
    <t>DNM</t>
  </si>
  <si>
    <t>TỔNG CÔNG TY CỔ PHẦN Y TẾ DANAMECO</t>
  </si>
  <si>
    <t>DỤNG CỤ Y TẾ</t>
  </si>
  <si>
    <t>DNN</t>
  </si>
  <si>
    <t>CÔNG TY CỔ PHẦN CẤP NƯỚC ĐÀ NẴNG</t>
  </si>
  <si>
    <t>CÔNG TY CỔ PHẦN DNP HOLDING</t>
  </si>
  <si>
    <t>DNT</t>
  </si>
  <si>
    <t>CÔNG TY CỔ PHẦN DU LỊCH ĐỒNG NAI</t>
  </si>
  <si>
    <t>DỊCH VỤ GIẢI TRÍ</t>
  </si>
  <si>
    <t>DNW</t>
  </si>
  <si>
    <t>CÔNG TY CỔ PHẦN CẤP NƯỚC ĐỒNG NAI</t>
  </si>
  <si>
    <t>DOC</t>
  </si>
  <si>
    <t>CÔNG TY CỔ PHẦN VẬT TƯ NÔNG NGHIỆP ĐỒNG NAI</t>
  </si>
  <si>
    <t>CÔNG TY CỔ PHẦN VẬN TẢI XĂNG DẦU ĐỒNG THÁP</t>
  </si>
  <si>
    <t>DỊCH VỤ VẬN TẢI</t>
  </si>
  <si>
    <t>DP1</t>
  </si>
  <si>
    <t>CÔNG TY CỔ PHẦN DƯỢC PHẨM TRUNG ƯƠNG CPC1</t>
  </si>
  <si>
    <t>DP2</t>
  </si>
  <si>
    <t>CÔNG TY CỔ PHẦN DƯỢC PHẨM TRUNG ƯƠNG 2</t>
  </si>
  <si>
    <t>DP3</t>
  </si>
  <si>
    <t>CÔNG TY CỔ PHẦN DƯỢC PHẨM TRUNG ƯƠNG 3</t>
  </si>
  <si>
    <t>CÔNG TY CỔ PHẦN NHỰA ĐÀ NẴNG</t>
  </si>
  <si>
    <t>DPG</t>
  </si>
  <si>
    <t>CÔNG TY CỔ PHẦN ĐẠT PHƯƠNG</t>
  </si>
  <si>
    <t>DPH</t>
  </si>
  <si>
    <t>CÔNG TY CỔ PHẦN DƯỢC PHẨM HẢI PHÒNG</t>
  </si>
  <si>
    <t>DPM</t>
  </si>
  <si>
    <t>TỔNG CÔNG TY PHÂN BÓN VÀ HÓA CHẤT DẦU KHÍ-CÔNG TY CỔ PHẦN</t>
  </si>
  <si>
    <t>DPP</t>
  </si>
  <si>
    <t>CÔNG TY CỔ PHẦN DƯỢC ĐỒNG NAI</t>
  </si>
  <si>
    <t>DPR</t>
  </si>
  <si>
    <t>CÔNG TY CỔ PHẦN CAO SU ĐỒNG PHÚ</t>
  </si>
  <si>
    <t>DPS</t>
  </si>
  <si>
    <t>CÔNG TY CỔ PHẦN ĐẦU TƯ PHÁT TRIỂN SÓC SƠN</t>
  </si>
  <si>
    <t>DQC</t>
  </si>
  <si>
    <t>CÔNG TY CỔ PHẦN BÓNG ĐÈN ĐIỆN QUANG</t>
  </si>
  <si>
    <t>DRC</t>
  </si>
  <si>
    <t>CÔNG TY CỔ PHẦN CAO SU ĐÀ NẴNG</t>
  </si>
  <si>
    <t>DRG</t>
  </si>
  <si>
    <t>CÔNG TY CỔ PHẦN CAO SU ĐẮK LẮK</t>
  </si>
  <si>
    <t>DRH</t>
  </si>
  <si>
    <t>CÔNG TY CỔ PHẦN DRH HOLDINGS</t>
  </si>
  <si>
    <t>DRI</t>
  </si>
  <si>
    <t>CÔNG TY CỔ PHẦN ĐẦU TƯ CAO SU ĐẮK LẮK</t>
  </si>
  <si>
    <t>DRL</t>
  </si>
  <si>
    <t>CÔNG TY CỔ PHẦN THỦY ĐIỆN – ĐIỆN LỰC 3</t>
  </si>
  <si>
    <t>CÔNG TY CỔ PHẦN QUẢN LÝ ĐƯỜNG SÔNG SỐ 3</t>
  </si>
  <si>
    <t>DSC</t>
  </si>
  <si>
    <t>CÔNG TY CỔ PHẦN CHỨNG KHOÁN ĐÀ NẴNG</t>
  </si>
  <si>
    <t>DSD</t>
  </si>
  <si>
    <t>CÔNG TY CỔ PHẦN DHC SUỐI ĐÔI</t>
  </si>
  <si>
    <t>CÔNG TY CỔ PHẦN KÍNH VIGLACERA ĐÁP CẦU</t>
  </si>
  <si>
    <t>DSN</t>
  </si>
  <si>
    <t>CÔNG TY CỔ PHẦN CÔNG VIÊN NƯỚC ĐẦM SEN</t>
  </si>
  <si>
    <t>DSP</t>
  </si>
  <si>
    <t>CÔNG TY CỔ PHẦN DỊCH VỤ DU LỊCH PHÚ THỌ</t>
  </si>
  <si>
    <t>DST</t>
  </si>
  <si>
    <t>CÔNG TY CỔ PHẦN ĐẦU TƯ SAO THĂNG LONG</t>
  </si>
  <si>
    <t>DTA</t>
  </si>
  <si>
    <t>CÔNG TY CỔ PHẦN ĐỆ TAM</t>
  </si>
  <si>
    <t>CÔNG TY CỔ PHẦN CÔNG TRÌNH ĐÔ THỊ BẢO LỘC</t>
  </si>
  <si>
    <t>CÔNG TY CỔ PHẦN VIGLACERA ĐÔNG TRIỀU</t>
  </si>
  <si>
    <t>DTD</t>
  </si>
  <si>
    <t>CÔNG TY CỔ PHẦN ĐẦU TƯ PHÁT TRIỂN THÀNH ĐẠT</t>
  </si>
  <si>
    <t>DTE</t>
  </si>
  <si>
    <t>CÔNG TY CỔ PHẦN ĐẦU TƯ NĂNG LƯỢNG ĐẠI TRƯỜNG THÀNH HOLDINGS</t>
  </si>
  <si>
    <t>DTG</t>
  </si>
  <si>
    <t>CÔNG TY CỔ PHẦN DƯỢC PHẨM TIPHARCO</t>
  </si>
  <si>
    <t>DTH</t>
  </si>
  <si>
    <t>CÔNG TY CỔ PHẦN DƯỢC - VẬT TƯ Y TẾ THANH HÓA</t>
  </si>
  <si>
    <t>DTI</t>
  </si>
  <si>
    <t>CÔNG TY CỔ PHẦN ĐẦU TƯ ĐỨC TRUNG</t>
  </si>
  <si>
    <t>DTK</t>
  </si>
  <si>
    <t>TỔNG CÔNG TY ĐIỆN LỰC TKV - CTCP</t>
  </si>
  <si>
    <t>DTL</t>
  </si>
  <si>
    <t>CÔNG TY CỔ PHẦN ĐẠI THIÊN LỘC</t>
  </si>
  <si>
    <t>DTP</t>
  </si>
  <si>
    <t>CÔNG TY CỔ PHẦN DƯỢC PHẨM CPC1 HÀ NỘI</t>
  </si>
  <si>
    <t>DTT</t>
  </si>
  <si>
    <t>CÔNG TY CỔ PHẦN KỸ NGHỆ ĐÔ THÀNH</t>
  </si>
  <si>
    <t>CÔNG TY CỔ PHẦN DỊCH VỤ ĐÔ THỊ ĐÀ LẠT</t>
  </si>
  <si>
    <t>DVC</t>
  </si>
  <si>
    <t>CÔNG TY CỔ PHẦN THƯƠNG MẠI DỊCH VỤ TỔNG HỢP CẢNG HẢI PHÒNG</t>
  </si>
  <si>
    <t>CTCP TẬP ĐOÀN SƠN ĐẠI VIỆT</t>
  </si>
  <si>
    <t>DVM</t>
  </si>
  <si>
    <t>CÔNG TY CỔ PHẦN DƯỢC LIỆU VIỆT NAM</t>
  </si>
  <si>
    <t>DVN</t>
  </si>
  <si>
    <t>TỔNG CÔNG TY DƯỢC VIỆT NAM - CTCP</t>
  </si>
  <si>
    <t>CÔNG TY CỔ PHẦN ĐẦU TƯ VÀ PHÁT TRIỂN CẢNG ĐÌNH VŨ</t>
  </si>
  <si>
    <t>CÔNG TY CỔ PHẦN DỊCH VỤ VÀ XÂY DỰNG CẤP NƯỚC ĐỒNG NAI</t>
  </si>
  <si>
    <t>DWC</t>
  </si>
  <si>
    <t>CÔNG TY CỔ PHẦN CẤP NƯỚC ĐẮK LẮK</t>
  </si>
  <si>
    <t>DWS</t>
  </si>
  <si>
    <t>CÔNG TY CỔ PHẦN CẤP NƯỚC VÀ MÔI TRƯỜNG ĐÔ THỊ ĐỒNG THÁP</t>
  </si>
  <si>
    <t>DXG</t>
  </si>
  <si>
    <t>CÔNG TY CỔ PHẦN TẬP ĐOÀN ĐẤT XANH</t>
  </si>
  <si>
    <t>DXL</t>
  </si>
  <si>
    <t>CÔNG TY CỔ PHẦN DU LỊCH VÀ XUẤT NHẬP KHẨU LẠNG SƠN</t>
  </si>
  <si>
    <t>CÔNG TY CỔ PHẦN CẢNG ĐOẠN XÁ</t>
  </si>
  <si>
    <t>DXS</t>
  </si>
  <si>
    <t>CÔNG TY CỔ PHẦN DỊCH VỤ BẤT ĐỘNG SẢN ĐẤT XANH</t>
  </si>
  <si>
    <t>CÔNG TY CỔ PHẦN VICEM VẬT LIỆU XÂY DỰNG ĐÀ NẴNG</t>
  </si>
  <si>
    <t>CÔNG TY CỔ PHẦN CƠ ĐIỆN DZĨ AN</t>
  </si>
  <si>
    <t>CÔNG TY CỔ PHẦN XÂY DỰNG ĐIỆN VNECO12</t>
  </si>
  <si>
    <t>E1VFVN30</t>
  </si>
  <si>
    <t>QUỸ ETF DCVFMVN30</t>
  </si>
  <si>
    <t>QUỸ ĐẦU TƯ</t>
  </si>
  <si>
    <t>CÔNG TY CỔ PHẦN ĐẦU TƯ XÂY DỰNG VÀ KỸ THUẬT 29</t>
  </si>
  <si>
    <t>EBS</t>
  </si>
  <si>
    <t>CÔNG TY CỔ PHẦN SÁCH GIÁO DỤC TẠI TP.HÀ NỘI</t>
  </si>
  <si>
    <t>ECI</t>
  </si>
  <si>
    <t>CÔNG TY CỔ PHẦN BẢN ĐỒ VÀ TRANH ẢNH GIÁO DỤC</t>
  </si>
  <si>
    <t>EFI</t>
  </si>
  <si>
    <t>CÔNG TY CỔ PHẦN ĐẦU TƯ TÀI CHÍNH GIÁO DỤC</t>
  </si>
  <si>
    <t>EIB</t>
  </si>
  <si>
    <t>NGÂN HÀNG THƯƠNG MẠI CỔ PHẦN XUẤT NHẬP KHẨU VIỆT NAM</t>
  </si>
  <si>
    <t>CÔNG TY CỔ PHẦN EVN QUỐC TẾ</t>
  </si>
  <si>
    <t>EID</t>
  </si>
  <si>
    <t>CÔNG TY CỔ PHẦN ĐẦU TƯ VÀ PHÁT TRIỂN GIÁO DỤC HÀ NỘI</t>
  </si>
  <si>
    <t>EIN</t>
  </si>
  <si>
    <t>CÔNG TY CỔ PHẦN ĐẦU TƯ - THƯƠNG MẠI - DỊCH VỤ ĐIỆN LỰC</t>
  </si>
  <si>
    <t>ELC</t>
  </si>
  <si>
    <t>CÔNG TY CỔ PHẦN CÔNG NGHỆ - VIỄN THÔNG ELCOM</t>
  </si>
  <si>
    <t>CÔNG TY CỔ PHẦN ĐIỆN CƠ</t>
  </si>
  <si>
    <t>CÔNG TY CỔ PHẦN THIẾT BỊ PHỤ TÙNG CƠ ĐIỆN</t>
  </si>
  <si>
    <t>TỔNG CÔNG TY CHUYỂN PHÁT NHANH BƯU ĐIỆN - CÔNG TY CỔ PHẦN</t>
  </si>
  <si>
    <t>CHUYỂN PHÁT NHANH</t>
  </si>
  <si>
    <t>EPC</t>
  </si>
  <si>
    <t>CÔNG TY TNHH MỘT THÀNH VIÊN CÀ PHÊ EA PỐK</t>
  </si>
  <si>
    <t>EPH</t>
  </si>
  <si>
    <t>CÔNG TY CỔ PHẦN DỊCH VỤ XUẤT BẢN GIÁO DỤC HÀ NỘI</t>
  </si>
  <si>
    <t>EVE</t>
  </si>
  <si>
    <t>CÔNG TY CỔ PHẦN EVERPIA</t>
  </si>
  <si>
    <t>EVF</t>
  </si>
  <si>
    <t>CÔNG TY TÀI CHÍNH CỔ PHẦN ĐIỆN LỰC</t>
  </si>
  <si>
    <t>TÀI CHÍNH CÁ NHÂN</t>
  </si>
  <si>
    <t>EVG</t>
  </si>
  <si>
    <t>CÔNG TY CỔ PHẦN ĐẦU TƯ EVERLAND</t>
  </si>
  <si>
    <t>EVS</t>
  </si>
  <si>
    <t>CÔNG TY CỔ PHẦN CHỨNG KHOÁN EVEREST</t>
  </si>
  <si>
    <t>FBA</t>
  </si>
  <si>
    <t>CÔNG TY CỔ PHẦN TẬP ĐOÀN QUỐC TẾ FBA</t>
  </si>
  <si>
    <t>CÔNG TY CỔ PHẦN CƠ KHÍ PHỔ YÊN</t>
  </si>
  <si>
    <t>FCC</t>
  </si>
  <si>
    <t>CÔNG TY CỔ PHẦN LIÊN HỢP THỰC PHẨM</t>
  </si>
  <si>
    <t>FCM</t>
  </si>
  <si>
    <t>CÔNG TY CỔ PHẦN KHOÁNG SẢN FECON</t>
  </si>
  <si>
    <t>FCN</t>
  </si>
  <si>
    <t>CÔNG TY CỔ PHẦN FECON</t>
  </si>
  <si>
    <t>FCS</t>
  </si>
  <si>
    <t>CÔNG TY CỔ PHẦN LƯƠNG THỰC THÀNH PHỐ HỒ CHÍ MINH</t>
  </si>
  <si>
    <t>FDC</t>
  </si>
  <si>
    <t>CÔNG TY CỔ PHẦN NGOẠI THƯƠNG VÀ PHÁT TRIỂN ĐẦU TƯ THÀNH PHỐ HỒ CHÍ MINH</t>
  </si>
  <si>
    <t>FGL</t>
  </si>
  <si>
    <t>CÔNG TY CỔ PHẦN CÀ PHÊ GIA LAI</t>
  </si>
  <si>
    <t>FHN</t>
  </si>
  <si>
    <t>CÔNG TY CỔ PHẦN XUẤT NHẬP KHẨU LƯƠNG THỰC - THỰC PHẨM HÀ NỘI</t>
  </si>
  <si>
    <t>FHS</t>
  </si>
  <si>
    <t>CÔNG TY CỔ PHẦN PHÁT HÀNH SÁCH T.P HỒ CHÍ MINH</t>
  </si>
  <si>
    <t>TỔNG CÔNG TY VẬT LIỆU XÂY DỰNG SỐ 1 - CÔNG TY CỔ PHẦN</t>
  </si>
  <si>
    <t>FID</t>
  </si>
  <si>
    <t>CÔNG TY CỔ PHẦN ĐẦU TƯ VÀ PHÁT TRIỂN DOANH NGHIỆP VIỆT NAM</t>
  </si>
  <si>
    <t>FIR</t>
  </si>
  <si>
    <t>CÔNG TY CỔ PHẦN ĐỊA ỐC FIRST REAL</t>
  </si>
  <si>
    <t>FIT</t>
  </si>
  <si>
    <t>CÔNG TY CỔ PHẦN TẬP ĐOÀN F.I.T</t>
  </si>
  <si>
    <t>FLC</t>
  </si>
  <si>
    <t>CÔNG TY CỔ PHẦN TẬP ĐOÀN FLC</t>
  </si>
  <si>
    <t>FMC</t>
  </si>
  <si>
    <t>CÔNG TY CỔ PHẦN THỰC PHẨM SAO TA</t>
  </si>
  <si>
    <t>FOC</t>
  </si>
  <si>
    <t>CÔNG TY CỔ PHẦN DỊCH VỤ TRỰC TUYẾN FPT</t>
  </si>
  <si>
    <t>FOX</t>
  </si>
  <si>
    <t>CÔNG TY CỔ PHẦN VIỄN THÔNG FPT</t>
  </si>
  <si>
    <t>VIỄN THÔNG CỐ ĐỊNH</t>
  </si>
  <si>
    <t>FPT</t>
  </si>
  <si>
    <t>CÔNG TY CỔ PHẦN FPT</t>
  </si>
  <si>
    <t>FRC</t>
  </si>
  <si>
    <t>CÔNG TY CỔ PHẦN LÂM ĐẶC SẢN XUẤT KHẨU QUẢNG NAM</t>
  </si>
  <si>
    <t>FRM</t>
  </si>
  <si>
    <t>CÔNG TY CỔ PHẦN LÂM NGHIỆP SÀI GÒN</t>
  </si>
  <si>
    <t>FRT</t>
  </si>
  <si>
    <t>CÔNG TY CỔ PHẦN BÁN LẺ KỸ THUẬT SỐ FPT</t>
  </si>
  <si>
    <t>CÔNG TY CỔ PHẦN CƠ KHÍ ĐÓNG TÀU THỦY SẢN VIỆT NAM</t>
  </si>
  <si>
    <t>CÔNG TY CỔ PHẦN PHỤ TÙNG MÁY SỐ 1</t>
  </si>
  <si>
    <t>FTI</t>
  </si>
  <si>
    <t>CÔNG TY CỔ PHẦN CÔNG NGHIỆP - THƯƠNG MẠI HỮU NGHỊ</t>
  </si>
  <si>
    <t>PHỤ TÙNG Ô TÔ</t>
  </si>
  <si>
    <t>FTM</t>
  </si>
  <si>
    <t>CÔNG TY CỔ PHẦN ĐẦU TƯ VÀ PHÁT TRIỂN ĐỨC QUÂN</t>
  </si>
  <si>
    <t>FTS</t>
  </si>
  <si>
    <t>CÔNG TY CỔ PHẦN CHỨNG KHOÁN FPT</t>
  </si>
  <si>
    <t>FUCTVGF3</t>
  </si>
  <si>
    <t>QUỸ ĐẦU TƯ TĂNG TRƯỞNG THIÊN VIỆT 3</t>
  </si>
  <si>
    <t>FUCTVGF4</t>
  </si>
  <si>
    <t>QUỸ ĐẦU TƯ TĂNG TRƯỞNG THIÊN VIỆT 4</t>
  </si>
  <si>
    <t>FUCTVGF5</t>
  </si>
  <si>
    <t>QUỸ ĐẦU TƯ TĂNG TRƯỞNG THIÊN VIỆT 5</t>
  </si>
  <si>
    <t>FUCVREIT</t>
  </si>
  <si>
    <t>QUỸ ĐẦU TƯ BẤT ĐỘNG SẢN TECHCOM VIỆT NAM</t>
  </si>
  <si>
    <t>FUEBFVND</t>
  </si>
  <si>
    <t>QUỸ ETF BVFVN DIAMOND</t>
  </si>
  <si>
    <t>FUEDCMID</t>
  </si>
  <si>
    <t>QUỸ ETF DCVFMVNMIDCAP</t>
  </si>
  <si>
    <t>FUEFCV50</t>
  </si>
  <si>
    <t>QUỸ ETF FPT CAPITAL VNX50</t>
  </si>
  <si>
    <t>FUEIP100</t>
  </si>
  <si>
    <t>QUỸ ETF IPAAM VN100</t>
  </si>
  <si>
    <t>FUEKIV30</t>
  </si>
  <si>
    <t>QUỸ ETF KIM GROWTH VN30</t>
  </si>
  <si>
    <t>FUEKIVFS</t>
  </si>
  <si>
    <t>QUỸ ETF KIM GROWTH VNFINSELECT ETF</t>
  </si>
  <si>
    <t>FUEKIVND</t>
  </si>
  <si>
    <t>QUỸ ETF KIM GROWTH VN DIAMOND</t>
  </si>
  <si>
    <t>FUEMAV30</t>
  </si>
  <si>
    <t>QUỸ ETF MAFM VN30</t>
  </si>
  <si>
    <t>FUEMAVND</t>
  </si>
  <si>
    <t>QUỸ ETF MAFM VNDIAMOND</t>
  </si>
  <si>
    <t>FUESSV30</t>
  </si>
  <si>
    <t>QUỸ ETF SSIAM VN30</t>
  </si>
  <si>
    <t>FUESSV50</t>
  </si>
  <si>
    <t>QUỸ ETF SSIAM VNX50</t>
  </si>
  <si>
    <t>FUESSVFL</t>
  </si>
  <si>
    <t>QUỸ ETF SSIAM VNFIN LEAD</t>
  </si>
  <si>
    <t>FUEVFVND</t>
  </si>
  <si>
    <t>QUỸ ETF DCVFMVN DIAMOND</t>
  </si>
  <si>
    <t>FUEVN100</t>
  </si>
  <si>
    <t>CÔNG TY CỔ PHẦN QUẢN LÝ QUỸ VINACAPITAL</t>
  </si>
  <si>
    <t>G20</t>
  </si>
  <si>
    <t>CÔNG TY CỔ PHẦN ĐẦU TƯ DỆT MAY G.HOME</t>
  </si>
  <si>
    <t>TỔNG CÔNG TY 36 - CTCP</t>
  </si>
  <si>
    <t>CÔNG TY CỔ PHẦN ĐẦU TƯ KHAI KHOÁNG VÀ QUẢN LÝ TÀI SẢN FLC</t>
  </si>
  <si>
    <t>GAS</t>
  </si>
  <si>
    <t>TỔNG CÔNG TY KHÍ VIỆT NAM-CÔNG TY CỔ PHẦN</t>
  </si>
  <si>
    <t>GCB</t>
  </si>
  <si>
    <t>CÔNG TY CỔ PHẦN PETEC BÌNH ĐỊNH</t>
  </si>
  <si>
    <t>GCF</t>
  </si>
  <si>
    <t>CÔNG TY CỔ PHẦN THỰC PHẨM G.C</t>
  </si>
  <si>
    <t>GDA</t>
  </si>
  <si>
    <t>CÔNG TY CỔ PHẦN TÔN ĐÔNG Á</t>
  </si>
  <si>
    <t>GDT</t>
  </si>
  <si>
    <t>CÔNG TY CỔ PHẦN CHẾ BIẾN GỖ ĐỨC THÀNH</t>
  </si>
  <si>
    <t>GDW</t>
  </si>
  <si>
    <t>CÔNG TY CỔ PHẦN CẤP NƯỚC GIA ĐỊNH</t>
  </si>
  <si>
    <t>GEG</t>
  </si>
  <si>
    <t>CÔNG TY CỔ PHẦN ĐIỆN GIA LAI</t>
  </si>
  <si>
    <t>GER</t>
  </si>
  <si>
    <t>CÔNG TY CỔ PHẦN THỂ THAO NGÔI SAO GERU</t>
  </si>
  <si>
    <t>GEX</t>
  </si>
  <si>
    <t>CÔNG TY CỔ PHẦN TẬP ĐOÀN GELEX</t>
  </si>
  <si>
    <t>GGG</t>
  </si>
  <si>
    <t>CÔNG TY CỔ PHẦN Ô TÔ GIẢI PHÓNG</t>
  </si>
  <si>
    <t>CÔNG TY CỔ PHẦN CÔNG TRÌNH GIAO THÔNG HÀ NỘI</t>
  </si>
  <si>
    <t>GHC</t>
  </si>
  <si>
    <t>CÔNG TY CỔ PHẦN THỦY ĐIỆN GIA LAI</t>
  </si>
  <si>
    <t>CÔNG TY CỔ PHẦN ĐẦU TƯ DỊCH VỤ VÀ PHÁT TRIỂN XANH</t>
  </si>
  <si>
    <t>GIL</t>
  </si>
  <si>
    <t>CÔNG TY CỔ PHẦN SẢN XUẤT KINH DOANH XUẤT NHẬP KHẨU BÌNH THẠNH</t>
  </si>
  <si>
    <t>CÔNG TY CỔ PHẦN KHANG MINH GROUP</t>
  </si>
  <si>
    <t>GLC</t>
  </si>
  <si>
    <t>CÔNG TY CỔ PHẦN VÀNG LÀO CAI</t>
  </si>
  <si>
    <t>KHAI THÁC VÀNG</t>
  </si>
  <si>
    <t>GLT</t>
  </si>
  <si>
    <t>CÔNG TY CỔ PHẦN KỸ THUẬT ĐIỆN TOÀN CẦU</t>
  </si>
  <si>
    <t>GLW</t>
  </si>
  <si>
    <t>CÔNG TY CỔ PHẦN CẤP THOÁT NƯỚC GIA LAI</t>
  </si>
  <si>
    <t>GMA</t>
  </si>
  <si>
    <t>CÔNG TY CỔ PHẦN ENTECO VIỆT NAM</t>
  </si>
  <si>
    <t>GMC</t>
  </si>
  <si>
    <t>CÔNG TY CỔ PHẦN GARMEX SÀI GÒN</t>
  </si>
  <si>
    <t>GMD</t>
  </si>
  <si>
    <t>CÔNG TY CỔ PHẦN GEMADEPT</t>
  </si>
  <si>
    <t>CÔNG TY CỔ PHẦN MINH HƯNG QUẢNG TRỊ</t>
  </si>
  <si>
    <t>CÔNG TY CỔ PHẦN GẠCH NGÓI GỐM XÂY DỰNG MỸ XUÂN</t>
  </si>
  <si>
    <t>CÔNG TY CỔ PHẦN GẠCH NGÓI ĐỒNG NAI</t>
  </si>
  <si>
    <t>GPC</t>
  </si>
  <si>
    <t>CÔNG TY CỔ PHẦN TẬP ĐOÀN GREEN+</t>
  </si>
  <si>
    <t>GSM</t>
  </si>
  <si>
    <t>CÔNG TY CỔ PHẦN THỦY ĐIỆN HƯƠNG SƠN</t>
  </si>
  <si>
    <t>GSP</t>
  </si>
  <si>
    <t>CÔNG TY CỔ PHẦN VẬN TẢI SẢN PHẨM KHÍ QUỐC TẾ</t>
  </si>
  <si>
    <t>GTA</t>
  </si>
  <si>
    <t>CÔNG TY CỔ PHẦN CHẾ BIẾN GỖ THUẬN AN</t>
  </si>
  <si>
    <t>GTD</t>
  </si>
  <si>
    <t>CÔNG TY CỔ PHẦN GIẦY THƯỢNG ĐÌNH</t>
  </si>
  <si>
    <t>CÔNG TY CỔ PHẦN CÔNG TRÌNH GIAO THÔNG SÀI GÒN</t>
  </si>
  <si>
    <t>GTT</t>
  </si>
  <si>
    <t>CÔNG TY CỔ PHẦN THUẬN THẢO</t>
  </si>
  <si>
    <t>GVR</t>
  </si>
  <si>
    <t>TẬP ĐOÀN CÔNG NGHIỆP CAO SU VIỆT NAM</t>
  </si>
  <si>
    <t>GVT</t>
  </si>
  <si>
    <t>CÔNG TY CỔ PHẦN GIẤY VIỆT TRÌ</t>
  </si>
  <si>
    <t>CÔNG TY CỔ PHẦN XÂY DỰNG HUD101</t>
  </si>
  <si>
    <t>HAC</t>
  </si>
  <si>
    <t>CÔNG TY CỔ PHẦN CHỨNG KHOÁN HẢI PHÒNG</t>
  </si>
  <si>
    <t>HAD</t>
  </si>
  <si>
    <t>CÔNG TY CỔ PHẦN BIA HÀ NỘI - HẢI DƯƠNG</t>
  </si>
  <si>
    <t>HAF</t>
  </si>
  <si>
    <t>CÔNG TY CỔ PHẦN THỰC PHẨM HÀ NỘI</t>
  </si>
  <si>
    <t>HAG</t>
  </si>
  <si>
    <t>CÔNG TY CỔ PHẦN HOÀNG ANH GIA LAI</t>
  </si>
  <si>
    <t>HAH</t>
  </si>
  <si>
    <t>CÔNG TY CỔ PHẦN VẬN TẢI VÀ XẾP DỠ HẢI AN</t>
  </si>
  <si>
    <t>HAI</t>
  </si>
  <si>
    <t>CÔNG TY CỔ PHẦN NÔNG DƯỢC H.A.I</t>
  </si>
  <si>
    <t>CÔNG TY CỔ PHẦN VẬT TƯ HẬU GIANG</t>
  </si>
  <si>
    <t>TỔNG CÔNG TY XÂY DỰNG HÀ NỘI - CÔNG TY CỔ PHẦN</t>
  </si>
  <si>
    <t>HAP</t>
  </si>
  <si>
    <t>CÔNG TY CỔ PHẦN TẬP ĐOÀN HAPACO</t>
  </si>
  <si>
    <t>HAR</t>
  </si>
  <si>
    <t>CÔNG TY CỔ PHẦN ĐẦU TƯ THƯƠNG MẠI BẤT ĐỘNG SẢN AN DƯƠNG THẢO ĐIỀN</t>
  </si>
  <si>
    <t>HAS</t>
  </si>
  <si>
    <t>CÔNG TY CỔ PHẦN HACISCO</t>
  </si>
  <si>
    <t>HAT</t>
  </si>
  <si>
    <t>CÔNG TY CỔ PHẦN THƯƠNG MẠI BIA HÀ NỘI</t>
  </si>
  <si>
    <t>HAV</t>
  </si>
  <si>
    <t>CÔNG TY CỔ PHẦN RƯỢU HAPRO</t>
  </si>
  <si>
    <t>VANG &amp; RƯỢU MẠNH</t>
  </si>
  <si>
    <t>HAX</t>
  </si>
  <si>
    <t>CÔNG TY CỔ PHẦN DỊCH VỤ Ô TÔ HÀNG XANH</t>
  </si>
  <si>
    <t>CÔNG TY CỔ PHẦN TẬP ĐOÀN XÂY DỰNG HÒA BÌNH</t>
  </si>
  <si>
    <t>CÔNG TY CỔ PHẦN BAO BÌ PP BÌNH DƯƠNG</t>
  </si>
  <si>
    <t>HBH</t>
  </si>
  <si>
    <t>CÔNG TY CỔ PHẦN HABECO - HẢI PHÒNG</t>
  </si>
  <si>
    <t>HBS</t>
  </si>
  <si>
    <t>CÔNG TY CỔ PHẦN CHỨNG KHOÁN HÒA BÌNH</t>
  </si>
  <si>
    <t>CÔNG TY CỔ PHẦN XÂY DỰNG SỐ 1 HÀ NỘI</t>
  </si>
  <si>
    <t>CÔNG TY CỔ PHẦN XÂY DỰNG SỐ 3 HẢI PHÒNG</t>
  </si>
  <si>
    <t>HCB</t>
  </si>
  <si>
    <t>CÔNG TY CỔ PHẦN DỆT MAY 29/3</t>
  </si>
  <si>
    <t>CÔNG TY CỔ PHẦN BÊ TÔNG HÒA CẨM - INTIMEX</t>
  </si>
  <si>
    <t>HCD</t>
  </si>
  <si>
    <t>CÔNG TY CỔ PHẦN ĐẦU TƯ SẢN XUẤT VÀ THƯƠNG MẠI HCD</t>
  </si>
  <si>
    <t>CÔNG TY CỔ PHẦN ĐẦU TƯ - XÂY DỰNG HÀ NỘI</t>
  </si>
  <si>
    <t>HCM</t>
  </si>
  <si>
    <t>CÔNG TY CỔ PHẦN CHỨNG KHOÁN THÀNH PHỐ HỒ CHÍ MINH</t>
  </si>
  <si>
    <t>CÔNG TY CỔ PHẦN THƯƠNG MẠI DỊCH VỤ VẬN TẢI XI MĂNG HẢI PHÒNG</t>
  </si>
  <si>
    <t>HD2</t>
  </si>
  <si>
    <t>CÔNG TY CỔ PHẦN ĐẦU TƯ PHÁT TRIỂN NHÀ HUD2</t>
  </si>
  <si>
    <t>HD6</t>
  </si>
  <si>
    <t>CÔNG TY CỔ PHẦN ĐẦU TƯ VÀ PHÁT TRIỂN NHÀ SỐ 6 HÀ NỘI</t>
  </si>
  <si>
    <t>HD8</t>
  </si>
  <si>
    <t>CÔNG TY CỔ PHẦN ĐẦU TƯ PHÁT TRIỂN NHÀ VÀ ĐÔ THỊ HUD8</t>
  </si>
  <si>
    <t>CÔNG TY CỔ PHẦN HÃNG SƠN ĐÔNG Á</t>
  </si>
  <si>
    <t>HDB</t>
  </si>
  <si>
    <t>NGÂN HÀNG TMCP PHÁT TRIỂN T.P HỒ CHÍ MINH</t>
  </si>
  <si>
    <t>HDC</t>
  </si>
  <si>
    <t>CÔNG TY CỔ PHẦN PHÁT TRIỂN NHÀ BÀ RỊA-VŨNG TÀU</t>
  </si>
  <si>
    <t>HDG</t>
  </si>
  <si>
    <t>CÔNG TY CỔ PHẦN TẬP ĐOÀN HÀ ĐÔ</t>
  </si>
  <si>
    <t>HDM</t>
  </si>
  <si>
    <t>CÔNG TY CỔ PHẦN DỆT MAY HUẾ</t>
  </si>
  <si>
    <t>CÔNG TY CỔ PHẦN HƯNG ĐẠO CONTAINER</t>
  </si>
  <si>
    <t>HDP</t>
  </si>
  <si>
    <t>CÔNG TY CỔ PHẦN DƯỢC HÀ TĨNH</t>
  </si>
  <si>
    <t>HDS</t>
  </si>
  <si>
    <t>CTCP GIỐNG CÂY TRỒNG HẢI DƯƠNG</t>
  </si>
  <si>
    <t>HDW</t>
  </si>
  <si>
    <t>CÔNG TY CỔ PHẦN KINH DOANH NƯỚC SẠCH HẢI DƯƠNG</t>
  </si>
  <si>
    <t>CÔNG TY CỔ PHẦN TƯ VẤN XÂY DỰNG THỦY LỢI II</t>
  </si>
  <si>
    <t>TỔNG CÔNG TY TƯ VẤN XÂY DỰNG THỦY LỢI VIỆT NAM - CTCP</t>
  </si>
  <si>
    <t>CÔNG TY CỔ PHẦN MÔI TRƯỜNG VÀ CÔNG TRÌNH ĐÔ THỊ HUẾ</t>
  </si>
  <si>
    <t>HES</t>
  </si>
  <si>
    <t>CÔNG TY CỔ PHẦN DỊCH VỤ GIẢI TRÍ HÀ NỘI</t>
  </si>
  <si>
    <t>HEV</t>
  </si>
  <si>
    <t>CÔNG TY CỔ PHẦN SÁCH ĐẠI HỌC - DẠY NGHỀ</t>
  </si>
  <si>
    <t>CÔNG TY CỔ PHẦN CÔNG TRÌNH CẦU PHÀ THÀNH PHỐ HỒ CHÍ MINH</t>
  </si>
  <si>
    <t>HFC</t>
  </si>
  <si>
    <t>CÔNG TY CỔ PHẦN XĂNG DẦU HFC</t>
  </si>
  <si>
    <t>HFX</t>
  </si>
  <si>
    <t>CÔNG TY CỔ PHẦN SẢN XUẤT - XUẤT NHẬP KHẨU THANH HÀ</t>
  </si>
  <si>
    <t>HGM</t>
  </si>
  <si>
    <t>CÔNG TY CỔ PHẦN CƠ KHÍ VÀ KHOÁNG SẢN HÀ GIANG</t>
  </si>
  <si>
    <t>HGT</t>
  </si>
  <si>
    <t>CÔNG TY CỔ PHẦN DU LỊCH HƯƠNG GIANG</t>
  </si>
  <si>
    <t>HHC</t>
  </si>
  <si>
    <t>CÔNG TY CỔ PHẦN BÁNH KẸO HẢI HÀ</t>
  </si>
  <si>
    <t>HHG</t>
  </si>
  <si>
    <t>CÔNG TY CỔ PHẦN HOÀNG HÀ</t>
  </si>
  <si>
    <t>CÔNG TY CỔ PHẦN VẬN TẢI VÀ DỊCH VỤ HÀNG HÓA HÀ NỘI</t>
  </si>
  <si>
    <t>HHP</t>
  </si>
  <si>
    <t>CÔNG TY CỔ PHẦN GIẤY HOÀNG HÀ HẢI PHÒNG</t>
  </si>
  <si>
    <t>HHS</t>
  </si>
  <si>
    <t>CÔNG TY CỔ PHẦN ĐẦU TƯ DỊCH VỤ HOÀNG HUY</t>
  </si>
  <si>
    <t>HHV</t>
  </si>
  <si>
    <t>CÔNG TY CỔ PHẦN ĐẦU TƯ HẠ TẦNG GIAO THÔNG ĐÈO CẢ</t>
  </si>
  <si>
    <t>HID</t>
  </si>
  <si>
    <t>CÔNG TY CỔ PHẦN HALCOM VIỆT NAM</t>
  </si>
  <si>
    <t>HIG</t>
  </si>
  <si>
    <t>CÔNG TY CỔ PHẦN TẬP ĐOÀN HIPT</t>
  </si>
  <si>
    <t>HII</t>
  </si>
  <si>
    <t>CÔNG TY CỔ PHẦN AN TIẾN INDUSTRIES</t>
  </si>
  <si>
    <t>HIO</t>
  </si>
  <si>
    <t>CÔNG TY CỔ PHẦN HELIO ENERGY</t>
  </si>
  <si>
    <t>HJC</t>
  </si>
  <si>
    <t>CÔNG TY CỔ PHẦN HÒA VIỆT</t>
  </si>
  <si>
    <t>HJS</t>
  </si>
  <si>
    <t>CÔNG TY CỔ PHẦN THỦY ĐIỆN NẬM MU</t>
  </si>
  <si>
    <t>HKB</t>
  </si>
  <si>
    <t>CÔNG TY CỔ PHẦN NÔNG NGHIỆP VÀ THỰC PHẨM HÀ NỘI - KINH BẮC</t>
  </si>
  <si>
    <t>HKT</t>
  </si>
  <si>
    <t>CÔNG TY CỔ PHẦN ĐẦU TƯ EGO VIỆT NAM</t>
  </si>
  <si>
    <t>HLA</t>
  </si>
  <si>
    <t>CÔNG TY CỔ PHẦN HỮU LIÊN Á CHÂU</t>
  </si>
  <si>
    <t>HLB</t>
  </si>
  <si>
    <t>CÔNG TY CỔ PHẦN BIA VÀ NƯỚC GIẢI KHÁT HẠ LONG</t>
  </si>
  <si>
    <t>HLC</t>
  </si>
  <si>
    <t>CÔNG TY CỔ PHẦN THAN HÀ LẦM - VINACOMIN</t>
  </si>
  <si>
    <t>HLD</t>
  </si>
  <si>
    <t>CÔNG TY CỔ PHẦN ĐẦU TƯ VÀ PHÁT TRIỂN BẤT ĐỘNG SẢN HUDLAND</t>
  </si>
  <si>
    <t>CÔNG TY CỔ PHẦN SỨ KỸ THUẬT HOÀNG LIÊN SƠN</t>
  </si>
  <si>
    <t>HLT</t>
  </si>
  <si>
    <t>CÔNG TY CỔ PHẦN DỆT MAY HOÀNG THỊ LOAN</t>
  </si>
  <si>
    <t>CÔNG TY CỔ PHẦN VIGLACERA HẠ LONG I</t>
  </si>
  <si>
    <t>HMC</t>
  </si>
  <si>
    <t>CÔNG TY CỔ PHẦN KIM KHÍ THÀNH PHỐ HỒ CHÍ MINH - VNSTEEL</t>
  </si>
  <si>
    <t>HMG</t>
  </si>
  <si>
    <t>CÔNG TY CỔ PHẦN KIM KHÍ HÀ NỘI - VNSTEEL</t>
  </si>
  <si>
    <t>CÔNG TY CỔ PHẦN HẢI MINH</t>
  </si>
  <si>
    <t>CÔNG TY CỔ PHẦN ĐÁ HOÀNG MAI</t>
  </si>
  <si>
    <t>CÔNG TY CỔ PHẦN XÂY DỰNG BẢO TÀNG HỒ CHÍ MINH</t>
  </si>
  <si>
    <t>HNA</t>
  </si>
  <si>
    <t>CÔNG TY CỔ PHẦN THỦY ĐIỆN HỦA NA</t>
  </si>
  <si>
    <t>CÔNG TY CỔ PHẦN BẾN XE HÀ NỘI</t>
  </si>
  <si>
    <t>HND</t>
  </si>
  <si>
    <t>CÔNG TY CỔ PHẦN NHIỆT ĐIỆN HẢI PHÒNG</t>
  </si>
  <si>
    <t>HNF</t>
  </si>
  <si>
    <t>CÔNG TY CỔ PHẦN THỰC PHẨM HỮU NGHỊ</t>
  </si>
  <si>
    <t>HNG</t>
  </si>
  <si>
    <t>CÔNG TY CỔ PHẦN NÔNG NGHIỆP QUỐC TẾ HOÀNG ANH GIA LAI</t>
  </si>
  <si>
    <t>HNI</t>
  </si>
  <si>
    <t>CÔNG TY CỔ PHẦN MAY HỮU NGHỊ</t>
  </si>
  <si>
    <t>HNM</t>
  </si>
  <si>
    <t>CÔNG TY CỔ PHẦN SỮA HÀ NỘI</t>
  </si>
  <si>
    <t>HNP</t>
  </si>
  <si>
    <t>CÔNG TY CỔ PHẦN HANEL XỐP NHỰA</t>
  </si>
  <si>
    <t>HNR</t>
  </si>
  <si>
    <t>CÔNG TY CỔ PHẦN RƯỢU VÀ NƯỚC GIẢI KHÁT HÀ NỘI</t>
  </si>
  <si>
    <t>CÔNG TY CỔ PHẦN XI MĂNG VICEM HOÀNG MAI</t>
  </si>
  <si>
    <t>HOT</t>
  </si>
  <si>
    <t>CÔNG TY CỔ PHẦN DU LỊCH - DỊCH VỤ HỘI AN</t>
  </si>
  <si>
    <t>CÔNG TY CỔ PHẦN BAO BÌ PP</t>
  </si>
  <si>
    <t>HPD</t>
  </si>
  <si>
    <t>CÔNG TY CÔNG TY CỔ PHẦN THỦY ĐIỆN ĐĂK ĐOA</t>
  </si>
  <si>
    <t>CÔNG TY CỔ PHẦN TẬP ĐOÀN HÒA PHÁT</t>
  </si>
  <si>
    <t>HPH</t>
  </si>
  <si>
    <t>CÔNG TY CỔ PHẦN HÓA CHẤT HƯNG PHÁT HÀ BẮC</t>
  </si>
  <si>
    <t>HPI</t>
  </si>
  <si>
    <t>CÔNG TY CỔ PHẦN KHU CÔNG NGHIỆP HIỆP PHƯỚC</t>
  </si>
  <si>
    <t>HPM</t>
  </si>
  <si>
    <t>CÔNG TY CỔ PHẦN XÂY DỰNG THƯƠNG MẠI VÀ KHOÁNG SẢN HOÀNG PHÚC</t>
  </si>
  <si>
    <t>CÔNG TY CỔ PHẦN SƠN HẢI PHÒNG</t>
  </si>
  <si>
    <t>HPT</t>
  </si>
  <si>
    <t>CÔNG TY CỔ PHẦN DỊCH VỤ CÔNG NGHỆ TIN HỌC HPT</t>
  </si>
  <si>
    <t>HPW</t>
  </si>
  <si>
    <t>CÔNG TY CỔ PHẦN CẤP NƯỚC HẢI PHÒNG</t>
  </si>
  <si>
    <t>HPX</t>
  </si>
  <si>
    <t>CÔNG TY CỔ PHẦN ĐẦU TƯ HẢI PHÁT</t>
  </si>
  <si>
    <t>HQC</t>
  </si>
  <si>
    <t>CÔNG TY CỔ PHẦN TƯ VẤN-THƯƠNG MẠI-DỊCH VỤ ĐỊA ỐC HOÀNG QUÂN</t>
  </si>
  <si>
    <t>HRB</t>
  </si>
  <si>
    <t>CÔNG TY CỔ PHẦN HAREC ĐẦU TƯ VÀ THƯƠNG MẠI</t>
  </si>
  <si>
    <t>HRC</t>
  </si>
  <si>
    <t>CÔNG TY CỔ PHẦN CAO SU HÒA BÌNH</t>
  </si>
  <si>
    <t>HRT</t>
  </si>
  <si>
    <t>CÔNG TY CỔ PHẦN VẬN TẢI ĐƯỜNG SẮT HÀ NỘI</t>
  </si>
  <si>
    <t>CÔNG TY CỔ PHẦN HESTIA</t>
  </si>
  <si>
    <t>CÔNG TY CỔ PHẦN TẬP ĐOÀN HOA SEN</t>
  </si>
  <si>
    <t>HSI</t>
  </si>
  <si>
    <t>CÔNG TY CỔ PHẦN VẬT TƯ TỔNG HỢP VÀ PHÂN BÓN HÓA SINH</t>
  </si>
  <si>
    <t>HSL</t>
  </si>
  <si>
    <t>CÔNG TY CỔ PHẦN ĐẦU TƯ PHÁT TRIỂN THỰC PHẨM HỒNG HÀ</t>
  </si>
  <si>
    <t>HSM</t>
  </si>
  <si>
    <t>TỔNG CÔNG TY CỔ PHẦN DỆT MAY HÀ NỘI</t>
  </si>
  <si>
    <t>CÔNG TY CỔ PHẦN SƠN TỔNG HỢP HÀ NỘI</t>
  </si>
  <si>
    <t>HSV</t>
  </si>
  <si>
    <t>CÔNG TY CỔ PHẦN GANG THÉP HÀ NỘI</t>
  </si>
  <si>
    <t>HT1</t>
  </si>
  <si>
    <t>CÔNG TY CỔ PHẦN XI MĂNG VICEM HÀ TIÊN</t>
  </si>
  <si>
    <t>HTC</t>
  </si>
  <si>
    <t>CÔNG TY CỔ PHẦN THƯƠNG MẠI HÓC MÔN</t>
  </si>
  <si>
    <t>HTE</t>
  </si>
  <si>
    <t>CÔNG TY CỔ PHẦN ĐẦU TƯ KINH DOANH ĐIỆN LỰC THÀNH PHỐ HỒ CHÍ MINH</t>
  </si>
  <si>
    <t>HTG</t>
  </si>
  <si>
    <t>TỔNG CÔNG TY CỔ PHẦN DỆT MAY HÒA THỌ</t>
  </si>
  <si>
    <t>HTI</t>
  </si>
  <si>
    <t>CÔNG TY CỔ PHẦN ĐẦU TƯ PHÁT TRIỂN HẠ TẦNG IDICO</t>
  </si>
  <si>
    <t>HTL</t>
  </si>
  <si>
    <t>CÔNG TY CỔ PHẦN KỸ THUẬT VÀ Ô TÔ TRƯỜNG LONG</t>
  </si>
  <si>
    <t>HTM</t>
  </si>
  <si>
    <t>TỔNG CÔNG TY THƯƠNG MẠI HÀ NỘI - CÔNG TY CỔ PHẦN</t>
  </si>
  <si>
    <t>HTN</t>
  </si>
  <si>
    <t>CÔNG TY CỔ PHẦN HƯNG THỊNH INCONS</t>
  </si>
  <si>
    <t>HTT</t>
  </si>
  <si>
    <t>CÔNG TY CỔ PHẦN THƯƠNG MẠI HÀ TÂY</t>
  </si>
  <si>
    <t>CÔNG TY CỔ PHẦN LOGISTICS VICEM</t>
  </si>
  <si>
    <t>HU1</t>
  </si>
  <si>
    <t>CÔNG TY CỔ PHẦN ĐẦU TƯ VÀ XÂY DỰNG HUD1</t>
  </si>
  <si>
    <t>CÔNG TY CỔ PHẦN ĐẦU TƯ VÀ XÂY DỰNG HUD3</t>
  </si>
  <si>
    <t>CÔNG TY CỔ PHẦN ĐẦU TƯ VÀ XÂY DỰNG HUD4</t>
  </si>
  <si>
    <t>HU6</t>
  </si>
  <si>
    <t>CÔNG TY CỔ PHẦN ĐẦU TƯ PHÁT TRIỂN NHÀ VÀ ĐÔ THỊ HUD 6</t>
  </si>
  <si>
    <t>HUB</t>
  </si>
  <si>
    <t>CÔNG TY CỔ PHẦN XÂY LẮP THỪA THIÊN HUẾ</t>
  </si>
  <si>
    <t>HUG</t>
  </si>
  <si>
    <t>TỔNG CÔNG TY MAY HƯNG YÊN - CÔNG TY CỔ PHẦN</t>
  </si>
  <si>
    <t>HUT</t>
  </si>
  <si>
    <t>CÔNG TY CỔ PHẦN TASCO</t>
  </si>
  <si>
    <t>HVA</t>
  </si>
  <si>
    <t>CÔNG TY CỔ PHẦN ĐẦU TƯ HVA</t>
  </si>
  <si>
    <t>HVG</t>
  </si>
  <si>
    <t>CÔNG TY CỔ PHẦN HÙNG VƯƠNG</t>
  </si>
  <si>
    <t>HVH</t>
  </si>
  <si>
    <t>CÔNG TY CỔ PHẦN ĐẦU TƯ VÀ CÔNG NGHỆ HVC</t>
  </si>
  <si>
    <t>HVN</t>
  </si>
  <si>
    <t>TỔNG CÔNG TY HÀNG KHÔNG VIỆT NAM - CTCP</t>
  </si>
  <si>
    <t>HÀNG KHÔNG</t>
  </si>
  <si>
    <t>HVT</t>
  </si>
  <si>
    <t>CÔNG TY CỔ PHẦN HÓA CHẤT VIỆT TRÌ</t>
  </si>
  <si>
    <t>HVX</t>
  </si>
  <si>
    <t>CÔNG TY CỔ PHẦN XI MĂNG VICEM HẢI VÂN</t>
  </si>
  <si>
    <t>HWS</t>
  </si>
  <si>
    <t>CÔNG TY CỔ PHẦN CẤP NƯỚC THỪA THIÊN HUẾ</t>
  </si>
  <si>
    <t>IBC</t>
  </si>
  <si>
    <t>CÔNG TY CỔ PHẦN ĐẦU TƯ APAX HOLDINGS</t>
  </si>
  <si>
    <t>IBD</t>
  </si>
  <si>
    <t>CÔNG TY CỔ PHẦN IN TỔNG HỢP BÌNH DƯƠNG</t>
  </si>
  <si>
    <t>CÔNG TY CỔ PHẦN XÂY DỰNG CÔNG NGHIỆP</t>
  </si>
  <si>
    <t>ICF</t>
  </si>
  <si>
    <t>CÔNG TY CỔ PHẦN ĐẦU TƯ THƯƠNG MẠI THỦY SẢN</t>
  </si>
  <si>
    <t>CÔNG TY CỔ PHẦN XÂY DỰNG SÔNG HỒNG</t>
  </si>
  <si>
    <t>CÔNG TY CỔ PHẦN ĐẦU TƯ VÀ XÂY DỰNG CÔNG NGHIỆP</t>
  </si>
  <si>
    <t>CÔNG TY CỔ PHẦN ĐẦU TƯ XÂY DỰNG DẦU KHÍ IDICO</t>
  </si>
  <si>
    <t>ICT</t>
  </si>
  <si>
    <t>CÔNG TY CỔ PHẦN VIỄN THÔNG - TIN HỌC BƯU ĐIỆN</t>
  </si>
  <si>
    <t>IDC</t>
  </si>
  <si>
    <t>TỔNG CÔNG TY IDICO - CTCP</t>
  </si>
  <si>
    <t>IDI</t>
  </si>
  <si>
    <t>CÔNG TY CỔ PHẦN ĐẦU TƯ VÀ PHÁT TRIỂN ĐA QUỐC GIA I.D.I</t>
  </si>
  <si>
    <t>IDJ</t>
  </si>
  <si>
    <t>CÔNG TY CỔ PHẦN ĐẦU TƯ IDJ VIỆT NAM</t>
  </si>
  <si>
    <t>IDP</t>
  </si>
  <si>
    <t>CÔNG TY CỔ PHẦN SỮA QUỐC TẾ</t>
  </si>
  <si>
    <t>IDV</t>
  </si>
  <si>
    <t>CÔNG TY CỔ PHẦN PHÁT TRIỂN HẠ TẦNG VĨNH PHÚC</t>
  </si>
  <si>
    <t>IFS</t>
  </si>
  <si>
    <t>CÔNG TY CỔ PHẦN THỰC PHẨM QUỐC TẾ</t>
  </si>
  <si>
    <t>IHK</t>
  </si>
  <si>
    <t>CÔNG TY CỔ PHẦN IN HÀNG KHÔNG</t>
  </si>
  <si>
    <t>IJC</t>
  </si>
  <si>
    <t>CÔNG TY CỔ PHẦN PHÁT TRIỂN HẠ TẦNG KỸ THUẬT</t>
  </si>
  <si>
    <t>ILA</t>
  </si>
  <si>
    <t>CÔNG TY CỔ PHẦN ILA</t>
  </si>
  <si>
    <t>CÔNG TY CỔ PHẦN ICD TÂN CẢNG – LONG BÌNH</t>
  </si>
  <si>
    <t>CÔNG TY CỔ PHẦN HỢP TÁC LAO ĐỘNG VỚI NƯỚC NGOÀI</t>
  </si>
  <si>
    <t>CÔNG TY CỔ PHẦN ĐẦU TƯ THƯƠNG MẠI VÀ DỊCH VỤ QUỐC TẾ</t>
  </si>
  <si>
    <t>CÔNG TY CỔ PHẦN CƠ KHÍ VÀ XÂY LẮP CÔNG NGHIỆP</t>
  </si>
  <si>
    <t>IMP</t>
  </si>
  <si>
    <t>CÔNG TY CỔ PHẦN DƯỢC PHẨM IMEXPHARM</t>
  </si>
  <si>
    <t>IN4</t>
  </si>
  <si>
    <t>CÔNG TY CỔ PHẦN IN SỐ 4</t>
  </si>
  <si>
    <t>CÔNG TY CỔ PHẦN TƯ VẤN ĐẦU TƯ IDICO</t>
  </si>
  <si>
    <t>CÔNG TY CỔ PHẦN ĐẦU TƯ VÀ PHÁT TRIỂN XÂY DỰNG (INVESTCO)</t>
  </si>
  <si>
    <t>CÔNG TY CỔ PHẦN BAO BÌ VÀ IN NÔNG NGHIỆP</t>
  </si>
  <si>
    <t>CÔNG TY CỔ PHẦN TẬP ĐOÀN ĐẦU TƯ I.P.A</t>
  </si>
  <si>
    <t>IRC</t>
  </si>
  <si>
    <t>CÔNG TY CỔ PHẦN CAO SU CÔNG NGHIỆP</t>
  </si>
  <si>
    <t>CÔNG TY CỔ PHẦN VẬN TẢI BIỂN &amp; HỢP TÁC QUỐC TẾ</t>
  </si>
  <si>
    <t>ISH</t>
  </si>
  <si>
    <t>CÔNG TY CỔ PHẦN THỦY ĐIỆN SROK PHU MIÊNG IDICO</t>
  </si>
  <si>
    <t>CÔNG TY CỔ PHẦN ICD TÂN CẢNG SÓNG THẦN</t>
  </si>
  <si>
    <t>ITA</t>
  </si>
  <si>
    <t>CÔNG TY CỔ PHẦN ĐẦU TƯ VÀ CÔNG NGHIỆP TÂN TẠO</t>
  </si>
  <si>
    <t>ITC</t>
  </si>
  <si>
    <t>CÔNG TY CỔ PHẦN ĐẦU TƯ - KINH DOANH NHÀ</t>
  </si>
  <si>
    <t>ITD</t>
  </si>
  <si>
    <t>CÔNG TY CỔ PHẦN CÔNG NGHỆ TIÊN PHONG</t>
  </si>
  <si>
    <t>PHẦN CỨNG</t>
  </si>
  <si>
    <t>ITQ</t>
  </si>
  <si>
    <t>CÔNG TY CỔ PHẦN TẬP ĐOÀN THIÊN QUANG</t>
  </si>
  <si>
    <t>CÔNG TY CỔ PHẦN ĐẦU TƯ, THƯƠNG MẠI VÀ DỊCH VỤ - VINACOMIN</t>
  </si>
  <si>
    <t>IVS</t>
  </si>
  <si>
    <t>CÔNG TY CỔ PHẦN CHỨNG KHOÁN GUOTAI JUNAN (VIỆT NAM)</t>
  </si>
  <si>
    <t>JOS</t>
  </si>
  <si>
    <t>CÔNG TY CỔ PHẦN CHẾ BIẾN THỦY SẢN XUẤT KHẨU MINH HẢI</t>
  </si>
  <si>
    <t>JVC</t>
  </si>
  <si>
    <t>CÔNG TY CỔ PHẦN THIẾT BỊ Y TẾ VIỆT NHẬT</t>
  </si>
  <si>
    <t>KAC</t>
  </si>
  <si>
    <t>CÔNG TY CỔ PHẦN ĐẦU TƯ ĐỊA ỐC KHANG AN</t>
  </si>
  <si>
    <t>KBC</t>
  </si>
  <si>
    <t>TỔNG CÔNG TY PHÁT TRIỂN ĐÔ THỊ KINH BẮC-CÔNG TY CỔ PHẦN</t>
  </si>
  <si>
    <t>KCB</t>
  </si>
  <si>
    <t>CÔNG TY CỔ PHẦN KHOÁNG SẢN VÀ LUYỆN KIM CAO BẰNG</t>
  </si>
  <si>
    <t>CÔNG TY CỔ PHẦN BÊ TÔNG LY TÂM ĐIỆN LỰC KHÁNH HÒA</t>
  </si>
  <si>
    <t>KDC</t>
  </si>
  <si>
    <t>CÔNG TY CỔ PHẦN TẬP ĐOÀN KIDO</t>
  </si>
  <si>
    <t>KDH</t>
  </si>
  <si>
    <t>CÔNG TY CỔ PHẦN ĐẦU TƯ VÀ KINH DOANH NHÀ KHANG ĐIỀN</t>
  </si>
  <si>
    <t>CÔNG TY CỔ PHẦN - TỔNG CÔNG TY PHÁT TRIỂN KHU ĐÔ THỊ DÂN CƯ MỚI</t>
  </si>
  <si>
    <t>KGM</t>
  </si>
  <si>
    <t>CÔNG TY CỔ PHẦN XUẤT NHẬP KHẨU KIÊN GIANG</t>
  </si>
  <si>
    <t>KHD</t>
  </si>
  <si>
    <t>CÔNG TY CỔ PHẦN KHAI THÁC, CHẾ BIẾN KHOÁNG SẢN HẢI DƯƠNG</t>
  </si>
  <si>
    <t>KHG</t>
  </si>
  <si>
    <t>CÔNG TY CỔ PHẦN TẬP ĐOÀN KHẢI HOÀN LAND</t>
  </si>
  <si>
    <t>CÔNG TY CỔ PHẦN KHOÁNG SẢN VÀ VẬT LIỆU XÂY DỰNG HƯNG LONG</t>
  </si>
  <si>
    <t>KHP</t>
  </si>
  <si>
    <t>CÔNG TY CỔ PHẦN ĐIỆN LỰC KHÁNH HÒA</t>
  </si>
  <si>
    <t>KHS</t>
  </si>
  <si>
    <t>CÔNG TY CỔ PHẦN KIÊN HÙNG</t>
  </si>
  <si>
    <t>KHW</t>
  </si>
  <si>
    <t>CÔNG TY CỔ PHẦN CẤP NƯỚC KHÁNH HÒA</t>
  </si>
  <si>
    <t>CÔNG TY CỔ PHẦN K.I.P VIỆT NAM</t>
  </si>
  <si>
    <t>KKC</t>
  </si>
  <si>
    <t>CÔNG TY CỔ PHẦN TẬP ĐOÀN THÀNH THÁI</t>
  </si>
  <si>
    <t>KLB</t>
  </si>
  <si>
    <t>NGÂN HÀNG THƯƠNG MẠI CỔ PHẦN KIÊN LONG</t>
  </si>
  <si>
    <t>KLF</t>
  </si>
  <si>
    <t>CÔNG TY CỔ PHẦN ĐẦU TƯ THƯƠNG MẠI VÀ XUẤT NHẬP KHẨU CFS</t>
  </si>
  <si>
    <t>KIM LOẠI MÀU</t>
  </si>
  <si>
    <t>KMR</t>
  </si>
  <si>
    <t>CÔNG TY CỔ PHẦN MIRAE</t>
  </si>
  <si>
    <t>KMT</t>
  </si>
  <si>
    <t>CÔNG TY CỔ PHẦN KIM KHÍ MIỀN TRUNG</t>
  </si>
  <si>
    <t>KOS</t>
  </si>
  <si>
    <t>CÔNG TY CỔ PHẦN KOSY</t>
  </si>
  <si>
    <t>KPF</t>
  </si>
  <si>
    <t>CÔNG TY CỔ PHẦN ĐẦU TƯ TÀI CHÍNH HOÀNG MINH</t>
  </si>
  <si>
    <t>KSB</t>
  </si>
  <si>
    <t>CÔNG TY CỔ PHẦN KHOÁNG SẢN VÀ XÂY DỰNG BÌNH DƯƠNG</t>
  </si>
  <si>
    <t>KSD</t>
  </si>
  <si>
    <t>CÔNG TY CỔ PHẦN ĐẦU TƯ DNA</t>
  </si>
  <si>
    <t>ĐỒ GIA DỤNG LÂU BỀN</t>
  </si>
  <si>
    <t>KSF</t>
  </si>
  <si>
    <t>CTCP TẬP ĐOÀN REAL TECH</t>
  </si>
  <si>
    <t>KSH</t>
  </si>
  <si>
    <t>CÔNG TY CỔ PHẦN DAMAC GLS</t>
  </si>
  <si>
    <t>KSQ</t>
  </si>
  <si>
    <t>CÔNG TY CỔ PHẦN CNC CAPITAL VIỆT NAM</t>
  </si>
  <si>
    <t>KSS</t>
  </si>
  <si>
    <t>CÔNG TY CỔ PHẦN KHOÁNG SẢN NA RÌ HAMICO</t>
  </si>
  <si>
    <t>KST</t>
  </si>
  <si>
    <t>CÔNG TY CỔ PHẦN KASATI</t>
  </si>
  <si>
    <t>KSV</t>
  </si>
  <si>
    <t>TỔNG CÔNG TY KHOÁNG SẢN TKV - CTCP</t>
  </si>
  <si>
    <t>KTC</t>
  </si>
  <si>
    <t>CÔNG TY CỔ PHẦN THƯƠNG MẠI KIÊN GIANG</t>
  </si>
  <si>
    <t>KTL</t>
  </si>
  <si>
    <t>CÔNG TY CỔ PHẦN KIM KHÍ THĂNG LONG</t>
  </si>
  <si>
    <t>KTS</t>
  </si>
  <si>
    <t>CÔNG TY CỔ PHẦN ĐƯỜNG KON TUM</t>
  </si>
  <si>
    <t>CÔNG TY CỔ PHẦN TẬP ĐOÀN ĐẦU TƯ KTT</t>
  </si>
  <si>
    <t>KTW</t>
  </si>
  <si>
    <t>CTCP CẤP NƯỚC KON TUM</t>
  </si>
  <si>
    <t>KVC</t>
  </si>
  <si>
    <t>CÔNG TY CỔ PHẦN SẢN XUẤT XUẤT NHẬP KHẨU INOX KIM VĨ</t>
  </si>
  <si>
    <t>L10</t>
  </si>
  <si>
    <t>CÔNG TY CỔ PHẦN LILAMA 10</t>
  </si>
  <si>
    <t>CÔNG TY CỔ PHẦN LICOGI 12</t>
  </si>
  <si>
    <t>CÔNG TY CỔ PHẦN LICOGI 14</t>
  </si>
  <si>
    <t>CÔNG TY CỔ PHẦN ĐẦU TƯ VÀ XÂY DỰNG SỐ 18</t>
  </si>
  <si>
    <t>CÔNG TY CỔ PHẦN CƠ KHÍ LẮP MÁY LILAMA</t>
  </si>
  <si>
    <t>CÔNG TY CỔ PHẦN ĐẦU TƯ VÀ XÂY DỰNG 40</t>
  </si>
  <si>
    <t>CÔNG TY CỔ PHẦN LILAMA 45.3</t>
  </si>
  <si>
    <t>CÔNG TY CỔ PHẦN LILAMA 45.4</t>
  </si>
  <si>
    <t>CÔNG TY CỔ PHẦN LILAMA 45.1</t>
  </si>
  <si>
    <t>CÔNG TY CỔ PHẦN LILAMA 69-1</t>
  </si>
  <si>
    <t>CÔNG TY CỔ PHẦN LILAMA 69-2</t>
  </si>
  <si>
    <t>CÔNG TY CỔ PHẦN LILAMA 69-3</t>
  </si>
  <si>
    <t>LAF</t>
  </si>
  <si>
    <t>CÔNG TY CỔ PHẦN CHẾ BIẾN HÀNG XUẤT KHẨU LONG AN</t>
  </si>
  <si>
    <t>CÔNG TY CỔ PHẦN ĐẦU TƯ XÂY DỰNG LONG AN IDICO</t>
  </si>
  <si>
    <t>LAS</t>
  </si>
  <si>
    <t>CÔNG TY CỔ PHẦN SUPE PHỐT PHÁT VÀ HÓA CHẤT LÂM THAO</t>
  </si>
  <si>
    <t>LAW</t>
  </si>
  <si>
    <t>CÔNG TY CỔ PHẦN CẤP THOÁT NƯỚC LONG AN</t>
  </si>
  <si>
    <t>LBC</t>
  </si>
  <si>
    <t>CÔNG TY CỔ PHẦN THƯƠNG MẠI - ĐẦU TƯ LONG BIÊN</t>
  </si>
  <si>
    <t>LBE</t>
  </si>
  <si>
    <t>CÔNG TY CỔ PHẦN SÁCH VÀ THIẾT BỊ TRƯỜNG HỌC LONG AN</t>
  </si>
  <si>
    <t>LBM</t>
  </si>
  <si>
    <t>CÔNG TY CỔ PHẦN KHOÁNG SẢN VÀ VẬT LIỆU XÂY DỰNG LÂM ĐỒNG</t>
  </si>
  <si>
    <t>CTCP XI MĂNG HỒNG PHONG</t>
  </si>
  <si>
    <t>CÔNG TY CỔ PHẦN LẮP MÁY - THÍ NGHIỆM CƠ ĐIỆN</t>
  </si>
  <si>
    <t>LCG</t>
  </si>
  <si>
    <t>CÔNG TY CỔ PHẦN LIZEN</t>
  </si>
  <si>
    <t>LCM</t>
  </si>
  <si>
    <t>CÔNG TY CỔ PHẦN KHAI THÁC VÀ CHẾ BIẾN KHOÁNG SẢN LÀO CAI</t>
  </si>
  <si>
    <t>CÔNG TY CỔ PHẦN LICOGI 166</t>
  </si>
  <si>
    <t>LDG</t>
  </si>
  <si>
    <t>CÔNG TY CỔ PHẦN ĐẦU TƯ LDG</t>
  </si>
  <si>
    <t>LDP</t>
  </si>
  <si>
    <t>CÔNG TY CỔ PHẦN DƯỢC LÂM ĐỒNG - LADOPHAR</t>
  </si>
  <si>
    <t>LDW</t>
  </si>
  <si>
    <t>CÔNG TY CỔ PHẦN CẤP THOÁT NƯỚC LÂM ĐỒNG</t>
  </si>
  <si>
    <t>LEC</t>
  </si>
  <si>
    <t>CÔNG TY CỔ PHẦN BẤT ĐỘNG SẢN ĐIỆN LỰC MIỀN TRUNG</t>
  </si>
  <si>
    <t>CÔNG TY CỔ PHẦN CƠ GIỚI VÀ XÂY LẮP SỐ 9</t>
  </si>
  <si>
    <t>LGC</t>
  </si>
  <si>
    <t>CÔNG TY CỔ PHẦN ĐẦU TƯ CẦU ĐƯỜNG CII</t>
  </si>
  <si>
    <t>LGL</t>
  </si>
  <si>
    <t>CÔNG TY CỔ PHẦN ĐẦU TƯ VÀ PHÁT TRIỂN ĐÔ THỊ LONG GIANG</t>
  </si>
  <si>
    <t>LGM</t>
  </si>
  <si>
    <t>CÔNG TY CỔ PHẦN GIÀY DA VÀ MAY MẶC XUẤT KHẨU (LEGAMEX)</t>
  </si>
  <si>
    <t>CÔNG TY CỔ PHẦN ĐẦU TƯ VÀ XÂY DỰNG THỦY LỢI LÂM ĐỒNG</t>
  </si>
  <si>
    <t>LHG</t>
  </si>
  <si>
    <t>CÔNG TY CỔ PHẦN LONG HẬU</t>
  </si>
  <si>
    <t>TỔNG CÔNG TY LICOGI - CTCP</t>
  </si>
  <si>
    <t>CÔNG TY CỔ PHẦN LICOGI 13</t>
  </si>
  <si>
    <t>LIX</t>
  </si>
  <si>
    <t>CÔNG TY CỔ PHẦN BỘT GIẶT LIX</t>
  </si>
  <si>
    <t>LKW</t>
  </si>
  <si>
    <t>CÔNG TY CỔ PHẦN CẤP NƯỚC LONG KHÁNH</t>
  </si>
  <si>
    <t>TỔNG CÔNG TY LẮP MÁY VIỆT NAM - CÔNG TY CỔ PHẦN</t>
  </si>
  <si>
    <t>CÔNG TY CỔ PHẦN LILAMA 3</t>
  </si>
  <si>
    <t>CÔNG TY CỔ PHẦN LILAMA 7</t>
  </si>
  <si>
    <t>LM8</t>
  </si>
  <si>
    <t>CÔNG TY CỔ PHẦN LILAMA 18</t>
  </si>
  <si>
    <t>LMC</t>
  </si>
  <si>
    <t>CÔNG TY CỔ PHẦN KHOÁNG SẢN LATCA</t>
  </si>
  <si>
    <t>LMH</t>
  </si>
  <si>
    <t>CÔNG TY CỔ PHẦN QUỐC TẾ HOLDING</t>
  </si>
  <si>
    <t>CÔNG TY CỔ PHẦN ĐẦU TƯ XÂY DỰNG LẮP MÁY IDICO</t>
  </si>
  <si>
    <t>LNC</t>
  </si>
  <si>
    <t>CÔNG TY CỔ PHẦN LỆ NINH</t>
  </si>
  <si>
    <t>CÔNG TY CỔ PHẦN LILAMA 5</t>
  </si>
  <si>
    <t>LPB</t>
  </si>
  <si>
    <t>CÔNG TY CỔ PHẦN THƯƠNG MẠI VÀ SẢN XUẤT LẬP PHƯƠNG THÀNH</t>
  </si>
  <si>
    <t>CÔNG TY CỔ PHẦN LICOGI QUẢNG NGÃI</t>
  </si>
  <si>
    <t>LSG</t>
  </si>
  <si>
    <t>CÔNG TY CỔ PHẦN BẤT ĐỘNG SẢN SÀI GÒN VINA</t>
  </si>
  <si>
    <t>LSS</t>
  </si>
  <si>
    <t>CÔNG TY CỔ PHẦN MÍA ĐƯỜNG LAM SƠN</t>
  </si>
  <si>
    <t>LTC</t>
  </si>
  <si>
    <t>CÔNG TY CỔ PHẦN ĐIỆN NHẸ VIỄN THÔNG</t>
  </si>
  <si>
    <t>LTG</t>
  </si>
  <si>
    <t>CÔNG TY CỔ PHẦN TẬP ĐOÀN LỘC TRỜI</t>
  </si>
  <si>
    <t>CÔNG TY CỔ PHẦN ĐẦU TƯ XÂY DỰNG LƯƠNG TÀI</t>
  </si>
  <si>
    <t>M10</t>
  </si>
  <si>
    <t>TỔNG CÔNG TY MAY 10 - CÔNG TY CỔ PHẦN</t>
  </si>
  <si>
    <t>MA1</t>
  </si>
  <si>
    <t>CÔNG TY CỔ PHẦN THIẾT BỊ</t>
  </si>
  <si>
    <t>CÔNG TY CỔ PHẦN CUNG ỨNG VÀ DỊCH VỤ KỸ THUẬT HÀNG HẢI</t>
  </si>
  <si>
    <t>MAS</t>
  </si>
  <si>
    <t>CÔNG TY CỔ PHẦN DỊCH VỤ HÀNG KHÔNG SÂN BAY ĐÀ NẴNG</t>
  </si>
  <si>
    <t>MBB</t>
  </si>
  <si>
    <t>NGÂN HÀNG THƯƠNG MẠI CỔ PHẦN QUÂN ĐỘI</t>
  </si>
  <si>
    <t>CÔNG TY CỔ PHẦN TẬP ĐOÀN MBG</t>
  </si>
  <si>
    <t>CÔNG TY CỔ PHẦN MÔI TRƯỜNG VÀ CÔNG TRÌNH ĐÔ THỊ BẮC NINH</t>
  </si>
  <si>
    <t>MBS</t>
  </si>
  <si>
    <t>CÔNG TY CỔ PHẦN CHỨNG KHOÁN MB</t>
  </si>
  <si>
    <t>CÔNG TY CỔ PHẦN GẠCH NGÓI CAO CẤP</t>
  </si>
  <si>
    <t>MCF</t>
  </si>
  <si>
    <t>CÔNG TY CỔ PHẦN XÂY LẮP CƠ KHÍ VÀ LƯƠNG THỰC THỰC PHẨM</t>
  </si>
  <si>
    <t>CÔNG TY CỔ PHẦN NĂNG LƯỢNG VÀ BẤT ĐỘNG SẢN MCG</t>
  </si>
  <si>
    <t>MCH</t>
  </si>
  <si>
    <t>CÔNG TY CỔ PHẦN HÀNG TIÊU DÙNG MASAN</t>
  </si>
  <si>
    <t>CÔNG TY CỔ PHẦN ĐẦU TƯ VÀ XÂY DỰNG BDC VIỆT NAM</t>
  </si>
  <si>
    <t>CÔNG TY CỔ PHẦN IN VÀ BAO BÌ MỸ CHÂU</t>
  </si>
  <si>
    <t>CÔNG TY CỔ PHẦN MÔI TRƯỜNG ĐÔ THỊ ĐÔNG ANH</t>
  </si>
  <si>
    <t>MDC</t>
  </si>
  <si>
    <t>CÔNG TY CỔ PHẦN THAN MÔNG DƯƠNG - VINACOMIN</t>
  </si>
  <si>
    <t>MDF</t>
  </si>
  <si>
    <t>CÔNG TY CỔ PHẦN GỖ MDF VRG QUẢNG TRỊ</t>
  </si>
  <si>
    <t>CÔNG TY CỔ PHẦN MIỀN ĐÔNG</t>
  </si>
  <si>
    <t>CÔNG TY CỔ PHẦN CƠ KHÍ - LẮP MÁY SÔNG ĐÀ</t>
  </si>
  <si>
    <t>MED</t>
  </si>
  <si>
    <t>CÔNG TY CỔ PHẦN DƯỢC TRUNG ƯƠNG MEDIPLANTEX</t>
  </si>
  <si>
    <t>MEF</t>
  </si>
  <si>
    <t>CÔNG TY CỔ PHẦN MEINFA</t>
  </si>
  <si>
    <t>MEL</t>
  </si>
  <si>
    <t>CÔNG TY CỔ PHẦN THÉP MÊ LIN</t>
  </si>
  <si>
    <t>CÔNG TY CỔ PHẦN CƠ ĐIỆN CÔNG TRÌNH</t>
  </si>
  <si>
    <t>MFS</t>
  </si>
  <si>
    <t>CÔNG TY CỔ PHẦN DỊCH VỤ KỸ THUẬT MOBIFONE</t>
  </si>
  <si>
    <t>MGC</t>
  </si>
  <si>
    <t>CÔNG TY CỔ PHẦN ĐỊA CHẤT MỎ - TKV</t>
  </si>
  <si>
    <t>MGG</t>
  </si>
  <si>
    <t>TỔNG CÔNG TY ĐỨC GIANG - CÔNG TY CỔ PHẦN</t>
  </si>
  <si>
    <t>MGR</t>
  </si>
  <si>
    <t>CTCP TẬP ĐOÀN MGROUP</t>
  </si>
  <si>
    <t>MH3</t>
  </si>
  <si>
    <t>CÔNG TY CỔ PHẦN KHU CÔNG NGHIỆP CAO SU BÌNH LONG</t>
  </si>
  <si>
    <t>MHC</t>
  </si>
  <si>
    <t>CÔNG TY CỔ PHẦN MHC</t>
  </si>
  <si>
    <t>MIC</t>
  </si>
  <si>
    <t>CÔNG TY CỔ PHẦN KỸ NGHỆ KHOÁNG SẢN QUẢNG NAM</t>
  </si>
  <si>
    <t>TỔNG CÔNG TY MÁY VÀ THIẾT BỊ CÔNG NGHIỆP - CTCP</t>
  </si>
  <si>
    <t>MIG</t>
  </si>
  <si>
    <t>TỔNG CÔNG TY CỔ PHẦN BẢO HIỂM QUÂN ĐỘI</t>
  </si>
  <si>
    <t>MIM</t>
  </si>
  <si>
    <t>CÔNG TY CỔ PHẦN KHOÁNG SẢN VÀ CƠ KHÍ</t>
  </si>
  <si>
    <t>MKP</t>
  </si>
  <si>
    <t>CÔNG TY CỔ PHẦN HÓA - DƯỢC PHẨM MEKOPHAR</t>
  </si>
  <si>
    <t>MKV</t>
  </si>
  <si>
    <t>CÔNG TY CỔ PHẦN DƯỢC THÚ Y CAI LẬY</t>
  </si>
  <si>
    <t>CÔNG TY CỔ PHẦN MÔI TRƯỜNG ĐÔ THỊ TỈNH LÀO CAI</t>
  </si>
  <si>
    <t>MLS</t>
  </si>
  <si>
    <t>CÔNG TY CỔ PHẦN CHĂN NUÔI - MITRACO</t>
  </si>
  <si>
    <t>MML</t>
  </si>
  <si>
    <t>CÔNG TY CỔ PHẦN MASAN MEATLIFE</t>
  </si>
  <si>
    <t>MNB</t>
  </si>
  <si>
    <t>TỔNG CÔNG TY MAY NHÀ BÈ - CÔNG TY CỔ PHẦN</t>
  </si>
  <si>
    <t>CÔNG TY CỔ PHẦN MÔI TRƯỜNG NAM ĐỊNH</t>
  </si>
  <si>
    <t>MPC</t>
  </si>
  <si>
    <t>CÔNG TY CỔ PHẦN TẬP ĐOÀN THỦY SẢN MINH PHÚ</t>
  </si>
  <si>
    <t>MPT</t>
  </si>
  <si>
    <t>CÔNG TY CỔ PHẦN TẬP ĐOÀN TRƯỜNG TIỀN</t>
  </si>
  <si>
    <t>CÔNG TY CỔ PHẦN MÔI TRƯỜNG ĐÔ THỊ PHÚ YÊN</t>
  </si>
  <si>
    <t>CÔNG TY CỔ PHẦN MÔI TRƯỜNG VÀ PHÁT TRIỂN ĐÔ THỊ QUẢNG BÌNH</t>
  </si>
  <si>
    <t>CÔNG TY CỔ PHẦN MÔI TRƯỜNG ĐÔ THỊ QUẢNG NGÃI</t>
  </si>
  <si>
    <t>MRF</t>
  </si>
  <si>
    <t>CÔNG TY CỔ PHẦN MERUFA</t>
  </si>
  <si>
    <t>MSB</t>
  </si>
  <si>
    <t>NGÂN HÀNG THƯƠNG MẠI CỔ PHẦN HÀNG HẢI VIỆT NAM</t>
  </si>
  <si>
    <t>MSH</t>
  </si>
  <si>
    <t>CÔNG TY CỔ PHẦN MAY SÔNG HỒNG</t>
  </si>
  <si>
    <t>MSN</t>
  </si>
  <si>
    <t>CÔNG TY CỔ PHẦN TẬP ĐOÀN MASAN</t>
  </si>
  <si>
    <t>MSR</t>
  </si>
  <si>
    <t>CÔNG TY CỔ PHẦN MASAN HIGH-TECH MATERIALS</t>
  </si>
  <si>
    <t>CÔNG TY CỔ PHẦN ĐẦU TƯ MST</t>
  </si>
  <si>
    <t>MTA</t>
  </si>
  <si>
    <t>TỔNG CÔNG TY KHOÁNG SẢN VÀ THƯƠNG MẠI HÀ TĨNH - CTCP</t>
  </si>
  <si>
    <t>CÔNG TY CỔ PHẦN MÔI TRƯỜNG VÀ CÔNG TRÌNH ĐÔ THỊ TỈNH THÁI BÌNH</t>
  </si>
  <si>
    <t>MTC</t>
  </si>
  <si>
    <t>CÔNG TY CỔ PHẦN DỊCH VỤ DU LỊCH MỸ TRÀ</t>
  </si>
  <si>
    <t>MTG</t>
  </si>
  <si>
    <t>CÔNG TY CỔ PHẦN MT GAS</t>
  </si>
  <si>
    <t>CÔNG TY CỔ PHẦN MÔI TRƯỜNG ĐÔ THỊ HÀ ĐÔNG</t>
  </si>
  <si>
    <t>CÔNG TY CỔ PHẦN DỊCH VỤ MÔI TRƯỜNG ĐÔ THỊ TỪ LIÊM</t>
  </si>
  <si>
    <t>MTP</t>
  </si>
  <si>
    <t>CÔNG TY CỔ PHẦN DƯỢC MEDIPHARCO</t>
  </si>
  <si>
    <t>CÔNG TY CỔ PHẦN VẬT TƯ - TKV</t>
  </si>
  <si>
    <t>CÔNG TY CỔ PHẦN DỊCH VỤ MÔI TRƯỜNG VÀ CÔNG TRÌNH ĐÔ THỊ VŨNG TÀU</t>
  </si>
  <si>
    <t>MVB</t>
  </si>
  <si>
    <t>TỔNG CÔNG TY CÔNG NGHIỆP MỎ VIỆT BẮC TKV - CÔNG TY CỔ PHẦN</t>
  </si>
  <si>
    <t>CÔNG TY CỔ PHẦN VẬT LIỆU VÀ XÂY DỰNG BÌNH DƯƠNG</t>
  </si>
  <si>
    <t>TỔNG CÔNG TY HÀNG HẢI VIỆT NAM - CÔNG TY CỔ PHẦN</t>
  </si>
  <si>
    <t>MWG</t>
  </si>
  <si>
    <t>CÔNG TY CỔ PHẦN ĐẦU TƯ THẾ GIỚI DI ĐỘNG</t>
  </si>
  <si>
    <t>NAB</t>
  </si>
  <si>
    <t>NGÂN HÀNG THƯƠNG MẠI CỔ PHẦN NAM Á</t>
  </si>
  <si>
    <t>CÔNG TY CỔ PHẦN TƯ VẤN XÂY DỰNG TỔNG HỢP</t>
  </si>
  <si>
    <t>NAF</t>
  </si>
  <si>
    <t>CÔNG TY CỔ PHẦN NAFOODS GROUP</t>
  </si>
  <si>
    <t>CÔNG TY CỔ PHẦN TẬP ĐOÀN NAGAKAWA</t>
  </si>
  <si>
    <t>CÔNG TY CỔ PHẦN CẢNG NGHỆ TĨNH</t>
  </si>
  <si>
    <t>CÔNG TY CỔ PHẦN DỊCH VỤ HÀNG KHÔNG SÂN BAY NỘI BÀI</t>
  </si>
  <si>
    <t>CÔNG TY CỔ PHẦN MÔI TRƯỜNG VÀ CÔNG TRÌNH ĐÔ THỊ NGHỆ AN</t>
  </si>
  <si>
    <t>NAW</t>
  </si>
  <si>
    <t>CÔNG TY CỔ PHẦN CẤP NƯỚC NGHỆ AN</t>
  </si>
  <si>
    <t>NBB</t>
  </si>
  <si>
    <t>CÔNG TY CỔ PHẦN ĐẦU TƯ NĂM BẢY BẢY</t>
  </si>
  <si>
    <t>NBC</t>
  </si>
  <si>
    <t>CÔNG TY CỔ PHẦN THAN NÚI BÉO – VINACOMIN</t>
  </si>
  <si>
    <t>NBE</t>
  </si>
  <si>
    <t>CÔNG TY CỔ PHẦN SÁCH VÀ THIẾT BỊ GIÁO DỤC MIỀN BẮC</t>
  </si>
  <si>
    <t>NBP</t>
  </si>
  <si>
    <t>CÔNG TY CỔ PHẦN NHIỆT ĐIỆN NINH BÌNH</t>
  </si>
  <si>
    <t>NBT</t>
  </si>
  <si>
    <t>CÔNG TY CỔ PHẦN CẤP THOÁT NƯỚC BẾN TRE</t>
  </si>
  <si>
    <t>NBW</t>
  </si>
  <si>
    <t>CÔNG TY CỔ PHẦN CẤP NƯỚC NHÀ BÈ</t>
  </si>
  <si>
    <t>NCG</t>
  </si>
  <si>
    <t>CÔNG TY CỔ PHẦN TẬP ĐOÀN NOVA CONSUMER</t>
  </si>
  <si>
    <t>NCS</t>
  </si>
  <si>
    <t>CÔNG TY CỔ PHẦN SUẤT ĂN HÀNG KHÔNG NỘI BÀI</t>
  </si>
  <si>
    <t>NCT</t>
  </si>
  <si>
    <t>CÔNG TY CỔ PHẦN DỊCH VỤ HÀNG HÓA NỘI BÀI</t>
  </si>
  <si>
    <t>ND2</t>
  </si>
  <si>
    <t>CÔNG TY CỔ PHẦN ĐẦU TƯ PHÁT TRIỂN ĐIỆN MIỀN BẮC 2</t>
  </si>
  <si>
    <t>NDC</t>
  </si>
  <si>
    <t>CÔNG TY CỔ PHẦN NAM DƯỢC</t>
  </si>
  <si>
    <t>NDF</t>
  </si>
  <si>
    <t>CÔNG TY CỔ PHẦN CHẾ BIẾN THỰC PHẨM NÔNG SẢN XUẤT KHẨU NAM ĐỊNH</t>
  </si>
  <si>
    <t>NDN</t>
  </si>
  <si>
    <t>CÔNG TY CỔ PHẦN ĐẦU TƯ PHÁT TRIỂN NHÀ ĐÀ NẴNG</t>
  </si>
  <si>
    <t>NDP</t>
  </si>
  <si>
    <t>CÔNG TY CỔ PHẦN DƯỢC PHẨM 2/9</t>
  </si>
  <si>
    <t>NDT</t>
  </si>
  <si>
    <t>TỔNG CÔNG TY CỔ PHẦN DỆT MAY NAM ĐỊNH</t>
  </si>
  <si>
    <t>NDW</t>
  </si>
  <si>
    <t>CÔNG TY CỔ PHẦN CẤP NƯỚC NAM ĐỊNH</t>
  </si>
  <si>
    <t>CÔNG TY CỔ PHẦN XÂY LẮP PHÁT TRIỂN NHÀ ĐÀ NẴNG</t>
  </si>
  <si>
    <t>CÔNG TY CỔ PHẦN ĐẦU TƯ VÀ PHÁT TRIỂN ĐIỆN TÂY BẮC</t>
  </si>
  <si>
    <t>CÔNG TY CỔ PHẦN THIẾT BỊ ĐIỆN MIỀN BẮC</t>
  </si>
  <si>
    <t>NET</t>
  </si>
  <si>
    <t>CÔNG TY CỔ PHẦN BỘT GIẶT NET</t>
  </si>
  <si>
    <t>NFC</t>
  </si>
  <si>
    <t>CÔNG TY CỔ PHẦN PHÂN LÂN NINH BÌNH</t>
  </si>
  <si>
    <t>NGC</t>
  </si>
  <si>
    <t>CÔNG TY CỔ PHẦN CHẾ BIẾN THỦY SẢN XUẤT KHẨU NGÔ QUYỀN</t>
  </si>
  <si>
    <t>NHA</t>
  </si>
  <si>
    <t>TỔNG CÔNG TY ĐẦU TƯ PHÁT TRIỂN NHÀ VÀ ĐÔ THỊ NAM HÀ NỘI</t>
  </si>
  <si>
    <t>CÔNG TY CỔ PHẦN GẠCH NGÓI NHỊ HIỆP</t>
  </si>
  <si>
    <t>NHH</t>
  </si>
  <si>
    <t>CÔNG TY CỔ PHẦN NHỰA HÀ NỘI</t>
  </si>
  <si>
    <t>CÔNG TY CỔ PHẦN SẢN XUẤT XUẤT NHẬP KHẨU NHP</t>
  </si>
  <si>
    <t>NHT</t>
  </si>
  <si>
    <t>CÔNG TY CỔ PHẦN SẢN XUẤT VÀ THƯƠNG MẠI NAM HOA</t>
  </si>
  <si>
    <t>ĐỒ CHƠI</t>
  </si>
  <si>
    <t>NHV</t>
  </si>
  <si>
    <t>CÔNG TY CỔ PHẦN ĐẦU TƯ NHV</t>
  </si>
  <si>
    <t>NJC</t>
  </si>
  <si>
    <t>CÔNG TY CỔ PHẦN MAY NAM ĐỊNH</t>
  </si>
  <si>
    <t>NKG</t>
  </si>
  <si>
    <t>CÔNG TY CỔ PHẦN THÉP NAM KIM</t>
  </si>
  <si>
    <t>NLG</t>
  </si>
  <si>
    <t>CÔNG TY CỔ PHẦN ĐẦU TƯ NAM LONG</t>
  </si>
  <si>
    <t>NLS</t>
  </si>
  <si>
    <t>CÔNG TY CỔ PHẦN CẤP THOÁT NƯỚC LẠNG SƠN</t>
  </si>
  <si>
    <t>NNC</t>
  </si>
  <si>
    <t>CÔNG TY CỔ PHẦN ĐÁ NÚI NHỎ</t>
  </si>
  <si>
    <t>NNT</t>
  </si>
  <si>
    <t>CÔNG TY CỔ PHẦN CẤP NƯỚC NINH THUẬN</t>
  </si>
  <si>
    <t>NO1</t>
  </si>
  <si>
    <t>CTCP TẬP ĐOÀN 911</t>
  </si>
  <si>
    <t>CÔNG TY CỔ PHẦN VẬN TẢI BIỂN VÀ THƯƠNG MẠI PHƯƠNG ĐÔNG</t>
  </si>
  <si>
    <t>NQB</t>
  </si>
  <si>
    <t>CÔNG TY CỔ PHẦN CẤP NƯỚC QUẢNG BÌNH</t>
  </si>
  <si>
    <t>NQN</t>
  </si>
  <si>
    <t>CÔNG TY CỔ PHẦN NƯỚC SẠCH QUẢNG NINH</t>
  </si>
  <si>
    <t>NQT</t>
  </si>
  <si>
    <t>CÔNG TY CỔ PHẦN NƯỚC SẠCH QUẢNG TRỊ</t>
  </si>
  <si>
    <t>NRC</t>
  </si>
  <si>
    <t>CÔNG TY CỔ PHẦN TẬP ĐOÀN DANH KHÔI</t>
  </si>
  <si>
    <t>NS2</t>
  </si>
  <si>
    <t>CÔNG TY CỔ PHẦN NƯỚC SẠCH SỐ 2 HÀ NỘI</t>
  </si>
  <si>
    <t>NSC</t>
  </si>
  <si>
    <t>CÔNG TY CỔ PHẦN TẬP ĐOÀN GIỐNG CÂY TRỒNG VIỆT NAM</t>
  </si>
  <si>
    <t>NSG</t>
  </si>
  <si>
    <t>CÔNG TY CỔ PHẦN NHỰA SÀI GÒN</t>
  </si>
  <si>
    <t>NSH</t>
  </si>
  <si>
    <t>CÔNG TY CỔ PHẦN NHÔM SÔNG HỒNG</t>
  </si>
  <si>
    <t>NHÔM</t>
  </si>
  <si>
    <t>NSL</t>
  </si>
  <si>
    <t>CÔNG TY CỔ PHẦN CẤP NƯỚC SƠN LA</t>
  </si>
  <si>
    <t>NSS</t>
  </si>
  <si>
    <t>CÔNG TY CỔ PHẦN NÔNG SÚC SẢN ĐỒNG NAI</t>
  </si>
  <si>
    <t>NST</t>
  </si>
  <si>
    <t>CÔNG TY CỔ PHẦN NGÂN SƠN</t>
  </si>
  <si>
    <t>NT2</t>
  </si>
  <si>
    <t>CÔNG TY CỔ PHẦN ĐIỆN LỰC DẦU KHÍ NHƠN TRẠCH 2</t>
  </si>
  <si>
    <t>NTB</t>
  </si>
  <si>
    <t>CÔNG TY CỔ PHẦN ĐẦU TƯ XÂY DỰNG VÀ KHAI THÁC CÔNG TRÌNH GIAO THÔNG 584</t>
  </si>
  <si>
    <t>NTC</t>
  </si>
  <si>
    <t>CÔNG TY CỔ PHẦN KHU CÔNG NGHIỆP NAM TÂN UYÊN</t>
  </si>
  <si>
    <t>NTF</t>
  </si>
  <si>
    <t>CÔNG TY CỔ PHẦN DƯỢC - VẬT TƯ Y TẾ NGHỆ AN</t>
  </si>
  <si>
    <t>NTH</t>
  </si>
  <si>
    <t>CÔNG TY CỔ PHẦN THỦY ĐIỆN NƯỚC TRONG</t>
  </si>
  <si>
    <t>NTL</t>
  </si>
  <si>
    <t>CÔNG TY CỔ PHẦN PHÁT TRIỂN ĐÔ THỊ TỪ LIÊM</t>
  </si>
  <si>
    <t>CÔNG TY CỔ PHẦN NHỰA THIẾU NIÊN TIỀN PHONG</t>
  </si>
  <si>
    <t>NTT</t>
  </si>
  <si>
    <t>CÔNG TY CỔ PHẦN DỆT - MAY NHA TRANG</t>
  </si>
  <si>
    <t>NTW</t>
  </si>
  <si>
    <t>CÔNG TY CỔ PHẦN CẤP NƯỚC NHƠN TRẠCH</t>
  </si>
  <si>
    <t>CÔNG TY CỔ PHẦN MÔI TRƯỜNG ĐÔ THỊ NHA TRANG</t>
  </si>
  <si>
    <t>NVB</t>
  </si>
  <si>
    <t>NGÂN HÀNG THƯƠNG MẠI CỔ PHẦN QUỐC DÂN</t>
  </si>
  <si>
    <t>CÔNG TY CỔ PHẦN TẬP ĐOÀN ĐẦU TƯ ĐỊA ỐC NO VA</t>
  </si>
  <si>
    <t>NVP</t>
  </si>
  <si>
    <t>CÔNG TY CỔ PHẦN NƯỚC SẠCH VĨNH PHÚC</t>
  </si>
  <si>
    <t>NVT</t>
  </si>
  <si>
    <t>CÔNG TY CỔ PHẦN BẤT ĐỘNG SẢN DU LỊCH NINH VÂN BAY</t>
  </si>
  <si>
    <t>NWT</t>
  </si>
  <si>
    <t>CÔNG TY CỔ PHẦN VẬN TẢI NEWWAY</t>
  </si>
  <si>
    <t>CÔNG TY CỔ PHẦN SẢN XUẤT VÀ CUNG ỨNG VẬT LIỆU XÂY DỰNG KON TUM</t>
  </si>
  <si>
    <t>OCB</t>
  </si>
  <si>
    <t>NGÂN HÀNG THƯƠNG MẠI CỔ PHẦN PHƯƠNG ĐÔNG</t>
  </si>
  <si>
    <t>OCH</t>
  </si>
  <si>
    <t>CÔNG TY CỔ PHẦN KHÁCH SẠN VÀ DỊCH VỤ OCH</t>
  </si>
  <si>
    <t>ODE</t>
  </si>
  <si>
    <t>CÔNG TY CỔ PHẦN TẬP ĐOÀN TRUYỀN THÔNG VÀ GIẢI TRÍ ODE</t>
  </si>
  <si>
    <t>OGC</t>
  </si>
  <si>
    <t>CÔNG TY CỔ PHẦN TẬP ĐOÀN ĐẠI DƯƠNG</t>
  </si>
  <si>
    <t>OIL</t>
  </si>
  <si>
    <t>TỔNG CÔNG TY DẦU VIỆT NAM - CÔNG TY CỔ PHẦN</t>
  </si>
  <si>
    <t>ONE</t>
  </si>
  <si>
    <t>CÔNG TY CỔ PHẦN TRUYỀN THÔNG SỐ 1</t>
  </si>
  <si>
    <t>ONW</t>
  </si>
  <si>
    <t>CÔNG TY CỔ PHẦN DỊCH VỤ MỘT THẾ GIỚI</t>
  </si>
  <si>
    <t>OPC</t>
  </si>
  <si>
    <t>CÔNG TY CỔ PHẦN DƯỢC PHẨM OPC</t>
  </si>
  <si>
    <t>ORS</t>
  </si>
  <si>
    <t>CÔNG TY CỔ PHẦN CHỨNG KHOÁN TIÊN PHONG</t>
  </si>
  <si>
    <t>PAC</t>
  </si>
  <si>
    <t>CÔNG TY CỔ PHẦN PIN ẮC QUY MIỀN NAM</t>
  </si>
  <si>
    <t>PAI</t>
  </si>
  <si>
    <t>CÔNG TY CỔ PHẦN CÔNG NGHỆ THÔNG TIN, VIỄN THÔNG VÀ TỰ ĐỘNG HÓA DẦU KHÍ</t>
  </si>
  <si>
    <t>PAN</t>
  </si>
  <si>
    <t>CÔNG TY CỔ PHẦN TẬP ĐOÀN PAN</t>
  </si>
  <si>
    <t>CÔNG TY CỔ PHẦN DẦU KHÍ ĐẦU TƯ KHAI THÁC CẢNG PHƯỚC AN</t>
  </si>
  <si>
    <t>PAS</t>
  </si>
  <si>
    <t>CÔNG TY CỔ PHẦN QUỐC TẾ PHƯƠNG ANH</t>
  </si>
  <si>
    <t>PAT</t>
  </si>
  <si>
    <t>CTCP PHỐT PHO APATIT VIỆT NAM</t>
  </si>
  <si>
    <t>PBC</t>
  </si>
  <si>
    <t>CÔNG TY CỔ PHẦN DƯỢC PHẨM TRUNG ƯƠNG I - PHARBACO</t>
  </si>
  <si>
    <t>CÔNG TY CỔ PHẦN BAO BÌ DẦU KHÍ VIỆT NAM</t>
  </si>
  <si>
    <t>CÔNG TY CỔ PHẦN NHÀ VÀ THƯƠNG MẠI DẦU KHÍ</t>
  </si>
  <si>
    <t>PC1</t>
  </si>
  <si>
    <t>CÔNG TY CỔ PHẦN XÂY LẮP ĐIỆN 1</t>
  </si>
  <si>
    <t>CÔNG TY CỔ PHẦN TẬP ĐOÀN XÂY LẮP 1 - PETROLIMEX</t>
  </si>
  <si>
    <t>PCE</t>
  </si>
  <si>
    <t>CÔNG TY CỔ PHẦN PHÂN BÓN VÀ HÓA CHẤT DẦU KHÍ MIỀN TRUNG</t>
  </si>
  <si>
    <t>PCF</t>
  </si>
  <si>
    <t>CÔNG TY CỔ PHẦN CÀ PHÊ PETEC</t>
  </si>
  <si>
    <t>PCG</t>
  </si>
  <si>
    <t>CÔNG TY CỔ PHẦN ĐẦU TƯ VÀ PHÁT TRIỂN GAS ĐÔ THỊ</t>
  </si>
  <si>
    <t>PCH</t>
  </si>
  <si>
    <t>PICOMAT</t>
  </si>
  <si>
    <t>CÔNG TY CỔ PHẦN VẬT LIỆU XÂY DỰNG BƯU ĐIỆN</t>
  </si>
  <si>
    <t>PCN</t>
  </si>
  <si>
    <t>CÔNG TY CỔ PHẦN HÓA PHẨM DẦU KHÍ DMC - MIỀN BẮC</t>
  </si>
  <si>
    <t>CÔNG TY CỔ PHẦN VẬN TẢI KHÍ VÀ HÓA CHẤT VIỆT NAM</t>
  </si>
  <si>
    <t>CÔNG TY CỐ PHẦN TẬP ĐOÀN ĐẦU TƯ DIN CAPITAL</t>
  </si>
  <si>
    <t>PDC</t>
  </si>
  <si>
    <t>CÔNG TY CỔ PHẦN DU LỊCH DẦU KHÍ PHƯƠNG ĐÔNG</t>
  </si>
  <si>
    <t>CÔNG TY CỔ PHẦN CẢNG ĐỒNG NAI</t>
  </si>
  <si>
    <t>PDR</t>
  </si>
  <si>
    <t>CÔNG TY CỔ PHẦN PHÁT TRIỂN BẤT ĐỘNG SẢN PHÁT ĐẠT</t>
  </si>
  <si>
    <t>CÔNG TY CỔ PHẦN VẬN TẢI DẦU PHƯƠNG ĐÔNG VIỆT</t>
  </si>
  <si>
    <t>CÔNG TY CỔ PHẦN CƠ KHÍ ĐIỆN LỰC</t>
  </si>
  <si>
    <t>PEG</t>
  </si>
  <si>
    <t>TỔNG CÔNG TY THƯƠNG MẠI KỸ THUẬT VÀ ĐẦU TƯ - CÔNG TY CỔ PHẦN</t>
  </si>
  <si>
    <t>CÔNG TY CỔ PHẦN XÂY LẮP III PETROLIMEX</t>
  </si>
  <si>
    <t>PEQ</t>
  </si>
  <si>
    <t>CÔNG TY CỔ PHẦN THIẾT BỊ XĂNG DẦU PETROLIMEX</t>
  </si>
  <si>
    <t>THIẾT BỊ VÀ DỊCH VỤ DẦU KHÍ</t>
  </si>
  <si>
    <t>THIẾT BỊ, DỊCH VỤ VÀ PHÂN PHỐI DẦU KHÍ</t>
  </si>
  <si>
    <t>PET</t>
  </si>
  <si>
    <t>TỔNG CÔNG TY CỔ PHẦN DỊCH VỤ TỔNG HỢP DẦU KHÍ</t>
  </si>
  <si>
    <t>CÔNG TY CỔ PHẦN DẦU KHÍ ĐÔNG ĐÔ</t>
  </si>
  <si>
    <t>PGB</t>
  </si>
  <si>
    <t>NGÂN HÀNG TMCP XĂNG DẦU PETROLIMEX</t>
  </si>
  <si>
    <t>PGC</t>
  </si>
  <si>
    <t>TỔNG CÔNG TY GAS PETROLIMEX-CÔNG TY CỔ PHẦN</t>
  </si>
  <si>
    <t>PGD</t>
  </si>
  <si>
    <t>CÔNG TY CỔ PHẦN PHÂN PHỐI KHÍ THẤP ÁP DẦU KHÍ VIỆT NAM</t>
  </si>
  <si>
    <t>PGI</t>
  </si>
  <si>
    <t>TỔNG CÔNG TY CỔ PHẦN BẢO HIỂM PETROLIMEX</t>
  </si>
  <si>
    <t>PGN</t>
  </si>
  <si>
    <t>CÔNG TY CỔ PHẦN PHỤ GIA NHỰA</t>
  </si>
  <si>
    <t>PGS</t>
  </si>
  <si>
    <t>CÔNG TY CỔ PHẦN KINH DOANH KHÍ MIỀN NAM</t>
  </si>
  <si>
    <t>PGT</t>
  </si>
  <si>
    <t>CÔNG TY CỔ PHẦN PGT HOLDINGS</t>
  </si>
  <si>
    <t>PGV</t>
  </si>
  <si>
    <t>TỔNG CÔNG TY PHÁT ĐIỆN 3 - CÔNG TY CỔ PHẦN</t>
  </si>
  <si>
    <t>PHC</t>
  </si>
  <si>
    <t>CÔNG TY CỔ PHẦN XÂY DỰNG PHỤC HƯNG HOLDINGS</t>
  </si>
  <si>
    <t>CÔNG TY CỔ PHẦN HỒNG HÀ VIỆT NAM</t>
  </si>
  <si>
    <t>CÔNG TY CỔ PHẦN PIN HÀ NỘI</t>
  </si>
  <si>
    <t>CÔNG TY CỔ PHẦN CẢNG HẢI PHÒNG</t>
  </si>
  <si>
    <t>PHR</t>
  </si>
  <si>
    <t>CÔNG TY CỔ PHẦN CAO SU PHƯỚC HÒA</t>
  </si>
  <si>
    <t>PHS</t>
  </si>
  <si>
    <t>CÔNG TY CỔ PHẦN CHỨNG KHOÁN PHÚ HƯNG</t>
  </si>
  <si>
    <t>PIA</t>
  </si>
  <si>
    <t>CÔNG TY CỔ PHẦN TIN HỌC VIỄN THÔNG PETROLIMEX</t>
  </si>
  <si>
    <t>PIC</t>
  </si>
  <si>
    <t>CÔNG TY CỔ PHẦN ĐẦU TƯ ĐIỆN LỰC 3</t>
  </si>
  <si>
    <t>CÔNG TY CỔ PHẦN TRANG TRÍ NỘI THẤT DẦU KHÍ</t>
  </si>
  <si>
    <t>PIS</t>
  </si>
  <si>
    <t>TỔNG CÔNG TY PISICO BÌNH ĐỊNH - CTCP</t>
  </si>
  <si>
    <t>PIT</t>
  </si>
  <si>
    <t>CÔNG TY CỔ PHẦN XUẤT NHẬP KHẨU PETROLIMEX</t>
  </si>
  <si>
    <t>PIV</t>
  </si>
  <si>
    <t>CÔNG TY CỔ PHẦN PIV</t>
  </si>
  <si>
    <t>PJC</t>
  </si>
  <si>
    <t>CÔNG TY CỔ PHẦN THƯƠNG MẠI VÀ VẬN TẢI PETROLIMEX HÀ NỘI</t>
  </si>
  <si>
    <t>PJS</t>
  </si>
  <si>
    <t>CÔNG TY CỔ PHẦN CẤP NƯỚC PHÚ HÒA TÂN</t>
  </si>
  <si>
    <t>CÔNG TY CỔ PHẦN VẬN TẢI XĂNG DẦU ĐƯỜNG THỦY PETROLIMEX</t>
  </si>
  <si>
    <t>PLA</t>
  </si>
  <si>
    <t>CÔNG TY CỔ PHẦN ĐẦU TƯ DỊCH VỤ HẠ TẦNG XĂNG DẦU</t>
  </si>
  <si>
    <t>PLC</t>
  </si>
  <si>
    <t>TỔNG CÔNG TY HÓA DẦU PETROLIMEX-CÔNG TY CỔ PHẦN</t>
  </si>
  <si>
    <t>CÔNG TY CỔ PHẦN TƯ VẤN XÂY DỰNG PETROLIMEX</t>
  </si>
  <si>
    <t>CÔNG TY CỔ PHẦN KHO VẬN PETEC</t>
  </si>
  <si>
    <t>PLP</t>
  </si>
  <si>
    <t>CÔNG TY CỔ PHẦN SẢN XUẤT VÀ CÔNG NGHỆ NHỰA PHA LÊ</t>
  </si>
  <si>
    <t>PLX</t>
  </si>
  <si>
    <t>TẬP ĐOÀN XĂNG DẦU VIỆT NAM</t>
  </si>
  <si>
    <t>PMB</t>
  </si>
  <si>
    <t>CÔNG TY CỔ PHẦN PHÂN BÓN VÀ HÓA CHẤT DẦU KHÍ MIỀN BẮC</t>
  </si>
  <si>
    <t>PMC</t>
  </si>
  <si>
    <t>CÔNG TY CỔ PHẦN DƯỢC PHẨM DƯỢC LIỆU PHARMEDIC</t>
  </si>
  <si>
    <t>PMG</t>
  </si>
  <si>
    <t>CÔNG TY CỔ PHẦN ĐẦU TƯ VÀ SẢN XUẤT PETRO MIỀN TRUNG</t>
  </si>
  <si>
    <t>PMJ</t>
  </si>
  <si>
    <t>CÔNG TY CỔ PHẦN VẬT TƯ BƯU ĐIỆN</t>
  </si>
  <si>
    <t>CÔNG TY CỔ PHẦN BAO BÌ ĐẠM PHÚ MỸ</t>
  </si>
  <si>
    <t>CÔNG TY CỔ PHẦN CƠ KHÍ XĂNG DẦU</t>
  </si>
  <si>
    <t>PMT</t>
  </si>
  <si>
    <t>CÔNG TY CỔ PHẦN VIỄN THÔNG TELVINA VIỆT NAM</t>
  </si>
  <si>
    <t>PMW</t>
  </si>
  <si>
    <t>CÔNG TY CỔ PHẦN CẤP NƯỚC PHÚ MỸ</t>
  </si>
  <si>
    <t>PNC</t>
  </si>
  <si>
    <t>CÔNG TY CỔ PHẦN VĂN HOÁ PHƯƠNG NAM</t>
  </si>
  <si>
    <t>PND</t>
  </si>
  <si>
    <t>CÔNG TY CỔ PHẦN XĂNG DẦU DẦU KHÍ NAM ĐỊNH</t>
  </si>
  <si>
    <t>PNG</t>
  </si>
  <si>
    <t>CÔNG TY CỔ PHẦN THƯƠNG MẠI PHÚ NHUẬN</t>
  </si>
  <si>
    <t>PNJ</t>
  </si>
  <si>
    <t>CÔNG TY CỔ PHẦN VÀNG BẠC ĐÁ QUÝ PHÚ NHUẬN</t>
  </si>
  <si>
    <t>CÔNG TY CỔ PHẦN TÂN CẢNG - PHÚ HỮU</t>
  </si>
  <si>
    <t>CÔNG TY CỔ PHẦN KỸ THUẬT XÂY DỰNG PHÚ NHUẬN</t>
  </si>
  <si>
    <t>POB</t>
  </si>
  <si>
    <t>CÔNG TY CỔ PHẦN XĂNG DẦU DẦU KHÍ THÁI BÌNH</t>
  </si>
  <si>
    <t>POM</t>
  </si>
  <si>
    <t>CÔNG TY CỔ PHẦN THÉP POMINA</t>
  </si>
  <si>
    <t>POS</t>
  </si>
  <si>
    <t>CÔNG TY CỔ PHẦN DỊCH VỤ LẮP ĐẶT, VẬN HÀNH VÀ BẢO DƯỠNG CÔNG TRÌNH DẦU KHÍ BIỂN PTSC</t>
  </si>
  <si>
    <t>POT</t>
  </si>
  <si>
    <t>CÔNG TY CỔ PHẦN THIẾT BỊ BƯU ĐIỆN</t>
  </si>
  <si>
    <t>POV</t>
  </si>
  <si>
    <t>CÔNG TY CỔ PHẦN XĂNG DẦU DẦU KHÍ VŨNG ÁNG</t>
  </si>
  <si>
    <t>POW</t>
  </si>
  <si>
    <t>TỔNG CÔNG TY ĐIỆN LỰC DẦU KHÍ VIỆT NAM - CÔNG TY CỔ PHẦN</t>
  </si>
  <si>
    <t>PPC</t>
  </si>
  <si>
    <t>CÔNG TY CỔ PHẦN NHIỆT ĐIỆN PHẢ LẠI</t>
  </si>
  <si>
    <t>CTCP TƯ VẤN ĐẦU TƯ PP ENTERPRISE</t>
  </si>
  <si>
    <t>PPH</t>
  </si>
  <si>
    <t>TỔNG CÔNG TY CỔ PHẦN PHONG PHÚ</t>
  </si>
  <si>
    <t>PPI</t>
  </si>
  <si>
    <t>CÔNG TY CỔ PHẦN ĐẦU TƯ VÀ PHÁT TRIỂN DỰ ÁN HẠ TẦNG THÁI BÌNH DƯƠNG</t>
  </si>
  <si>
    <t>PPP</t>
  </si>
  <si>
    <t>CÔNG TY CỔ PHẦN DƯỢC PHẨM PHONG PHÚ</t>
  </si>
  <si>
    <t>CÔNG TY CỔ PHẦN DỊCH VỤ KỸ THUẬT ĐIỆN LỰC DẦU KHÍ VIỆT NAM</t>
  </si>
  <si>
    <t>PPT</t>
  </si>
  <si>
    <t>CÔNG TY CỔ PHẦN PETRO TIMES</t>
  </si>
  <si>
    <t>PPY</t>
  </si>
  <si>
    <t>CÔNG TY CỔ PHẦN XĂNG DẦU DẦU KHÍ PHÚ YÊN</t>
  </si>
  <si>
    <t>CÔNG TY CỔ PHẦN DỊCH VỤ DẦU KHÍ QUẢNG NGÃI PTSC</t>
  </si>
  <si>
    <t>CÔNG TY CỔ PHẦN LOGISTICS PORTSERCO</t>
  </si>
  <si>
    <t>PRE</t>
  </si>
  <si>
    <t>TỔNG CÔNG TY CỔ PHẦN TÁI BẢO HIỂM PVI</t>
  </si>
  <si>
    <t>TÁI BẢO HIỂM</t>
  </si>
  <si>
    <t>PRO</t>
  </si>
  <si>
    <t>CÔNG TY CỔ PHẦN PROCIMEX VIỆT NAM</t>
  </si>
  <si>
    <t>PRT</t>
  </si>
  <si>
    <t>TỔNG CÔNG TY SẢN XUẤT - XUẤT NHẬP KHẨU BÌNH DƯƠNG - TNHH MTV</t>
  </si>
  <si>
    <t>CÔNG TY CỔ PHẦN ĐẦU TƯ DẦU KHÍ SAO MAI – BẾN ĐÌNH</t>
  </si>
  <si>
    <t>CÔNG TY CỔ PHẦN VẬN TẢI VÀ DỊCH VỤ PETROLIMEX SÀI GÒN</t>
  </si>
  <si>
    <t>PSD</t>
  </si>
  <si>
    <t>CÔNG TY CỔ PHẦN DỊCH VỤ PHÂN PHỐI TỔNG HỢP DẦU KHÍ</t>
  </si>
  <si>
    <t>PSE</t>
  </si>
  <si>
    <t>CÔNG TY CỔ PHẦN PHÂN BÓN VÀ HÓA CHẤT DẦU KHÍ ĐÔNG NAM BỘ</t>
  </si>
  <si>
    <t>CÔNG TY CỔ PHẦN ĐẦU TƯ VÀ XÂY LẮP DẦU KHÍ SÀI GÒN</t>
  </si>
  <si>
    <t>PSH</t>
  </si>
  <si>
    <t>CÔNG TY CỔ PHẦN THƯƠNG MẠI ĐẦU TƯ DẦU KHÍ NAM SÔNG HẬU</t>
  </si>
  <si>
    <t>PSI</t>
  </si>
  <si>
    <t>CÔNG TY CỔ PHẦN CHỨNG KHOÁN DẦU KHÍ</t>
  </si>
  <si>
    <t>PSL</t>
  </si>
  <si>
    <t>CÔNG TY CỔ PHẦN CHĂN NUÔI PHÚ SƠN</t>
  </si>
  <si>
    <t>CÔNG TY CỔ PHẦN DỊCH VỤ KỸ THUẬT PTSC THANH HÓA</t>
  </si>
  <si>
    <t>CÔNG TY CỔ PHẦN CẢNG DỊCH VỤ DẦU KHÍ ĐÌNH VŨ</t>
  </si>
  <si>
    <t>PSW</t>
  </si>
  <si>
    <t>CÔNG TY CỔ PHẦN PHÂN BÓN VÀ HÓA CHẤT DẦU KHÍ TÂY NAM BỘ</t>
  </si>
  <si>
    <t>PTB</t>
  </si>
  <si>
    <t>CÔNG TY CỔ PHẦN PHÚ TÀI</t>
  </si>
  <si>
    <t>PTC</t>
  </si>
  <si>
    <t>CÔNG TY CỔ PHẦN ĐẦU TƯ ICAPITAL</t>
  </si>
  <si>
    <t>CÔNG TY CỔ PHẦN THIẾT KẾ - XÂY DỰNG - THƯƠNG MẠI PHÚC THỊNH</t>
  </si>
  <si>
    <t>CÔNG TY CỔ PHẦN XI MĂNG PHÚ THỌ</t>
  </si>
  <si>
    <t>PTG</t>
  </si>
  <si>
    <t>CÔNG TY CỔ PHẦN MAY XUẤT KHẨU PHAN THIẾT</t>
  </si>
  <si>
    <t>PTH</t>
  </si>
  <si>
    <t>CÔNG TY CỔ PHẦN VẬN TẢI VÀ DỊCH VỤ PETROLIMEX HÀ TÂY</t>
  </si>
  <si>
    <t>PTI</t>
  </si>
  <si>
    <t>TỔNG CÔNG TY CỔ PHẦN BẢO HIỂM BƯU ĐIỆN</t>
  </si>
  <si>
    <t>PTL</t>
  </si>
  <si>
    <t>CÔNG TY CỔ PHẦN VICTORY CAPITAL</t>
  </si>
  <si>
    <t>CÔNG TY CỔ PHẦN DỊCH VỤ - XÂY DỰNG CÔNG TRÌNH BƯU ĐIỆN</t>
  </si>
  <si>
    <t>PTP</t>
  </si>
  <si>
    <t>CÔNG TY CỔ PHẦN DỊCH VỤ VIỄN THÔNG VÀ IN BƯU ĐIỆN</t>
  </si>
  <si>
    <t>CÔNG TY CỔ PHẦN VẬN TẢI VÀ DỊCH VỤ PETROLIMEX HẢI PHÒNG</t>
  </si>
  <si>
    <t>CÔNG TY CỔ PHẦN VẬN TẢI DẦU KHÍ ĐÔNG DƯƠNG</t>
  </si>
  <si>
    <t>PTV</t>
  </si>
  <si>
    <t>CÔNG TY CỔ PHẦN THƯƠNG MẠI DẦU KHÍ</t>
  </si>
  <si>
    <t>CÔNG TY CỔ PHẦN VẬN TẢI VÀ DỊCH VỤ PETROLIMEX NGHỆ TĨNH</t>
  </si>
  <si>
    <t>PV2</t>
  </si>
  <si>
    <t>CÔNG TY CỔ PHẦN ĐẦU TƯ PV2</t>
  </si>
  <si>
    <t>CÔNG TY CỔ PHẦN TỔNG CÔNG TY XÂY LẮP DẦU KHÍ NGHỆ AN</t>
  </si>
  <si>
    <t>PVB</t>
  </si>
  <si>
    <t>CÔNG TY CỔ PHẦN BỌC ỐNG DẦU KHÍ VIỆT NAM</t>
  </si>
  <si>
    <t>PVC</t>
  </si>
  <si>
    <t>TỔNG CÔNG TY HÓA CHẤT VÀ DỊCH VỤ DẦU KHÍ - CÔNG TY CỔ PHẦN</t>
  </si>
  <si>
    <t>PVD</t>
  </si>
  <si>
    <t>TỔNG CÔNG TY CỔ PHẦN KHOAN VÀ DỊCH VỤ KHOAN DẦU KHÍ</t>
  </si>
  <si>
    <t>PVE</t>
  </si>
  <si>
    <t>TỔNG CÔNG TY TƯ VẤN THIẾT KẾ DẦU KHÍ-CÔNG TY CỔ PHẦN</t>
  </si>
  <si>
    <t>PVG</t>
  </si>
  <si>
    <t>CÔNG TY CỔ PHẦN KINH DOANH LPG VIỆT NAM</t>
  </si>
  <si>
    <t>CÔNG TY CỔ PHẦN XÂY LẮP DẦU KHÍ THANH HÓA</t>
  </si>
  <si>
    <t>PVI</t>
  </si>
  <si>
    <t>CÔNG TY CỔ PHẦN PVI</t>
  </si>
  <si>
    <t>PVL</t>
  </si>
  <si>
    <t>CÔNG TY CỔ PHẦN ĐẦU TƯ NHÀ ĐẤT VIỆT</t>
  </si>
  <si>
    <t>CÔNG TY CỔ PHẦN MÁY - THIẾT BỊ DẦU KHÍ</t>
  </si>
  <si>
    <t>PVO</t>
  </si>
  <si>
    <t>CÔNG TY CỔ PHẦN DẦU NHỜN PV OIL</t>
  </si>
  <si>
    <t>PVP</t>
  </si>
  <si>
    <t>CÔNG TY CỔ PHẦN VẬN TẢI DẦU KHÍ THÁI BÌNH DƯƠNG</t>
  </si>
  <si>
    <t>PVR</t>
  </si>
  <si>
    <t>CÔNG TY CỔ PHẦN ĐẦU TƯ PVR HÀ NỘI</t>
  </si>
  <si>
    <t>PVS</t>
  </si>
  <si>
    <t>TỔNG CÔNG TY CỔ PHẦN DỊCH VỤ KỸ THUẬT DẦU KHÍ VIỆT NAM</t>
  </si>
  <si>
    <t>PVT</t>
  </si>
  <si>
    <t>TỔNG CÔNG TY CỔ PHẦN VẬN TẢI DẦU KHÍ</t>
  </si>
  <si>
    <t>CÔNG TY CỔ PHẦN VINACONEX 39</t>
  </si>
  <si>
    <t>TỔNG CÔNG TY CỔ PHẦN XÂY LẮP DẦU KHÍ VIỆT NAM</t>
  </si>
  <si>
    <t>CÔNG TY CỔ PHẦN CHẾ TẠO GIÀN KHOAN DẦU KHÍ</t>
  </si>
  <si>
    <t>PWA</t>
  </si>
  <si>
    <t>CÔNG TY CỔ PHẦN BẤT ĐỘNG SẢN DẦU KHÍ</t>
  </si>
  <si>
    <t>PWS</t>
  </si>
  <si>
    <t>CÔNG TY CỔ PHẦN CẤP THOÁT NƯỚC PHÚ YÊN</t>
  </si>
  <si>
    <t>CÔNG TY CỔ PHẦN XI MĂNG SÔNG LAM 2</t>
  </si>
  <si>
    <t>PXA</t>
  </si>
  <si>
    <t>CÔNG TY CỔ PHẦN ĐẦU TƯ &amp; THƯƠNG MẠI DẦU KHÍ NGHỆ AN</t>
  </si>
  <si>
    <t>PXC</t>
  </si>
  <si>
    <t>CÔNG TY CỔ PHẦN PHÁT TRIỂN ĐÔ THỊ DẦU KHÍ</t>
  </si>
  <si>
    <t>CÔNG TY CỔ PHẦN XÂY DỰNG CÔNG NGHIỆP VÀ DÂN DỤNG DẦU KHÍ</t>
  </si>
  <si>
    <t>PXL</t>
  </si>
  <si>
    <t>TỔNG CÔNG TY CỔ PHẦN ĐẦU TƯ VÀ PHÁT TRIỂN KCN DẦU KHÍ-LONG SƠN</t>
  </si>
  <si>
    <t>CÔNG TY CỔ PHẦN XÂY LẮP DẦU KHÍ MIỀN TRUNG</t>
  </si>
  <si>
    <t>CÔNG TY CỔ PHẦN KẾT CẤU KIM LOẠI VÀ LẮP MÁY DẦU KHÍ</t>
  </si>
  <si>
    <t>CÔNG TY CỔ PHẦN XÂY LẮP ĐƯỜNG ỐNG BỂ CHỨA DẦU KHÍ</t>
  </si>
  <si>
    <t>QBS</t>
  </si>
  <si>
    <t>CÔNG TY CỔ PHẦN XUẤT NHẬP KHẨU QUẢNG BÌNH</t>
  </si>
  <si>
    <t>CÔNG TY CỔ PHẦN ĐẦU TƯ XÂY DỰNG VÀ PHÁT TRIỂN HẠ TẦNG VIỄN THÔNG</t>
  </si>
  <si>
    <t>QCG</t>
  </si>
  <si>
    <t>CÔNG TY CỔ PHẦN QUỐC CƯỜNG GIA LAI</t>
  </si>
  <si>
    <t>CÔNG TY CỔ PHẦN QUE HÀN ĐIỆN VIỆT ĐỨC</t>
  </si>
  <si>
    <t>CÔNG NGHIỆP PHỨC HỢP</t>
  </si>
  <si>
    <t>QHW</t>
  </si>
  <si>
    <t>CÔNG TY CỔ PHẦN NƯỚC KHOÁNG QUẢNG NINH</t>
  </si>
  <si>
    <t>CÔNG TY CỔ PHẦN XI MĂNG VÀ XÂY DỰNG QUẢNG NINH</t>
  </si>
  <si>
    <t>CÔNG TY CỔ PHẦN CẢNG QUY NHƠN</t>
  </si>
  <si>
    <t>QNS</t>
  </si>
  <si>
    <t>CÔNG TY CỔ PHẦN ĐƯỜNG QUẢNG NGÃI</t>
  </si>
  <si>
    <t>CÔNG TY CỔ PHẦN TƯ VẤN VÀ ĐẦU TƯ PHÁT TRIỂN QUẢNG NAM</t>
  </si>
  <si>
    <t>CÔNG TY CỔ PHẦN MÔI TRƯỜNG ĐÔ THỊ QUẢNG NAM</t>
  </si>
  <si>
    <t>QNW</t>
  </si>
  <si>
    <t>CÔNG TY CỔ PHẦN CẤP THOÁT NƯỚC VÀ XÂY DỰNG QUẢNG NGÃI</t>
  </si>
  <si>
    <t>QPH</t>
  </si>
  <si>
    <t>CÔNG TY CỔ PHẦN THỦY ĐIỆN QUẾ PHONG</t>
  </si>
  <si>
    <t>CÔNG TY CỔ PHẦN TÂN CẢNG QUY NHƠN</t>
  </si>
  <si>
    <t>QST</t>
  </si>
  <si>
    <t>CÔNG TY CỔ PHẦN SÁCH VÀ THIẾT BỊ TRƯỜNG HỌC QUẢNG NINH</t>
  </si>
  <si>
    <t>CÔNG TY CỔ PHẦN CÔNG TRÌNH GIAO THÔNG VẬN TẢI QUẢNG NAM</t>
  </si>
  <si>
    <t>QTP</t>
  </si>
  <si>
    <t>CÔNG TY CỔ PHẦN NHIỆT ĐIỆN QUẢNG NINH</t>
  </si>
  <si>
    <t>RAL</t>
  </si>
  <si>
    <t>CÔNG TY CỔ PHẦN BÓNG ĐÈN PHÍCH NƯỚC RẠNG ĐÔNG</t>
  </si>
  <si>
    <t>CÔNG TY CỔ PHẦN VẬN TẢI VÀ THƯƠNG MẠI ĐƯỜNG SẮT</t>
  </si>
  <si>
    <t>RBC</t>
  </si>
  <si>
    <t>CÔNG TY CỔ PHẦN CÔNG NGHIỆP VÀ XUẤT NHẬP KHẨU CAO SU</t>
  </si>
  <si>
    <t>CÔNG TY CỔ PHẦN TỔNG CÔNG TY CÔNG TRÌNH ĐƯỜNG SẮT</t>
  </si>
  <si>
    <t>CÔNG TY CỔ PHẦN XÂY DỰNG - ĐỊA ỐC CAO SU</t>
  </si>
  <si>
    <t>RCL</t>
  </si>
  <si>
    <t>CÔNG TY CỔ PHẦN ĐỊA ỐC CHỢ LỚN</t>
  </si>
  <si>
    <t>RDP</t>
  </si>
  <si>
    <t>CÔNG TY CỔ PHẦN RẠNG ĐÔNG HOLDING</t>
  </si>
  <si>
    <t>REE</t>
  </si>
  <si>
    <t>CÔNG TY CỔ PHẦN CƠ ĐIỆN LẠNH</t>
  </si>
  <si>
    <t>RIC</t>
  </si>
  <si>
    <t>CÔNG TY CỔ PHẦN QUỐC TẾ HOÀNG GIA</t>
  </si>
  <si>
    <t>RTB</t>
  </si>
  <si>
    <t>CÔNG TY CỔ PHẦN CAO SU TÂN BIÊN</t>
  </si>
  <si>
    <t>CÔNG TY CỔ PHẦN SÔNG ĐÀ 12</t>
  </si>
  <si>
    <t>CÔNG TY CỔ PHẦN SÔNG ĐÀ 27</t>
  </si>
  <si>
    <t>S4A</t>
  </si>
  <si>
    <t>CÔNG TY CỔ PHẦN THỦY ĐIỆN SÊ SAN 4A</t>
  </si>
  <si>
    <t>CÔNG TY CỔ PHẦN SÔNG ĐÀ 505</t>
  </si>
  <si>
    <t>CÔNG TY CỔ PHẦN SÔNG ĐÀ 7.02</t>
  </si>
  <si>
    <t>CÔNG TY CỔ PHẦN SÔNG ĐÀ 7.04</t>
  </si>
  <si>
    <t>CÔNG TY CỔ PHẦN SÔNG ĐÀ 9.06</t>
  </si>
  <si>
    <t>CÔNG TY CỔ PHẦN SCI</t>
  </si>
  <si>
    <t>SAB</t>
  </si>
  <si>
    <t>TỔNG CÔNG TY CỔ PHẦN BIA - RƯỢU - NƯỚC GIẢI KHÁT SÀI GÒN</t>
  </si>
  <si>
    <t>CÔNG TY CỔ PHẦN XẾP DỠ VÀ DỊCH VỤ CẢNG SÀI GÒN</t>
  </si>
  <si>
    <t>SAF</t>
  </si>
  <si>
    <t>CÔNG TY CỔ PHẦN LƯƠNG THỰC THỰC PHẨM SAFOCO</t>
  </si>
  <si>
    <t>CÔNG TY CỔ PHẦN TRỤC VỚT CỨU HỘ VIỆT NAM</t>
  </si>
  <si>
    <t>SAM</t>
  </si>
  <si>
    <t>CÔNG TY CỔ PHẦN SAM HOLDINGS</t>
  </si>
  <si>
    <t>SAP</t>
  </si>
  <si>
    <t>CÔNG TY CỔ PHẦN IN SÁCH GIÁO KHOA TẠI TP.HỒ CHÍ MINH</t>
  </si>
  <si>
    <t>SAS</t>
  </si>
  <si>
    <t>CÔNG TY CỔ PHẦN DỊCH VỤ HÀNG KHÔNG SÂN BAY TÂN SƠN NHẤT</t>
  </si>
  <si>
    <t>SAV</t>
  </si>
  <si>
    <t>CÔNG TY CỔ PHẦN HỢP TÁC KINH TẾ VÀ XUẤT NHẬP KHẨU SAVIMEX</t>
  </si>
  <si>
    <t>SB1</t>
  </si>
  <si>
    <t>CÔNG TY CỔ PHẦN BIA SÀI GÒN - NGHỆ TĨNH</t>
  </si>
  <si>
    <t>SBA</t>
  </si>
  <si>
    <t>CÔNG TY CỔ PHẦN SÔNG BA</t>
  </si>
  <si>
    <t>SBB</t>
  </si>
  <si>
    <t>CÔNG TY CỔ PHẦN TẬP ĐOÀN BIA SÀI GÒN BÌNH TÂY</t>
  </si>
  <si>
    <t>SBD</t>
  </si>
  <si>
    <t>CÔNG TY CỔ PHẦN CÔNG NGHỆ SAO BẮC ĐẨU</t>
  </si>
  <si>
    <t>SBG</t>
  </si>
  <si>
    <t>CÔNG TY CỔ PHẦN TẬP ĐOÀN CƠ KHÍ CÔNG NGHỆ CAO SIBA</t>
  </si>
  <si>
    <t>SBH</t>
  </si>
  <si>
    <t>CÔNG TY CỔ PHẦN THỦY ĐIỆN SÔNG BA HẠ</t>
  </si>
  <si>
    <t>SBL</t>
  </si>
  <si>
    <t>CÔNG TY CỔ PHẦN BIA SÀI GÒN - BẠC LIÊU</t>
  </si>
  <si>
    <t>CÔNG TY CỔ PHẦN ĐẦU TƯ PHÁT TRIỂN BẮC MINH</t>
  </si>
  <si>
    <t>SBR</t>
  </si>
  <si>
    <t>CÔNG TY CỔ PHẦN CAO SU SÔNG BÉ</t>
  </si>
  <si>
    <t>SBS</t>
  </si>
  <si>
    <t>CÔNG TY CỔ PHẦN CHỨNG KHOÁN NGÂN HÀNG SÀI GÒN THƯƠNG TÍN</t>
  </si>
  <si>
    <t>SBT</t>
  </si>
  <si>
    <t>CÔNG TY CỔ PHẦN THÀNH THÀNH CÔNG - BIÊN HÒA</t>
  </si>
  <si>
    <t>SBV</t>
  </si>
  <si>
    <t>CÔNG TY CỔ PHẦN SIAM BROTHERS VIỆT NAM</t>
  </si>
  <si>
    <t>SC5</t>
  </si>
  <si>
    <t>CÔNG TY CỔ PHẦN XÂY DỰNG SỐ 5</t>
  </si>
  <si>
    <t>CÔNG TY CỔ PHẦN ĐẦU TƯ THƯƠNG MẠI HƯNG LONG TỈNH HÒA BÌNH</t>
  </si>
  <si>
    <t>SCD</t>
  </si>
  <si>
    <t>CÔNG TY CỔ PHẦN NƯỚC GIẢI KHÁT CHƯƠNG DƯƠNG</t>
  </si>
  <si>
    <t>CÔNG TY CỔ PHẦN XÂY DỰNG SCG</t>
  </si>
  <si>
    <t>CÔNG TY CỔ PHẦN SCI E&amp;C</t>
  </si>
  <si>
    <t>CÔNG TY CỔ PHẦN XI MĂNG SÀI SƠN</t>
  </si>
  <si>
    <t>CÔNG TY CỔ PHẦN SÔNG ĐÀ CAO CƯỜNG</t>
  </si>
  <si>
    <t>CÔNG TY CỔ PHẦN CÔNG NGHIỆP THỦY SẢN</t>
  </si>
  <si>
    <t>SCR</t>
  </si>
  <si>
    <t>CÔNG TY CỔ PHẦN ĐỊA ỐC SÀI GÒN THƯƠNG TÍN</t>
  </si>
  <si>
    <t>SCS</t>
  </si>
  <si>
    <t>CÔNG TY CỔ PHẦN DỊCH VỤ HÀNG HÓA SÀI GÒN</t>
  </si>
  <si>
    <t>CÔNG TY CỔ PHẦN ĐÓNG TÀU SÔNG CẤM</t>
  </si>
  <si>
    <t>CÔNG TY CỔ PHẦN SÔNG ĐÀ 1</t>
  </si>
  <si>
    <t>CÔNG TY CỔ PHẦN SÔNG ĐÀ 2</t>
  </si>
  <si>
    <t>CÔNG TY CỔ PHẦN SÔNG ĐÀ 3</t>
  </si>
  <si>
    <t>CÔNG TY CỔ PHẦN SÔNG ĐÀ 4</t>
  </si>
  <si>
    <t>CÔNG TY CỔ PHẦN SÔNG ĐÀ 5</t>
  </si>
  <si>
    <t>CÔNG TY CỔ PHẦN SÔNG ĐÀ 6</t>
  </si>
  <si>
    <t>CÔNG TY CỔ PHẦN SÔNG ĐÀ 7</t>
  </si>
  <si>
    <t>CÔNG TY CỔ PHẦN SÔNG ĐÀ 8</t>
  </si>
  <si>
    <t>CÔNG TY CỔ PHẦN SÔNG ĐÀ 9</t>
  </si>
  <si>
    <t>CÔNG TY CỔ PHẦN SIMCO SÔNG ĐÀ</t>
  </si>
  <si>
    <t>CÔNG TY CỔ PHẦN SÔNG ĐÀ 207</t>
  </si>
  <si>
    <t>CÔNG TY CỔ PHẦN TƯ VẤN SÔNG ĐÀ</t>
  </si>
  <si>
    <t>CÔNG TY CỔ PHẦN ĐẦU TƯ VÀ XÂY LẮP SÔNG ĐÀ</t>
  </si>
  <si>
    <t>CÔNG TY CỔ PHẦN SADICO CẦN THƠ</t>
  </si>
  <si>
    <t>CÔNG TY CỔ PHẦN SÔNG ĐÀ 25</t>
  </si>
  <si>
    <t>CÔNG TY CỔ PHẦN CƠ KHÍ LUYỆN KIM</t>
  </si>
  <si>
    <t>CÔNG TY CỔ PHẦN SƠN ĐỒNG NAI</t>
  </si>
  <si>
    <t>CÔNG TY CỔ PHẦN SDP</t>
  </si>
  <si>
    <t>CÔNG TY CỔ PHẦN SÔNG ĐÀ 10</t>
  </si>
  <si>
    <t>CÔNG TY CỔ PHẦN ĐẦU TƯ XÂY DỰNG VÀ PHÁT TRIỂN ĐÔ THỊ SÔNG ĐÀ</t>
  </si>
  <si>
    <t>CÔNG TY CỔ PHẦN DỊCH VỤ SONADEZI</t>
  </si>
  <si>
    <t>CÔNG TY CỔ PHẦN PHÒNG CHÁY CHỮA CHÁY VÀ ĐẦU TƯ XÂY DỰNG SÔNG ĐÀ</t>
  </si>
  <si>
    <t>CÔNG TY CỔ PHẦN XI MĂNG SÔNG ĐÀ YALY</t>
  </si>
  <si>
    <t>SEA</t>
  </si>
  <si>
    <t>TỔNG CÔNG TY THỦY SẢN VIỆT NAM – CÔNG TY CỔ PHẦN</t>
  </si>
  <si>
    <t>SEB</t>
  </si>
  <si>
    <t>CÔNG TY CỔ PHẦN ĐẦU TƯ VÀ PHÁT TRIỂN ĐIỆN MIỀN TRUNG</t>
  </si>
  <si>
    <t>SED</t>
  </si>
  <si>
    <t>CÔNG TY CỔ PHẦN ĐẦU TƯ VÀ PHÁT TRIỂN GIÁO DỤC PHƯƠNG NAM</t>
  </si>
  <si>
    <t>SEP</t>
  </si>
  <si>
    <t>CÔNG TY CỔ PHẦN TỔNG CÔNG TY THƯƠNG MẠI QUẢNG TRỊ</t>
  </si>
  <si>
    <t>SFC</t>
  </si>
  <si>
    <t>CÔNG TY CỔ PHẦN NHIÊN LIỆU SÀI GÒN</t>
  </si>
  <si>
    <t>SFG</t>
  </si>
  <si>
    <t>CÔNG TY CỔ PHẦN PHÂN BÓN MIỀN NAM</t>
  </si>
  <si>
    <t>CÔNG TY CỔ PHẦN ĐẠI LÝ VẬN TẢI SAFI</t>
  </si>
  <si>
    <t>CÔNG TY CỔ PHẦN DỆT LƯỚI SÀI GÒN</t>
  </si>
  <si>
    <t>SGB</t>
  </si>
  <si>
    <t>NGÂN HÀNG TMCP SÀI GÒN CÔNG THƯƠNG</t>
  </si>
  <si>
    <t>SGC</t>
  </si>
  <si>
    <t>CÔNG TY CỔ PHẦN XUẤT NHẬP KHẨU SA GIANG</t>
  </si>
  <si>
    <t>SGD</t>
  </si>
  <si>
    <t>CÔNG TY CỔ PHẦN SÁCH GIÁO DỤC TẠI T.P HỒ CHÍ MINH</t>
  </si>
  <si>
    <t>SGH</t>
  </si>
  <si>
    <t>CÔNG TY CỔ PHẦN KHÁCH SẠN SÀI GÒN</t>
  </si>
  <si>
    <t>SGI</t>
  </si>
  <si>
    <t>CÔNG TY CỔ PHẦN ĐẦU TƯ PHÁT TRIỂN SÀI GÒN 3 GROUP</t>
  </si>
  <si>
    <t>CÔNG TY CỔ PHẦN PHỤC VỤ MẶT ĐẤT SÀI GÒN</t>
  </si>
  <si>
    <t>CÔNG TY CỔ PHẦN CẢNG SÀI GÒN</t>
  </si>
  <si>
    <t>SGR</t>
  </si>
  <si>
    <t>CÔNG TY CỔ PHẦN TỔNG CÔNG TY CỔ PHẦN ĐỊA ỐC SÀI GÒN</t>
  </si>
  <si>
    <t>CÔNG TY CỔ PHẦN VẬN TẢI BIỂN SÀI GÒN</t>
  </si>
  <si>
    <t>SGT</t>
  </si>
  <si>
    <t>CÔNG TY CỔ PHẦN CÔNG NGHỆ VIỄN THÔNG SÀI GÒN</t>
  </si>
  <si>
    <t>INTERNET</t>
  </si>
  <si>
    <t>SHA</t>
  </si>
  <si>
    <t>CÔNG TY CỔ PHẦN SƠN HÀ SÀI GÒN</t>
  </si>
  <si>
    <t>NGÂN HÀNG THƯƠNG MẠI CỔ PHẦN SÀI GÒN - HÀ NỘI</t>
  </si>
  <si>
    <t>CÔNG TY CỔ PHẦN HÀNG HẢI SÀI GÒN</t>
  </si>
  <si>
    <t>SHE</t>
  </si>
  <si>
    <t>CÔNG TY CỔ PHẦN PHÁT TRIỂN NĂNG LƯỢNG SƠN HÀ</t>
  </si>
  <si>
    <t>TỔNG CÔNG TY CỔ PHẦN SÔNG HỒNG</t>
  </si>
  <si>
    <t>SHI</t>
  </si>
  <si>
    <t>CÔNG TY CỔ PHẦN QUỐC TẾ SƠN HÀ</t>
  </si>
  <si>
    <t>SHN</t>
  </si>
  <si>
    <t>CÔNG TY CỔ PHẦN ĐẦU TƯ TỔNG HỢP HÀ NỘI</t>
  </si>
  <si>
    <t>SHP</t>
  </si>
  <si>
    <t>CÔNG TY CỔ PHẦN THỦY ĐIỆN MIỀN NAM</t>
  </si>
  <si>
    <t>SHS</t>
  </si>
  <si>
    <t>CÔNG TY CỔ PHẦN CHỨNG KHOÁN SÀI GÒN HÀ NỘI</t>
  </si>
  <si>
    <t>SID</t>
  </si>
  <si>
    <t>CÔNG TY CỔ PHẦN ĐẦU TƯ PHÁT TRIỂN SÀI GÒN CO.OP</t>
  </si>
  <si>
    <t>CÔNG TY CỔ PHẦN ĐẦU TƯ VÀ THƯƠNG MẠI SÔNG ĐÀ</t>
  </si>
  <si>
    <t>SII</t>
  </si>
  <si>
    <t>CÔNG TY CỔ PHẦN HẠ TẦNG NƯỚC SÀI GÒN</t>
  </si>
  <si>
    <t>SIP</t>
  </si>
  <si>
    <t>CÔNG TY CỔ PHẦN ĐẦU TƯ SÀI GÒN VRG</t>
  </si>
  <si>
    <t>SIV</t>
  </si>
  <si>
    <t>CÔNG TY CỔ PHẦN SIVICO</t>
  </si>
  <si>
    <t>SJ1</t>
  </si>
  <si>
    <t>CÔNG TY CỔ PHẦN NÔNG NGHIỆP HÙNG HẬU</t>
  </si>
  <si>
    <t>CÔNG TY CỔ PHẦN SÔNG ĐÀ 1.01</t>
  </si>
  <si>
    <t>SJD</t>
  </si>
  <si>
    <t>CÔNG TY CỔ PHẦN THỦY ĐIỆN CẦN ĐƠN</t>
  </si>
  <si>
    <t>CÔNG TY CỔ PHẦN SÔNG ĐÀ 11</t>
  </si>
  <si>
    <t>SJF</t>
  </si>
  <si>
    <t>CÔNG TY CỔ PHẦN ĐẦU TƯ SAO THÁI DƯƠNG</t>
  </si>
  <si>
    <t>TỔNG CÔNG TY SÔNG ĐÀ - CTCP</t>
  </si>
  <si>
    <t>CÔNG TY CỔ PHẦN SÔNG ĐÀ 19</t>
  </si>
  <si>
    <t>SJS</t>
  </si>
  <si>
    <t>CÔNG TY CỔ PHẦN ĐẦU TƯ PHÁT TRIỂN ĐÔ THỊ VÀ KHU CÔNG NGHIỆP SÔNG ĐÀ</t>
  </si>
  <si>
    <t>SKG</t>
  </si>
  <si>
    <t>CÔNG TY CỔ PHẦN TÀU CAO TỐC SUPERDONG – KIÊN GIANG</t>
  </si>
  <si>
    <t>SKH</t>
  </si>
  <si>
    <t>CÔNG TY CỔ PHẦN NƯỚC GIẢI KHÁT SANEST KHÁNH HÒA</t>
  </si>
  <si>
    <t>SKN</t>
  </si>
  <si>
    <t>CÔNG TY CỔ PHẦN NƯỚC GIẢI KHÁT SANNA KHÁNH HÒA</t>
  </si>
  <si>
    <t>SKV</t>
  </si>
  <si>
    <t>CÔNG TY CỔ PHẦN NƯỚC GIẢI KHÁT YẾN SÀO KHÁNH HÒA</t>
  </si>
  <si>
    <t>SLS</t>
  </si>
  <si>
    <t>CÔNG TY CỔ PHẦN MÍA ĐƯỜNG SƠN LA</t>
  </si>
  <si>
    <t>SMA</t>
  </si>
  <si>
    <t>CÔNG TY CỔ PHẦN THIẾT BỊ PHỤ TÙNG SÀI GÒN</t>
  </si>
  <si>
    <t>SMB</t>
  </si>
  <si>
    <t>CÔNG TY CỔ PHẦN BIA SÀI GÒN - MIỀN TRUNG</t>
  </si>
  <si>
    <t>SMC</t>
  </si>
  <si>
    <t>CÔNG TY CỔ PHẦN ÐẦU TƯ THƯƠNG MẠI SMC</t>
  </si>
  <si>
    <t>SMN</t>
  </si>
  <si>
    <t>CÔNG TY CỔ PHẦN SÁCH VÀ THIẾT BỊ GIÁO DỤC MIỀN NAM</t>
  </si>
  <si>
    <t>SMT</t>
  </si>
  <si>
    <t>CÔNG TY CỔ PHẦN SAMETEL</t>
  </si>
  <si>
    <t>SNC</t>
  </si>
  <si>
    <t>CÔNG TY CỔ PHẦN XUẤT NHẬP KHẨU THỦY SẢN NĂM CĂN</t>
  </si>
  <si>
    <t>TỔNG CÔNG TY CỔ PHẦN PHÁT TRIỂN KHU CÔNG NGHIỆP</t>
  </si>
  <si>
    <t>SP2</t>
  </si>
  <si>
    <t>CÔNG TY CỔ PHẦN THỦY ĐIỆN SỬ PÁN 2</t>
  </si>
  <si>
    <t>SPB</t>
  </si>
  <si>
    <t>CÔNG TY CỔ PHẦN SỢI PHÚ BÀI</t>
  </si>
  <si>
    <t>SPC</t>
  </si>
  <si>
    <t>CÔNG TY CỔ PHẦN BẢO VỆ THỰC VẬT SÀI GÒN</t>
  </si>
  <si>
    <t>SPD</t>
  </si>
  <si>
    <t>CÔNG TY CỔ PHẦN XUẤT NHẬP KHẨU THỦY SẢN MIỀN TRUNG</t>
  </si>
  <si>
    <t>SPH</t>
  </si>
  <si>
    <t>CÔNG TY CỔ PHẦN XUẤT NHẬP KHẨU THỦY SẢN HÀ NỘI</t>
  </si>
  <si>
    <t>SPI</t>
  </si>
  <si>
    <t>CÔNG TY CỔ PHẦN SPIRAL GALAXY</t>
  </si>
  <si>
    <t>SPM</t>
  </si>
  <si>
    <t>CÔNG TY CỔ PHẦN S.P.M</t>
  </si>
  <si>
    <t>SPV</t>
  </si>
  <si>
    <t>CÔNG TY CỔ PHẦN THỦY ĐẶC SẢN</t>
  </si>
  <si>
    <t>SQC</t>
  </si>
  <si>
    <t>CÔNG TY CỔ PHẦN KHOÁNG SẢN SÀI GÒN - QUY NHƠN</t>
  </si>
  <si>
    <t>SRA</t>
  </si>
  <si>
    <t>CÔNG TY CỔ PHẦN SARA VIỆT NAM</t>
  </si>
  <si>
    <t>SRB</t>
  </si>
  <si>
    <t>CÔNG TY CỔ PHẦN TẬP ĐOÀN SARA</t>
  </si>
  <si>
    <t>SRC</t>
  </si>
  <si>
    <t>CÔNG TY CỔ PHẦN CAO SU SAO VÀNG</t>
  </si>
  <si>
    <t>SRF</t>
  </si>
  <si>
    <t>CÔNG TY CỔ PHẦN SEAREFICO</t>
  </si>
  <si>
    <t>SRT</t>
  </si>
  <si>
    <t>CÔNG TY CỔ PHẦN VẬN TẢI ĐƯỜNG SẮT SÀI GÒN</t>
  </si>
  <si>
    <t>SSB</t>
  </si>
  <si>
    <t>NGÂN HÀNG THƯƠNG MẠI CỔ PHẦN ĐÔNG NAM Á</t>
  </si>
  <si>
    <t>SSC</t>
  </si>
  <si>
    <t>CÔNG TY CỔ PHẦN GIỐNG CÂY TRỒNG MIỀN NAM</t>
  </si>
  <si>
    <t>SSF</t>
  </si>
  <si>
    <t>CÔNG TY CỔ PHẦN GIẦY SÀI GÒN</t>
  </si>
  <si>
    <t>CÔNG TY CỔ PHẦN VẬN TẢI BIỂN HẢI ÂU</t>
  </si>
  <si>
    <t>SSH</t>
  </si>
  <si>
    <t>CÔNG TY CỔ PHẦN PHÁT TRIỂN SUNSHINE HOMES</t>
  </si>
  <si>
    <t>CÔNG TY CỔ PHẦN CHỨNG KHOÁN SSI</t>
  </si>
  <si>
    <t>SSM</t>
  </si>
  <si>
    <t>CÔNG TY CỔ PHẦN CHẾ TẠO KẾT CẤU THÉP VNECO.SSM</t>
  </si>
  <si>
    <t>SSN</t>
  </si>
  <si>
    <t>CÔNG TY CỔ PHẦN XUẤT NHẬP KHẨU THỦY SẢN SÀI GÒN</t>
  </si>
  <si>
    <t>ST8</t>
  </si>
  <si>
    <t>CÔNG TY CỔ PHẦN SIÊU THANH</t>
  </si>
  <si>
    <t>THIẾT BỊ VĂN PHÒNG</t>
  </si>
  <si>
    <t>STB</t>
  </si>
  <si>
    <t>NGÂN HÀNG THƯƠNG MẠI CỔ PHẦN SÀI GÒN THƯƠNG TÍN</t>
  </si>
  <si>
    <t>STC</t>
  </si>
  <si>
    <t>CÔNG TY CỔ PHẦN SÁCH VÀ THIẾT BỊ TRƯỜNG HỌC TP. HỒ CHÍ MINH</t>
  </si>
  <si>
    <t>CÔNG TY CỔ PHẦN KHO VẬN MIỀN NAM</t>
  </si>
  <si>
    <t>STH</t>
  </si>
  <si>
    <t>CÔNG TY CỔ PHẦN PHÁT HÀNH SÁCH THÁI NGUYÊN</t>
  </si>
  <si>
    <t>STK</t>
  </si>
  <si>
    <t>CÔNG TY CỔ PHẦN SỢI THẾ KỶ</t>
  </si>
  <si>
    <t>STL</t>
  </si>
  <si>
    <t>CÔNG TY CỔ PHẦN SÔNG ĐÀ - THĂNG LONG</t>
  </si>
  <si>
    <t>CÔNG TY CỔ PHẦN CÔNG NGHIỆP THƯƠNG MẠI SÔNG ĐÀ</t>
  </si>
  <si>
    <t>CÔNG TY CỔ PHẦN DỊCH VỤ VẬN TẢI SÀI GÒN</t>
  </si>
  <si>
    <t>STT</t>
  </si>
  <si>
    <t>CÔNG TY CỔ PHẦN VẬN CHUYỂN SÀI GÒN TOURIST</t>
  </si>
  <si>
    <t>STW</t>
  </si>
  <si>
    <t>CÔNG TY CỔ PHẦN CẤP NƯỚC SÓC TRĂNG</t>
  </si>
  <si>
    <t>SVC</t>
  </si>
  <si>
    <t>CÔNG TY CỔ PHẦN DỊCH VỤ TỔNG HỢP SÀI GÒN</t>
  </si>
  <si>
    <t>SVD</t>
  </si>
  <si>
    <t>CÔNG TY CỔ PHẦN ĐẦU TƯ VÀ THƯƠNG MẠI VŨ ĐĂNG</t>
  </si>
  <si>
    <t>CÔNG TY CỔ PHẦN HƠI KỸ NGHỆ QUE HÀN</t>
  </si>
  <si>
    <t>SVH</t>
  </si>
  <si>
    <t>CÔNG TY CỔ PHẦN THỦY ĐIỆN SÔNG VÀNG</t>
  </si>
  <si>
    <t>SVI</t>
  </si>
  <si>
    <t>CÔNG TY CỔ PHẦN BAO BÌ BIÊN HÒA</t>
  </si>
  <si>
    <t>CÔNG TY CỔ PHẦN TẬP ĐOÀN VEXILLA VIỆT NAM</t>
  </si>
  <si>
    <t>SVT</t>
  </si>
  <si>
    <t>CÔNG TY CỔ PHẦN CÔNG NGHỆ SÀI GÒN VIỄN ĐÔNG</t>
  </si>
  <si>
    <t>TỔNG CÔNG TY CỔ PHẦN ĐƯỜNG SÔNG MIỀN NAM</t>
  </si>
  <si>
    <t>SZB</t>
  </si>
  <si>
    <t>CÔNG TY CỔ PHẦN SONADEZI LONG BÌNH</t>
  </si>
  <si>
    <t>SZC</t>
  </si>
  <si>
    <t>CÔNG TY CỔ PHẦN SONADEZI CHÂU ĐỨC</t>
  </si>
  <si>
    <t>CÔNG TY CỔ PHẦN MÔI TRƯỜNG SONADEZI</t>
  </si>
  <si>
    <t>CÔNG TY CỔ PHẦN ĐẦU TƯ VÀ XÂY LẮP THÀNH AN 665</t>
  </si>
  <si>
    <t>CÔNG TY CỔ PHẦN XÂY LẮP THÀNH AN 96</t>
  </si>
  <si>
    <t>TAL</t>
  </si>
  <si>
    <t>CÔNG TY CỔ PHẦN ĐẦU TƯ BẤT ĐỘNG SẢN TASECO</t>
  </si>
  <si>
    <t>TAN</t>
  </si>
  <si>
    <t>CÔNG TY TNHH MỘT THÀNH VIÊN CÀ PHÊ THUẬN AN</t>
  </si>
  <si>
    <t>TAR</t>
  </si>
  <si>
    <t>CÔNG TY CỔ PHẦN NÔNG NGHIỆP CÔNG NGHỆ CAO TRUNG AN</t>
  </si>
  <si>
    <t>TAW</t>
  </si>
  <si>
    <t>CÔNG TY CỔ PHẦN CẤP NƯỚC TRUNG AN</t>
  </si>
  <si>
    <t>CÔNG TY CỔ PHẦN SẢN XUẤT VÀ KINH DOANH VẬT TƯ THIẾT BỊ - VVMI</t>
  </si>
  <si>
    <t>TBC</t>
  </si>
  <si>
    <t>CÔNG TY CỔ PHẦN THỦY ĐIỆN THÁC BÀ</t>
  </si>
  <si>
    <t>TỔNG CÔNG TY THIẾT BỊ ĐIỆN ĐÔNG ANH - CÔNG TY CỔ PHẦN</t>
  </si>
  <si>
    <t>CÔNG TY CỔ PHẦN TỔNG BÁCH HÓA</t>
  </si>
  <si>
    <t>TBR</t>
  </si>
  <si>
    <t>CÔNG TY CỔ PHẦN ĐỊA ỐC TÂN BÌNH</t>
  </si>
  <si>
    <t>CÔNG TY CỔ PHẦN XÂY DỰNG CÔNG TRÌNH GIAO THÔNG BẾN TRE</t>
  </si>
  <si>
    <t>TBW</t>
  </si>
  <si>
    <t>CÔNG TY CỔ PHẦN NƯỚC SẠCH THÁI BÌNH</t>
  </si>
  <si>
    <t>CÔNG TY CỔ PHẦN XI MĂNG THÁI BÌNH</t>
  </si>
  <si>
    <t>NGÂN HÀNG TMCP KỸ THƯƠNG VIỆT NAM (TECHCOMBANK)</t>
  </si>
  <si>
    <t>TCD</t>
  </si>
  <si>
    <t>CÔNG TY CỔ PHẦN ĐẦU TƯ PHÁT TRIỂN CÔNG NGHIỆP VÀ VẬN TẢI</t>
  </si>
  <si>
    <t>TCH</t>
  </si>
  <si>
    <t>CÔNG TY CỔ PHẦN ĐẦU TƯ DỊCH VỤ TÀI CHÍNH HOÀNG HUY</t>
  </si>
  <si>
    <t>TCI</t>
  </si>
  <si>
    <t>CÔNG TY CỔ PHẦN CHỨNG KHOÁN THÀNH CÔNG</t>
  </si>
  <si>
    <t>TCJ</t>
  </si>
  <si>
    <t>CÔNG TY CỔ PHẦN TÔ CHÂU</t>
  </si>
  <si>
    <t>TỔNG CÔNG TY CƠ KHÍ XÂY DỰNG - CTCP</t>
  </si>
  <si>
    <t>TCL</t>
  </si>
  <si>
    <t>CÔNG TY CỔ PHẦN ĐẠI LÝ GIAO NHẬN VẬN TẢI XẾP DỠ TÂN CẢNG</t>
  </si>
  <si>
    <t>TCM</t>
  </si>
  <si>
    <t>CÔNG TY CỔ PHẦN DỆT MAY - ĐẦU TƯ - THƯƠNG MẠI THÀNH CÔNG</t>
  </si>
  <si>
    <t>TCO</t>
  </si>
  <si>
    <t>CÔNG TY CỔ PHẦN VẬN TẢI ĐA PHƯƠNG THỨC DUYÊN HẢI</t>
  </si>
  <si>
    <t>CÔNG TY CỔ PHẦN CÔNG NGHIỆP GỐM SỨ TAICERA</t>
  </si>
  <si>
    <t>TCT</t>
  </si>
  <si>
    <t>CÔNG TY CỔ PHẦN CÁP TREO NÚI BÀ TÂY NINH</t>
  </si>
  <si>
    <t>CÔNG TY CỔ PHẦN KHO VẬN TÂN CẢNG</t>
  </si>
  <si>
    <t>TDB</t>
  </si>
  <si>
    <t>CÔNG TY CỔ PHẦN THỦY ĐIỆN ĐỊNH BÌNH</t>
  </si>
  <si>
    <t>TDC</t>
  </si>
  <si>
    <t>CÔNG TY CỔ PHẦN KINH DOANH VÀ PHÁT TRIỂN BÌNH DƯƠNG</t>
  </si>
  <si>
    <t>CÔNG TY CỔ PHẦN TRUNG ĐÔ</t>
  </si>
  <si>
    <t>TDG</t>
  </si>
  <si>
    <t>CÔNG TY CỔ PHẦN ĐẦU TƯ TDG GLOBAL</t>
  </si>
  <si>
    <t>TDH</t>
  </si>
  <si>
    <t>CÔNG TY CỔ PHẦN PHÁT TRIỂN NHÀ THỦ ĐỨC</t>
  </si>
  <si>
    <t>TDM</t>
  </si>
  <si>
    <t>CÔNG TY CỔ PHẦN NƯỚC THỦ DẦU MỘT</t>
  </si>
  <si>
    <t>TDP</t>
  </si>
  <si>
    <t>CÔNG TY CỔ PHẦN THUẬN ĐỨC</t>
  </si>
  <si>
    <t>TDS</t>
  </si>
  <si>
    <t>CÔNG TY CỔ PHẦN THÉP THỦ ĐỨC - VNSTEEL</t>
  </si>
  <si>
    <t>TDT</t>
  </si>
  <si>
    <t>CÔNG TY CỔ PHẦN ĐẦU TƯ VÀ PHÁT TRIỂN TDT</t>
  </si>
  <si>
    <t>TDW</t>
  </si>
  <si>
    <t>CÔNG TY CỔ PHẦN CẤP NƯỚC THỦ ĐỨC</t>
  </si>
  <si>
    <t>TỔNG CÔNG TY TƯ VẤN THIẾT KẾ GIAO THÔNG VẬN TẢI - CTCP</t>
  </si>
  <si>
    <t>TEG</t>
  </si>
  <si>
    <t>CÔNG TY CỔ PHẦN NĂNG LƯỢNG VÀ BẤT ĐỘNG SẢN TRƯỜNG THÀNH</t>
  </si>
  <si>
    <t>CÔNG TY CỔ PHẦN PHÁT TRIỂN CÔNG TRÌNH VIỄN THÔNG</t>
  </si>
  <si>
    <t>TET</t>
  </si>
  <si>
    <t>CÔNG TY CỔ PHẦN VẢI SỢI MAY MẶC MIỀN BẮC</t>
  </si>
  <si>
    <t>TFC</t>
  </si>
  <si>
    <t>CÔNG TY CỔ PHẦN TRANG</t>
  </si>
  <si>
    <t>CÔNG TY CỔ PHẦN LOUIS CAPITAL</t>
  </si>
  <si>
    <t>CÔNG TY CỔ PHẦN TRƯỜNG PHÚ</t>
  </si>
  <si>
    <t>TH1</t>
  </si>
  <si>
    <t>CÔNG TY CỔ PHẦN XUẤT NHẬP KHẨU TỔNG HỢP I VIỆT NAM</t>
  </si>
  <si>
    <t>THB</t>
  </si>
  <si>
    <t>CÔNG TY CỔ PHẦN BIA HÀ NỘI - THANH HÓA</t>
  </si>
  <si>
    <t>THD</t>
  </si>
  <si>
    <t>CÔNG TY CỔ PHẦN THAIHOLDINGS</t>
  </si>
  <si>
    <t>THG</t>
  </si>
  <si>
    <t>CÔNG TY CỔ PHẦN ĐẦU TƯ VÀ XÂY DỰNG TIỀN GIANG</t>
  </si>
  <si>
    <t>THM</t>
  </si>
  <si>
    <t>CÔNG TY CỔ PHẦN TỨ HẢI HÀ NAM</t>
  </si>
  <si>
    <t>THN</t>
  </si>
  <si>
    <t>CÔNG TY CỔ PHẦN CẤP NƯỚC THANH HÓA</t>
  </si>
  <si>
    <t>THP</t>
  </si>
  <si>
    <t>CÔNG TY CỔ PHẦN THỦY SẢN VÀ THƯƠNG MẠI THUẬN PHƯỚC</t>
  </si>
  <si>
    <t>THS</t>
  </si>
  <si>
    <t>CÔNG TY CỔ PHẦN THANH HOA - SÔNG ĐÀ</t>
  </si>
  <si>
    <t>THT</t>
  </si>
  <si>
    <t>CÔNG TY CỔ PHẦN THAN HÀ TU - VINACOMIN</t>
  </si>
  <si>
    <t>CÔNG TY CỔ PHẦN MÔI TRƯỜNG VÀ CÔNG TRÌNH ĐÔ THỊ THANH HÓA</t>
  </si>
  <si>
    <t>THW</t>
  </si>
  <si>
    <t>CÔNG TY CỔ PHẦN CẤP NƯỚC TÂN HÒA</t>
  </si>
  <si>
    <t>TID</t>
  </si>
  <si>
    <t>CÔNG TY CỔ PHẦN TỔNG CÔNG TY TÍN NGHĨA</t>
  </si>
  <si>
    <t>CÔNG TY CỔ PHẦN TIE</t>
  </si>
  <si>
    <t>TIG</t>
  </si>
  <si>
    <t>CÔNG TY CỔ PHẦN TẬP ĐOÀN ĐẦU TƯ THĂNG LONG</t>
  </si>
  <si>
    <t>TIN</t>
  </si>
  <si>
    <t>CÔNG TY TÀI CHÍNH CỔ PHẦN TÍN VIỆT</t>
  </si>
  <si>
    <t>QUẢN LÝ TÀI SẢN</t>
  </si>
  <si>
    <t>TIP</t>
  </si>
  <si>
    <t>CÔNG TY CỔ PHẦN PHÁT TRIỂN KHU CÔNG NGHIỆP TÍN NGHĨA</t>
  </si>
  <si>
    <t>TIS</t>
  </si>
  <si>
    <t>CÔNG TY CỔ PHẦN GANG THÉP THÁI NGUYÊN</t>
  </si>
  <si>
    <t>TIX</t>
  </si>
  <si>
    <t>CÔNG TY CỔ PHẦN SẢN XUẤT KINH DOANH XUẤT NHẬP KHẨU DỊCH VỤ VÀ ĐẦU TƯ TÂN BÌNH</t>
  </si>
  <si>
    <t>CÔNG TY CỔ PHẦN DỊCH VỤ VẬN TẢI VÀ THƯƠNG MẠI</t>
  </si>
  <si>
    <t>CÔNG TY CỔ PHẦN BAO BÌ TÂN KHÁNH AN</t>
  </si>
  <si>
    <t>CÔNG TY CỔ PHẦN XÂY DỰNG VÀ KINH DOANH ĐỊA ỐC TÂN KỶ</t>
  </si>
  <si>
    <t>TKG</t>
  </si>
  <si>
    <t>CÔNG TY CỔ PHẦN SẢN XUẤT VÀ THƯƠNG MẠI TÙNG KHÁNH</t>
  </si>
  <si>
    <t>TKU</t>
  </si>
  <si>
    <t>CÔNG TY CỔ PHẦN CÔNG NGHIỆP TUNG KUANG</t>
  </si>
  <si>
    <t>TỔNG CÔNG TY XÂY DỰNG THỦY LỢI 4 - CÔNG TY CỔ PHẦN</t>
  </si>
  <si>
    <t>TLD</t>
  </si>
  <si>
    <t>CÔNG TY CỔ PHẦN ĐẦU TƯ XÂY DỰNG VÀ PHÁT TRIỂN ĐÔ THỊ THĂNG LONG</t>
  </si>
  <si>
    <t>TLG</t>
  </si>
  <si>
    <t>CÔNG TY CỔ PHẦN TẬP ĐOÀN THIÊN LONG</t>
  </si>
  <si>
    <t>ĐỒ GIA DỤNG MỘT LẦN</t>
  </si>
  <si>
    <t>TLH</t>
  </si>
  <si>
    <t>CÔNG TY CỔ PHẦN TẬP ĐOÀN THÉP TIẾN LÊN</t>
  </si>
  <si>
    <t>TLI</t>
  </si>
  <si>
    <t>CÔNG TY CỔ PHẦN MAY QUỐC TẾ THẮNG LỢI</t>
  </si>
  <si>
    <t>TLP</t>
  </si>
  <si>
    <t>TỔNG CÔNG TY THƯƠNG MẠI XUẤT NHẬP KHẨU THANH LỄ - CÔNG TY CỔ PHẦN</t>
  </si>
  <si>
    <t>CÔNG TY CỔ PHẦN VIGLACERA THĂNG LONG</t>
  </si>
  <si>
    <t>TMB</t>
  </si>
  <si>
    <t>CÔNG TY CỔ PHẦN KINH DOANH THAN MIỀN BẮC - VINACOMIN</t>
  </si>
  <si>
    <t>TMC</t>
  </si>
  <si>
    <t>CÔNG TY CỔ PHẦN THƯƠNG MẠI - XUẤT NHẬP KHẨU THỦ ĐỨC</t>
  </si>
  <si>
    <t>TMG</t>
  </si>
  <si>
    <t>CÔNG TY CỔ PHẦN KIM LOẠI MÀU THÁI NGUYÊN - VIMICO</t>
  </si>
  <si>
    <t>TMP</t>
  </si>
  <si>
    <t>CÔNG TY CỔ PHẦN THỦY ĐIỆN THÁC MƠ</t>
  </si>
  <si>
    <t>CÔNG TY CỔ PHẦN TRANSIMEX</t>
  </si>
  <si>
    <t>TMT</t>
  </si>
  <si>
    <t>CÔNG TY CỔ PHẦN Ô TÔ TMT</t>
  </si>
  <si>
    <t>TMW</t>
  </si>
  <si>
    <t>CÔNG TY CỔ PHẦN TỔNG HỢP GỖ TÂN MAI</t>
  </si>
  <si>
    <t>CÔNG TY CỔ PHẦN VICEM THƯƠNG MẠI XI MĂNG</t>
  </si>
  <si>
    <t>TN1</t>
  </si>
  <si>
    <t>CÔNG TY CỔ PHẦN THƯƠNG MẠI DỊCH VỤ TNS HOLDINGS</t>
  </si>
  <si>
    <t>TNA</t>
  </si>
  <si>
    <t>CÔNG TY CỔ PHẦN THƯƠNG MẠI XUẤT NHẬP KHẨU THIÊN NAM</t>
  </si>
  <si>
    <t>TNB</t>
  </si>
  <si>
    <t>CÔNG TY CỔ PHẦN THÉP NHÀ BÈ - VNSTEEL</t>
  </si>
  <si>
    <t>TNC</t>
  </si>
  <si>
    <t>CÔNG TY CỔ PHẦN CAO SU THỐNG NHẤT</t>
  </si>
  <si>
    <t>TNG</t>
  </si>
  <si>
    <t>CÔNG TY CỔ PHẦN ĐẦU TƯ VÀ THƯƠNG MẠI TNG</t>
  </si>
  <si>
    <t>TNH</t>
  </si>
  <si>
    <t>CÔNG TY CỔ PHẦN BỆNH VIỆN QUỐC TẾ THÁI NGUYÊN</t>
  </si>
  <si>
    <t>CHĂM SÓC Y TẾ</t>
  </si>
  <si>
    <t>TNI</t>
  </si>
  <si>
    <t>CÔNG TY CỔ PHẦN TẬP ĐOÀN THÀNH NAM</t>
  </si>
  <si>
    <t>CÔNG TY CỔ PHẦN XUẤT NHẬP KHẨU VÀ XÂY DỰNG CÔNG TRÌNH</t>
  </si>
  <si>
    <t>CÔNG TY CỔ PHẦN CẢNG THỊ NẠI</t>
  </si>
  <si>
    <t>TNS</t>
  </si>
  <si>
    <t>CÔNG TY CỔ PHẦN THÉP TẤM LÁ THỐNG NHẤT</t>
  </si>
  <si>
    <t>TNT</t>
  </si>
  <si>
    <t>CÔNG TY CỔ PHẦN TẬP ĐOÀN TNT</t>
  </si>
  <si>
    <t>TNW</t>
  </si>
  <si>
    <t>CÔNG TY CỔ PHẦN NƯỚC SẠCH THÁI NGUYÊN</t>
  </si>
  <si>
    <t>TOP</t>
  </si>
  <si>
    <t>CÔNG TY CỔ PHẦN PHÂN PHỐI TOP ONE</t>
  </si>
  <si>
    <t>TOS</t>
  </si>
  <si>
    <t>CÔNG TY CỔ PHẦN DỊCH VỤ BIỂN TÂN CẢNG</t>
  </si>
  <si>
    <t>CÔNG TY CỔ PHẦN TRANSIMEX LOGISTICS</t>
  </si>
  <si>
    <t>TOW</t>
  </si>
  <si>
    <t>CÔNG TY CỔ PHẦN CẤP NƯỚC TRÀ NÓC - Ô MÔN</t>
  </si>
  <si>
    <t>TPB</t>
  </si>
  <si>
    <t>NGÂN HÀNG THƯƠNG MẠI CỔ PHẦN TIÊN PHONG</t>
  </si>
  <si>
    <t>TPC</t>
  </si>
  <si>
    <t>CÔNG TY CỔ PHẦN NHỰA TÂN ĐẠI HƯNG</t>
  </si>
  <si>
    <t>TPH</t>
  </si>
  <si>
    <t>CÔNG TY CỔ PHẦN IN SÁCH GIÁO KHOA TẠI T.P HÀ NỘI</t>
  </si>
  <si>
    <t>CÔNG TY CỔ PHẦN TÂN PHÚ VIỆT NAM</t>
  </si>
  <si>
    <t>TPS</t>
  </si>
  <si>
    <t>CÔNG TY CỔ PHẦN BẾN BÃI VẬN TẢI SÀI GÒN</t>
  </si>
  <si>
    <t>TQN</t>
  </si>
  <si>
    <t>CÔNG TY CỔ PHẦN THÔNG QUẢNG NINH</t>
  </si>
  <si>
    <t>TQW</t>
  </si>
  <si>
    <t>CÔNG TY CỔ PHẦN CẤP THOÁT NƯỚC TUYÊN QUANG</t>
  </si>
  <si>
    <t>CÔNG TY CỔ PHẦN VẬN TẢI 1 TRACO</t>
  </si>
  <si>
    <t>TRA</t>
  </si>
  <si>
    <t>CÔNG TY CỔ PHẦN TRAPHACO</t>
  </si>
  <si>
    <t>TRC</t>
  </si>
  <si>
    <t>CÔNG TY CỔ PHẦN CAO SU TÂY NINH</t>
  </si>
  <si>
    <t>CÔNG TY CỔ PHẦN VẬN TẢI VÀ DỊCH VỤ HÀNG HẢI</t>
  </si>
  <si>
    <t>CÔNG TY CỔ PHẦN REDSTARCERA</t>
  </si>
  <si>
    <t>CÔNG TY CỔ PHẦN TRƯỜNG SƠN 532</t>
  </si>
  <si>
    <t>TS4</t>
  </si>
  <si>
    <t>CÔNG TY CỔ PHẦN THỦY SẢN SỐ 4</t>
  </si>
  <si>
    <t>CÔNG TY CỔ PHẦN ẮC QUY TIA SÁNG</t>
  </si>
  <si>
    <t>TSC</t>
  </si>
  <si>
    <t>CÔNG TY CỔ PHẦN VẬT TƯ KỸ THUẬT NÔNG NGHIỆP CẦN THƠ</t>
  </si>
  <si>
    <t>TSD</t>
  </si>
  <si>
    <t>CÔNG TY CỔ PHẦN DU LỊCH TRƯỜNG SƠN COECCO</t>
  </si>
  <si>
    <t>CÔNG TY CỔ PHẦN THÔNG TIN TÍN HIỆU ĐƯỜNG SẮT SÀI GÒN</t>
  </si>
  <si>
    <t>TSJ</t>
  </si>
  <si>
    <t>CÔNG TY CỔ PHẦN DU LỊCH DỊCH VỤ HÀ NỘI</t>
  </si>
  <si>
    <t>TST</t>
  </si>
  <si>
    <t>CÔNG TY CỔ PHẦN DỊCH VỤ KỸ THUẬT VIỄN THÔNG</t>
  </si>
  <si>
    <t>CÔNG TY CỔ PHẦN TẬP ĐOÀN TIẾN BỘ</t>
  </si>
  <si>
    <t>CÔNG TY CỔ PHẦN GẠCH MEN THANH THANH</t>
  </si>
  <si>
    <t>TTD</t>
  </si>
  <si>
    <t>CÔNG TY CỔ PHẦN BỆNH VIỆN TIM TÂM ĐỨC</t>
  </si>
  <si>
    <t>TTE</t>
  </si>
  <si>
    <t>CÔNG TY CỔ PHẦN ĐẦU TƯ NĂNG LƯỢNG TRƯỜNG THỊNH</t>
  </si>
  <si>
    <t>TTF</t>
  </si>
  <si>
    <t>CÔNG TY CỔ PHẦN TẬP ĐOÀN KỸ NGHỆ GỖ TRƯỜNG THÀNH</t>
  </si>
  <si>
    <t>TTG</t>
  </si>
  <si>
    <t>CÔNG TY CỔ PHẦN MAY THANH TRÌ</t>
  </si>
  <si>
    <t>TTH</t>
  </si>
  <si>
    <t>CÔNG TY CỔ PHẦN THƯƠNG MẠI VÀ DỊCH VỤ TIẾN THÀNH</t>
  </si>
  <si>
    <t>BÁN LẺ HÀNG MAY MẶC</t>
  </si>
  <si>
    <t>TỔNG CÔNG TY THĂNG LONG - CÔNG TY CỔ PHẦN</t>
  </si>
  <si>
    <t>TTN</t>
  </si>
  <si>
    <t>CÔNG TY CỔ PHẦN CÔNG NGHỆ VÀ TRUYỀN THÔNG VIỆT NAM</t>
  </si>
  <si>
    <t>CÔNG TY CỔ PHẦN BAO BÌ NHỰA TÂN TIẾN</t>
  </si>
  <si>
    <t>TTS</t>
  </si>
  <si>
    <t>CÔNG TY CỔ PHẦN CÁN THÉP THÁI TRUNG</t>
  </si>
  <si>
    <t>TTT</t>
  </si>
  <si>
    <t>CÔNG TY CỔ PHẦN DU LỊCH – THƯƠNG MẠI TÂY NINH</t>
  </si>
  <si>
    <t>CÔNG TY CỔ PHẦN ĐẦU TƯ XÂY DỰNG VÀ CÔNG NGHỆ TIẾN TRUNG</t>
  </si>
  <si>
    <t>CÔNG TY CỔ PHẦN LAI DẮT VÀ VẬN TẢI CẢNG HẢI PHÒNG</t>
  </si>
  <si>
    <t>CÔNG TY CỔ PHẦN TƯ VẤN XÂY DỰNG ĐIỆN 1</t>
  </si>
  <si>
    <t>CÔNG TY CỔ PHẦN TƯ VẤN XÂY DỰNG ĐIỆN 2</t>
  </si>
  <si>
    <t>CÔNG TY CỔ PHẦN TƯ VẤN XÂY DỰNG ĐIỆN 3</t>
  </si>
  <si>
    <t>CÔNG TY CỔ PHẦN TƯ VẤN XÂY DỰNG ĐIỆN 4</t>
  </si>
  <si>
    <t>TV6</t>
  </si>
  <si>
    <t>CÔNG TY CỔ PHẦN THƯƠNG MẠI ĐẦU TƯ XÂY LẮP ĐIỆN THỊNH VƯỢNG</t>
  </si>
  <si>
    <t>CÔNG TY CỔ PHẦN SỨ VIGLACERA THANH TRÌ</t>
  </si>
  <si>
    <t>TVB</t>
  </si>
  <si>
    <t>CÔNG TY CỔ PHẦN CHỨNG KHOÁN TRÍ VIỆT</t>
  </si>
  <si>
    <t>TVC</t>
  </si>
  <si>
    <t>CÔNG TY CỔ PHẦN TẬP ĐOÀN QUẢN LÝ TÀI SẢN TRÍ VIỆT</t>
  </si>
  <si>
    <t>TVD</t>
  </si>
  <si>
    <t>CÔNG TY CỔ PHẦN THAN VÀNG DANH - VINACOMIN</t>
  </si>
  <si>
    <t>CÔNG TY CỔ PHẦN TƯ VẤN ĐẦU TƯ VÀ XÂY DỰNG GIAO THÔNG VẬN TẢI</t>
  </si>
  <si>
    <t>CÔNG TY CỔ PHẦN TƯ VẤN VÀ XÂY DỰNG CÔNG TRÌNH HÀNG HẢI</t>
  </si>
  <si>
    <t>CÔNG TY CỔ PHẦN TƯ VẤN ĐẦU TƯ MỎ VÀ CÔNG NGHIỆP - VINACOMIN</t>
  </si>
  <si>
    <t>TVN</t>
  </si>
  <si>
    <t>TỔNG CÔNG TY THÉP VIỆT NAM - CTCP</t>
  </si>
  <si>
    <t>TVS</t>
  </si>
  <si>
    <t>CÔNG TY CỔ PHẦN CHỨNG KHOÁN THIÊN VIỆT</t>
  </si>
  <si>
    <t>TVT</t>
  </si>
  <si>
    <t>TỔNG CÔNG TY VIỆT THẮNG - CTCP</t>
  </si>
  <si>
    <t>TW3</t>
  </si>
  <si>
    <t>CÔNG TY CỔ PHẦN DƯỢC TRUNG ƯƠNG 3</t>
  </si>
  <si>
    <t>CÔNG TY CỔ PHẦN VICEM THẠCH CAO XI MĂNG</t>
  </si>
  <si>
    <t>TYA</t>
  </si>
  <si>
    <t>CÔNG TY CỔ PHẦN DÂY VÀ CÁP ĐIỆN TAYA VIỆT NAM</t>
  </si>
  <si>
    <t>CÔNG TY CỔ PHẦN ĐÔ THỊ CẦN THƠ</t>
  </si>
  <si>
    <t>CÔNG TY CỔ PHẦN XÂY DỰNG VÀ PHÁT TRIỂN ĐÔ THỊ TỈNH BÀ RỊA-VŨNG TÀU</t>
  </si>
  <si>
    <t>CÔNG TY CỔ PHẦN PHÁT TRIỂN ĐÔ THỊ</t>
  </si>
  <si>
    <t>CÔNG TY CỔ PHẦN ĐÔ THỊ VÀ MÔI TRƯỜNG ĐẮK LẮK</t>
  </si>
  <si>
    <t>CÔNG TY CỔ PHẦN CƠ ĐIỆN UÔNG BÍ- VINACOMIN</t>
  </si>
  <si>
    <t>UIC</t>
  </si>
  <si>
    <t>CÔNG TY CỔ PHẦN ĐẦU TƯ PHÁT TRIỂN NHÀ VÀ ĐÔ THỊ IDICO</t>
  </si>
  <si>
    <t>CÔNG TY CỔ PHẦN CÔNG TRÌNH ĐÔ THỊ NAM ĐỊNH</t>
  </si>
  <si>
    <t>UNI</t>
  </si>
  <si>
    <t>CÔNG TY CỔ PHẦN ĐẦU TƯ VÀ PHÁT TRIỂN SAO MAI VIỆT</t>
  </si>
  <si>
    <t>UPC</t>
  </si>
  <si>
    <t>CÔNG TY CỔ PHẦN PHÁT TRIỂN CÔNG VIÊN CÂY XANH VÀ ĐÔ THỊ VŨNG TÀU</t>
  </si>
  <si>
    <t>UPH</t>
  </si>
  <si>
    <t>CÔNG TY CỔ PHẦN DƯỢC PHẨM TW25</t>
  </si>
  <si>
    <t>CÔNG TY CỔ PHẦN KHẢO SÁT VÀ XÂY DỰNG - USCO</t>
  </si>
  <si>
    <t>CÔNG TY CỔ PHẦN CÔNG TRÌNH ĐÔ THỊ SÓC TRĂNG</t>
  </si>
  <si>
    <t>V11</t>
  </si>
  <si>
    <t>CÔNG TY CỔ PHẦN XÂY DỰNG SỐ 11</t>
  </si>
  <si>
    <t>CTCP XÂY DỰNG SỐ 12</t>
  </si>
  <si>
    <t>CÔNG TY CỔ PHẦN XÂY DỰNG SỐ 15</t>
  </si>
  <si>
    <t>V21</t>
  </si>
  <si>
    <t>CÔNG TY CỔ PHẦN VINACONEX 21</t>
  </si>
  <si>
    <t>VAB</t>
  </si>
  <si>
    <t>NGÂN HÀNG THƯƠNG MẠI CỔ PHẦN VIỆT Á</t>
  </si>
  <si>
    <t>VAF</t>
  </si>
  <si>
    <t>CÔNG TY CỔ PHẦN PHÂN LÂN NUNG CHẢY VĂN ĐIỂN</t>
  </si>
  <si>
    <t>VAV</t>
  </si>
  <si>
    <t>CÔNG TY CỔ PHẦN VIWACO</t>
  </si>
  <si>
    <t>VBB</t>
  </si>
  <si>
    <t>NGÂN HÀNG THƯƠNG MẠI CỔ PHẦN VIỆT NAM THƯƠNG TÍN</t>
  </si>
  <si>
    <t>CÔNG TY CỔ PHẦN NHỰA BAO BÌ VINH</t>
  </si>
  <si>
    <t>VBG</t>
  </si>
  <si>
    <t>CÔNG TY CỔ PHẦN ĐỊA CHẤT VIỆT BẮC - TKV</t>
  </si>
  <si>
    <t>CÔNG TY CỔ PHẦN ĐIỆN TỬ BÌNH HÒA</t>
  </si>
  <si>
    <t>CÔNG TY CỔ PHẦN XÂY DỰNG SỐ 1</t>
  </si>
  <si>
    <t>CÔNG TY CỔ PHẦN ĐẦU TƯ VÀ XÂY DỰNG VINA2</t>
  </si>
  <si>
    <t>VC3</t>
  </si>
  <si>
    <t>CÔNG TY CỔ PHẦN TẬP ĐOÀN NAM MÊ KÔNG</t>
  </si>
  <si>
    <t>CÔNG TY CỔ PHẦN XÂY DỰNG VÀ ĐẦU TƯ VISICONS</t>
  </si>
  <si>
    <t>CÔNG TY CỔ PHẦN TẬP ĐOÀN BGI</t>
  </si>
  <si>
    <t>CÔNG TY CỔ PHẦN XÂY DỰNG SỐ 9 - VC9</t>
  </si>
  <si>
    <t>VCA</t>
  </si>
  <si>
    <t>CÔNG TY CỔ PHẦN THÉP VICASA - VNSTEEL</t>
  </si>
  <si>
    <t>NGÂN HÀNG THƯƠNG MẠI CỔ PHẦN NGOẠI THƯƠNG VIỆT NAM</t>
  </si>
  <si>
    <t>CÔNG TY CỔ PHẦN VINACONEX 25</t>
  </si>
  <si>
    <t>CÔNG TY CỔ PHẦN XÂY LẮP MÔI TRƯỜNG - TKV</t>
  </si>
  <si>
    <t>VCF</t>
  </si>
  <si>
    <t>CÔNG TY CỔ PHẦN VINACAFÉ BIÊN HÒA</t>
  </si>
  <si>
    <t>VCG</t>
  </si>
  <si>
    <t>TỔNG CÔNG TY CỔ PHẦN XUẤT NHẬP KHẨU VÀ XÂY DỰNG VIỆT NAM</t>
  </si>
  <si>
    <t>VCI</t>
  </si>
  <si>
    <t>CÔNG TY CỔ PHẦN CHỨNG KHOÁN VIETCAP</t>
  </si>
  <si>
    <t>CÔNG TY CỔ PHẦN NHÂN LỰC VÀ THƯƠNG MẠI VINACONEX</t>
  </si>
  <si>
    <t>VCP</t>
  </si>
  <si>
    <t>CÔNG TY CỔ PHẦN XÂY DỰNG VÀ NĂNG LƯỢNG VCP</t>
  </si>
  <si>
    <t>VCR</t>
  </si>
  <si>
    <t>CÔNG TY CỔ PHẦN ĐẦU TƯ VÀ PHÁT TRIỂN DU LỊCH VINACONEX</t>
  </si>
  <si>
    <t>CÔNG TY CỔ PHẦN VICOSTONE</t>
  </si>
  <si>
    <t>CÔNG TY CỔ PHẦN TƯ VẤN XÂY DỰNG VINACONEX</t>
  </si>
  <si>
    <t>VCW</t>
  </si>
  <si>
    <t>CÔNG TY CỔ PHẦN ĐẦU TƯ NƯỚC SẠCH SÔNG ĐÀ</t>
  </si>
  <si>
    <t>CÔNG TY CỔ PHẦN XI MĂNG YÊN BÌNH</t>
  </si>
  <si>
    <t>VDB</t>
  </si>
  <si>
    <t>CÔNG TY CỔ PHẦN VẬN TẢI VÀ CHẾ BIẾN THAN ĐÔNG BẮC</t>
  </si>
  <si>
    <t>VDL</t>
  </si>
  <si>
    <t>CÔNG TY CỔ PHẦN THỰC PHẨM LÂM ĐỒNG</t>
  </si>
  <si>
    <t>VDN</t>
  </si>
  <si>
    <t>CÔNG TY CỔ PHẦN VINATEX ĐÀ NẴNG</t>
  </si>
  <si>
    <t>VDP</t>
  </si>
  <si>
    <t>CÔNG TY CỔ PHẦN DƯỢC PHẨM TRUNG ƯƠNG VIDIPHA</t>
  </si>
  <si>
    <t>VDS</t>
  </si>
  <si>
    <t>CÔNG TY CỔ PHẦN CHỨNG KHOÁN RỒNG VIỆT</t>
  </si>
  <si>
    <t>VDT</t>
  </si>
  <si>
    <t>CÔNG TY CỔ PHẦN LƯỚI THÉP BÌNH TÂY</t>
  </si>
  <si>
    <t>CÔNG TY CỔ PHẦN XÂY DỰNG ĐIỆN VNECO 1</t>
  </si>
  <si>
    <t>CÔNG TY CỔ PHẦN XÂY DỰNG ĐIỆN VNECO 2</t>
  </si>
  <si>
    <t>CÔNG TY CỔ PHẦN XÂY DỰNG ĐIỆN VNECO 3</t>
  </si>
  <si>
    <t>CÔNG TY CỔ PHẦN XÂY DỰNG ĐIỆN VNECO4</t>
  </si>
  <si>
    <t>CÔNG TY CỔ PHẦN XÂY DỰNG ĐIỆN VNECO 8</t>
  </si>
  <si>
    <t>CÔNG TY CỔ PHẦN ĐẦU TƯ VÀ XÂY DỰNG VNECO 9</t>
  </si>
  <si>
    <t>TỔNG CÔNG TY MÁY ĐỘNG LỰC VÀ MÁY NÔNG NGHIỆP VIỆT NAM - CÔNG TY CỔ PHẦN</t>
  </si>
  <si>
    <t>VEC</t>
  </si>
  <si>
    <t>TỔNG CÔNG TY CỔ PHẦN ĐIỆN TỬ VÀ TIN HỌC VIỆT NAM</t>
  </si>
  <si>
    <t>VEF</t>
  </si>
  <si>
    <t>CÔNG TY CỔ PHẦN TRUNG TÂM HỘI CHỢ TRIỂN LÃM VIỆT NAM</t>
  </si>
  <si>
    <t>CÔNG TY CỔ PHẦN ĐẦU TƯ VÀ XÂY DỰNG ĐIỆN MÊ CA VNECO</t>
  </si>
  <si>
    <t>VET</t>
  </si>
  <si>
    <t>CÔNG TY CỔ PHẦN THUỐC THÚ Y TRUNG ƯƠNG NAVETCO</t>
  </si>
  <si>
    <t>CÔNG TY CỔ PHẦN VINAFCO</t>
  </si>
  <si>
    <t>VFG</t>
  </si>
  <si>
    <t>CÔNG TY CỔ PHẦN KHỬ TRÙNG VIỆT NAM</t>
  </si>
  <si>
    <t>CÔNG TY CỔ PHẦN VẬN TẢI VÀ THUÊ TÀU</t>
  </si>
  <si>
    <t>VFS</t>
  </si>
  <si>
    <t>CÔNG TY CỔ PHẦN CHỨNG KHOÁN NHẤT VIỆT</t>
  </si>
  <si>
    <t>VGC</t>
  </si>
  <si>
    <t>TỔNG CÔNG TY VIGLACERA - CTCP</t>
  </si>
  <si>
    <t>VGG</t>
  </si>
  <si>
    <t>TỔNG CÔNG TY CỔ PHẦN MAY VIỆT TIẾN</t>
  </si>
  <si>
    <t>VGI</t>
  </si>
  <si>
    <t>TỔNG CÔNG TY CỔ PHẦN ĐẦU TƯ QUỐC TẾ VIETTEL</t>
  </si>
  <si>
    <t>VGL</t>
  </si>
  <si>
    <t>CÔNG TY CỔ PHẦN MẠ KẼM CÔNG NGHIỆP VINGAL - VNSTEEL</t>
  </si>
  <si>
    <t>CÔNG TY CỔ PHẦN CẢNG RAU QUẢ</t>
  </si>
  <si>
    <t>CÔNG TY CỔ PHẦN CẢNG XANH VIP</t>
  </si>
  <si>
    <t>VGS</t>
  </si>
  <si>
    <t>CÔNG TY CỔ PHẦN ỐNG THÉP VIỆT ĐỨC VG PIPE</t>
  </si>
  <si>
    <t>VGT</t>
  </si>
  <si>
    <t>TẬP ĐOÀN DỆT MAY VIỆT NAM</t>
  </si>
  <si>
    <t>VGV</t>
  </si>
  <si>
    <t>TỔNG CÔNG TY TƯ VẤN XÂY DỰNG VIỆT NAM - CTCP</t>
  </si>
  <si>
    <t>VHC</t>
  </si>
  <si>
    <t>CÔNG TY CỔ PHẦN VĨNH HOÀN</t>
  </si>
  <si>
    <t>VHD</t>
  </si>
  <si>
    <t>CÔNG TY CỔ PHẦN ĐẦU TƯ PHÁT TRIỂN NHÀ VÀ ĐÔ THỊ VINACONEX</t>
  </si>
  <si>
    <t>VHE</t>
  </si>
  <si>
    <t>CÔNG TY CỔ PHẦN DƯỢC LIỆU VÀ THỰC PHẨM VIỆT NAM</t>
  </si>
  <si>
    <t>VHF</t>
  </si>
  <si>
    <t>CÔNG TY CỔ PHẦN XÂY DỰNG VÀ CHẾ BIẾN LƯƠNG THỰC VĨNH HÀ</t>
  </si>
  <si>
    <t>CÔNG TY CỔ PHẦN TẬP ĐOÀN TÂY BÀ NÀ</t>
  </si>
  <si>
    <t>CÔNG TY CỔ PHẦN ĐẦU TƯ KINH DOANH NHÀ THÀNH ĐẠT</t>
  </si>
  <si>
    <t>CÔNG TY CỔ PHẦN VIGLACERA HẠ LONG</t>
  </si>
  <si>
    <t>VHM</t>
  </si>
  <si>
    <t>CÔNG TY CỔ PHẦN VINHOMES</t>
  </si>
  <si>
    <t>VIB</t>
  </si>
  <si>
    <t>NGÂN HÀNG THƯƠNG MẠI CỔ PHẦN QUỐC TẾ VIỆT NAM</t>
  </si>
  <si>
    <t>VIC</t>
  </si>
  <si>
    <t>TẬP ĐOÀN VINGROUP - CTCP</t>
  </si>
  <si>
    <t>VID</t>
  </si>
  <si>
    <t>CÔNG TY CỔ PHẦN ĐẦU TƯ PHÁT TRIỂN THƯƠNG MẠI VIỄN ĐÔNG</t>
  </si>
  <si>
    <t>VIE</t>
  </si>
  <si>
    <t>CÔNG TY CỔ PHẦN CÔNG NGHỆ VIỄN THÔNG VITECO</t>
  </si>
  <si>
    <t>CÔNG TY CỔ PHẦN VIGLACERA HÀ NỘI</t>
  </si>
  <si>
    <t>VIM</t>
  </si>
  <si>
    <t>CÔNG TY CỔ PHẦN KHOÁNG SẢN VIGLACERA</t>
  </si>
  <si>
    <t>CÔNG TY CỔ PHẦN GIAO NHẬN KHO VẬN NGOẠI THƯƠNG VIỆT NAM</t>
  </si>
  <si>
    <t>VIP</t>
  </si>
  <si>
    <t>CÔNG TY CỔ PHẦN VẬN TẢI XĂNG DẦU VIPCO</t>
  </si>
  <si>
    <t>VIR</t>
  </si>
  <si>
    <t>CÔNG TY CỔ PHẦN DU LỊCH QUỐC TẾ VŨNG TÀU</t>
  </si>
  <si>
    <t>CÔNG TY CỔ PHẦN VIGLACERA TIÊN SƠN</t>
  </si>
  <si>
    <t>TỔNG CÔNG TY ĐẦU TƯ NƯỚC VÀ MÔI TRƯỜNG VIỆT NAM - CTCP</t>
  </si>
  <si>
    <t>VIX</t>
  </si>
  <si>
    <t>CÔNG TY CỔ PHẦN CHỨNG KHOÁN VIX</t>
  </si>
  <si>
    <t>VJC</t>
  </si>
  <si>
    <t>CÔNG TY CỔ PHẦN HÀNG KHÔNG VIETJET</t>
  </si>
  <si>
    <t>VKC</t>
  </si>
  <si>
    <t>CÔNG TY CỔ PHẦN VKCHOLDINGS</t>
  </si>
  <si>
    <t>VKP</t>
  </si>
  <si>
    <t>CÔNG TY CỔ PHẦN NHỰA TÂN HÓA</t>
  </si>
  <si>
    <t>VLA</t>
  </si>
  <si>
    <t>CÔNG TY CỔ PHẦN ĐẦU TƯ VÀ PHÁT TRIỂN CÔNG NGHỆ VĂN LANG</t>
  </si>
  <si>
    <t>CÔNG TY CỔ PHẦN XÂY DỰNG VÀ SẢN XUẤT VẬT LIỆU XÂY DỰNG BIÊN HÒA</t>
  </si>
  <si>
    <t>VLC</t>
  </si>
  <si>
    <t>TỔNG CÔNG TY CHĂN NUÔI VIỆT NAM - CTCP</t>
  </si>
  <si>
    <t>VLF</t>
  </si>
  <si>
    <t>CÔNG TY CỔ PHẦN LƯƠNG THỰC THỰC PHẨM VĨNH LONG</t>
  </si>
  <si>
    <t>CÔNG TY CỔ PHẦN VINALINES LOGISTICS - VIỆT NAM</t>
  </si>
  <si>
    <t>CÔNG TY CỔ PHẦN CÔNG TRÌNH CÔNG CỘNG VĨNH LONG</t>
  </si>
  <si>
    <t>VLW</t>
  </si>
  <si>
    <t>CÔNG TY CỔ PHẦN CẤP NƯỚC VĨNH LONG</t>
  </si>
  <si>
    <t>VMA</t>
  </si>
  <si>
    <t>CÔNG TY CỔ PHẦN CÔNG NGHIỆP Ô TÔ – VINACOMIN</t>
  </si>
  <si>
    <t>CÔNG TY CỔ PHẦN VIMECO</t>
  </si>
  <si>
    <t>VMD</t>
  </si>
  <si>
    <t>CÔNG TY CỔ PHẦN Y DƯỢC PHẨM VIMEDIMEX</t>
  </si>
  <si>
    <t>VMG</t>
  </si>
  <si>
    <t>CÔNG TY CỔ PHẦN THƯƠNG MẠI VÀ DỊCH VỤ DẦU KHÍ VŨNG TÀU</t>
  </si>
  <si>
    <t>VMK</t>
  </si>
  <si>
    <t>CÔNG TY CỔ PHẦN VIMARKO</t>
  </si>
  <si>
    <t>CÔNG TY CỔ PHẦN PHÁT TRIỂN HÀNG HẢI</t>
  </si>
  <si>
    <t>CÔNG TY CỔ PHẦN GIAO NHẬN VẬN TẢI MIỀN TRUNG</t>
  </si>
  <si>
    <t>CÔNG TY CỔ PHẦN VẬN TẢI BIỂN VINASHIP</t>
  </si>
  <si>
    <t>VNB</t>
  </si>
  <si>
    <t>CÔNG TY CỔ PHẦN SÁCH VIỆT NAM</t>
  </si>
  <si>
    <t>CÔNG TY CỔ PHẦN TẬP ĐOÀN VINACONTROL</t>
  </si>
  <si>
    <t>CÔNG TY CỔ PHẦN CHỨNG KHOÁN VNDIRECT</t>
  </si>
  <si>
    <t>VNE</t>
  </si>
  <si>
    <t>TỔNG CÔNG TY CỔ PHẦN XÂY DỰNG ĐIỆN VIỆT NAM</t>
  </si>
  <si>
    <t>CÔNG TY CỔ PHẦN VINAFREIGHT</t>
  </si>
  <si>
    <t>VNG</t>
  </si>
  <si>
    <t>CÔNG TY CỔ PHẦN DU LỊCH THÀNH THÀNH CÔNG</t>
  </si>
  <si>
    <t>VNH</t>
  </si>
  <si>
    <t>CÔNG TY CỔ PHẦN ĐẦU TƯ VIỆT VIỆT NHẬT</t>
  </si>
  <si>
    <t>VNI</t>
  </si>
  <si>
    <t>CÔNG TY CỔ PHẦN ĐẦU TƯ BẤT ĐỘNG SẢN VIỆT NAM</t>
  </si>
  <si>
    <t>VNL</t>
  </si>
  <si>
    <t>CÔNG TY CỔ PHẦN LOGISTICS VINALINK</t>
  </si>
  <si>
    <t>VNM</t>
  </si>
  <si>
    <t>CÔNG TY CỔ PHẦN SỮA VIỆT NAM</t>
  </si>
  <si>
    <t>VNP</t>
  </si>
  <si>
    <t>CÔNG TY CỔ PHẦN NHỰA VIỆT NAM</t>
  </si>
  <si>
    <t>VNR</t>
  </si>
  <si>
    <t>TỔNG CÔNG TY CỔ PHẦN TÁI BẢO HIỂM QUỐC GIA VIỆT NAM</t>
  </si>
  <si>
    <t>VNS</t>
  </si>
  <si>
    <t>CÔNG TY CỔ PHẦN ÁNH DƯƠNG VIỆT NAM</t>
  </si>
  <si>
    <t>CÔNG TY CỔ PHẦN GIAO NHẬN VẬN TẢI NGOẠI THƯƠNG</t>
  </si>
  <si>
    <t>VNX</t>
  </si>
  <si>
    <t>CÔNG TY CỔ PHẦN QUẢNG CÁO VÀ HỘI CHỢ THƯƠNG MẠI</t>
  </si>
  <si>
    <t>VNY</t>
  </si>
  <si>
    <t>CÔNG TY CỔ PHẦN THUỐC THÚ Y TRUNG ƯƠNG I</t>
  </si>
  <si>
    <t>VNZ</t>
  </si>
  <si>
    <t>CÔNG TY CỔ PHẦN VNG</t>
  </si>
  <si>
    <t>VOC</t>
  </si>
  <si>
    <t>TỔNG CÔNG TY CÔNG NGHIỆP DẦU THỰC VẬT VIỆT NAM - CÔNG TY CỔ PHẦN</t>
  </si>
  <si>
    <t>VOS</t>
  </si>
  <si>
    <t>CÔNG TY CỔ PHẦN VẬN TẢI BIỂN VIỆT NAM</t>
  </si>
  <si>
    <t>CÔNG TY CỔ PHẦN VẬN TẢI HÓA DẦU VP</t>
  </si>
  <si>
    <t>VPB</t>
  </si>
  <si>
    <t>NGÂN HÀNG THƯƠNG MẠI CỔ PHẦN VIỆT NAM THỊNH VƯỢNG</t>
  </si>
  <si>
    <t>CÔNG TY CỔ PHẦN ĐẦU TƯ VÀ PHÁT TRIỂN NĂNG LƯỢNG VIỆT NAM</t>
  </si>
  <si>
    <t>VPD</t>
  </si>
  <si>
    <t>CÔNG TY CỔ PHẦN PHÁT TRIỂN ĐIỆN LỰC VIỆT NAM</t>
  </si>
  <si>
    <t>VPG</t>
  </si>
  <si>
    <t>CÔNG TY CỔ PHẦN ĐẦU TƯ THƯƠNG MẠI XUẤT NHẬP KHẨU VIỆT PHÁT</t>
  </si>
  <si>
    <t>VPH</t>
  </si>
  <si>
    <t>CÔNG TY CỔ PHẦN VẠN PHÁT HƯNG</t>
  </si>
  <si>
    <t>VPI</t>
  </si>
  <si>
    <t>CÔNG TY CỔ PHẦN ĐẦU TƯ VĂN PHÚ - INVEST</t>
  </si>
  <si>
    <t>VPR</t>
  </si>
  <si>
    <t>CÔNG TY CỔ PHẦN IN VÀ THƯƠNG MẠI VINA</t>
  </si>
  <si>
    <t>VPS</t>
  </si>
  <si>
    <t>CÔNG TY CỔ PHẦN THUỐC SÁT TRÙNG VIỆT NAM</t>
  </si>
  <si>
    <t>VPW</t>
  </si>
  <si>
    <t>CÔNG TY CỔ PHẦN CẤP THOÁT NƯỚC SỐ 1 VĨNH PHÚC</t>
  </si>
  <si>
    <t>CÔNG TY CỔ PHẦN GIÁM ĐỊNH VINACOMIN</t>
  </si>
  <si>
    <t>VRC</t>
  </si>
  <si>
    <t>CÔNG TY CỔ PHẦN BẤT ĐỘNG SẢN VÀ ĐẦU TƯ VRC</t>
  </si>
  <si>
    <t>VRE</t>
  </si>
  <si>
    <t>CÔNG TY CỔ PHẦN VINCOM RETAIL</t>
  </si>
  <si>
    <t>VRG</t>
  </si>
  <si>
    <t>CÔNG TY CỔ PHẦN PHÁT TRIỂN ĐÔ THỊ VÀ KHU CÔNG NGHIỆP CAO SU VIỆT NAM</t>
  </si>
  <si>
    <t>CÔNG TY CỔ PHẦN ĐẠI LÝ HÀNG HẢI VIỆT NAM</t>
  </si>
  <si>
    <t>VSC</t>
  </si>
  <si>
    <t>CÔNG TY CỔ PHẦN TẬP ĐOÀN CONTAINER VIỆT NAM</t>
  </si>
  <si>
    <t>CÔNG TY CỔ PHẦN DỊCH VỤ ĐƯỜNG CAO TỐC VIỆT NAM</t>
  </si>
  <si>
    <t>VSF</t>
  </si>
  <si>
    <t>TỔNG CÔNG TY LƯƠNG THỰC MIỀN NAM - CÔNG TY CỔ PHẦN</t>
  </si>
  <si>
    <t>CÔNG TY CỔ PHẦN CONTAINER PHÍA NAM</t>
  </si>
  <si>
    <t>VSH</t>
  </si>
  <si>
    <t>CÔNG TY CỔ PHẦN THỦY ĐIỆN VĨNH SƠN - SÔNG HINH</t>
  </si>
  <si>
    <t>VSI</t>
  </si>
  <si>
    <t>CÔNG TY CỔ PHẦN ĐẦU TƯ VÀ XÂY DỰNG CẤP THOÁT NƯỚC</t>
  </si>
  <si>
    <t>CÔNG TY CỔ PHẦN CONTAINER MIỀN TRUNG</t>
  </si>
  <si>
    <t>VSN</t>
  </si>
  <si>
    <t>CÔNG TY CỔ PHẦN VIỆT NAM KỸ NGHỆ SÚC SẢN</t>
  </si>
  <si>
    <t>CÔNG TY CỔ PHẦN VẬN TẢI VÀ THUÊ TÀU BIỂN VIỆT NAM</t>
  </si>
  <si>
    <t>CÔNG TY CỔ PHẦN VITALY</t>
  </si>
  <si>
    <t>VTB</t>
  </si>
  <si>
    <t>CÔNG TY CỔ PHẦN VIETTRONICS TÂN BÌNH</t>
  </si>
  <si>
    <t>VTC</t>
  </si>
  <si>
    <t>CÔNG TY CỔ PHẦN VIỄN THÔNG VTC</t>
  </si>
  <si>
    <t>VTD</t>
  </si>
  <si>
    <t>CÔNG TY CỔ PHẦN DU LỊCH VIETOURIST</t>
  </si>
  <si>
    <t>VTE</t>
  </si>
  <si>
    <t>CÔNG TY CỔ PHẦN VIỄN THÔNG ĐIỆN TỬ VINACAP</t>
  </si>
  <si>
    <t>VTG</t>
  </si>
  <si>
    <t>CÔNG TY CỔ PHẦN DU LỊCH TỈNH BÀ RỊA - VŨNG TÀU</t>
  </si>
  <si>
    <t>VTH</t>
  </si>
  <si>
    <t>CÔNG TY CỔ PHẦN TẬP ĐOÀN VIỆT THÁI</t>
  </si>
  <si>
    <t>VTI</t>
  </si>
  <si>
    <t>CÔNG TY CỔ PHẦN SẢN XUẤT – XUẤT NHẬP KHẨU DỆT MAY</t>
  </si>
  <si>
    <t>VTJ</t>
  </si>
  <si>
    <t>CÔNG TY CỔ PHẦN THƯƠNG MẠI VÀ ĐẦU TƯ VINATABA</t>
  </si>
  <si>
    <t>VTK</t>
  </si>
  <si>
    <t>CÔNG TY CỔ PHẦN TƯ VẤN THIẾT KẾ VIETTEL</t>
  </si>
  <si>
    <t>VTL</t>
  </si>
  <si>
    <t>CÔNG TY CỔ PHẦN VANG THĂNG LONG</t>
  </si>
  <si>
    <t>VTM</t>
  </si>
  <si>
    <t>CÔNG TY CỔ PHẦN VẬN TẢI VÀ ĐƯA ĐÓN THỢ MỎ - VINACOMIN</t>
  </si>
  <si>
    <t>VTO</t>
  </si>
  <si>
    <t>CÔNG TY CỔ PHẦN VẬN TẢI XĂNG DẦU VITACO</t>
  </si>
  <si>
    <t>VTP</t>
  </si>
  <si>
    <t>TỔNG CÔNG TY CỔ PHẦN BƯU CHÍNH VIETTEL</t>
  </si>
  <si>
    <t>VTQ</t>
  </si>
  <si>
    <t>CÔNG TY CỔ PHẦN VIỆT TRUNG QUẢNG BÌNH</t>
  </si>
  <si>
    <t>VTR</t>
  </si>
  <si>
    <t>CÔNG TY CỔ PHẦN DU LỊCH VÀ TIẾP THỊ GIAO THÔNG VẬN TẢI VIỆT NAM - VIETRAVEL</t>
  </si>
  <si>
    <t>VTS</t>
  </si>
  <si>
    <t>CÔNG TY CỔ PHẦN VIGLACERA TỪ SƠN</t>
  </si>
  <si>
    <t>VTV</t>
  </si>
  <si>
    <t>CÔNG TY CỔ PHẦN NĂNG LƯỢNG VÀ MÔI TRƯỜNG VICEM</t>
  </si>
  <si>
    <t>VTX</t>
  </si>
  <si>
    <t>CÔNG TY CỔ PHẦN VẬN TẢI ĐA PHƯƠNG THỨC VIETRANSTIMEX</t>
  </si>
  <si>
    <t>VTZ</t>
  </si>
  <si>
    <t>CÔNG TY CỔ PHẦN SẢN XUẤT VÀ THƯƠNG MẠI NHỰA VIỆT THÀNH</t>
  </si>
  <si>
    <t>VUA</t>
  </si>
  <si>
    <t>CÔNG TY CỔ PHẦN CHỨNG KHOÁN STANLEY BROTHERS</t>
  </si>
  <si>
    <t>VVN</t>
  </si>
  <si>
    <t>TỔNG CÔNG TY CỔ PHẦN XÂY DỰNG CÔNG NGHIỆP VIỆT NAM</t>
  </si>
  <si>
    <t>VVS</t>
  </si>
  <si>
    <t>CTCP ĐẦU TƯ PHÁT TRIỂN MÁY VIỆT NAM</t>
  </si>
  <si>
    <t>VW3</t>
  </si>
  <si>
    <t>CÔNG TY CỔ PHẦN VIWASEEN3</t>
  </si>
  <si>
    <t>VWS</t>
  </si>
  <si>
    <t>CÔNG TY CỔ PHẦN NƯỚC VÀ MÔI TRƯỜNG VIỆT NAM</t>
  </si>
  <si>
    <t>VXB</t>
  </si>
  <si>
    <t>CÔNG TY CỔ PHẦN VẬT LIỆU XÂY DỰNG BẾN TRE</t>
  </si>
  <si>
    <t>VXP</t>
  </si>
  <si>
    <t>CÔNG TY CỔ PHẦN THUỐC THÚ Y TRUNG ƯƠNG VETVACO</t>
  </si>
  <si>
    <t>VXT</t>
  </si>
  <si>
    <t>CÔNG TY CỔ PHẦN KHO VẬN VÀ DỊCH VỤ THƯƠNG MẠI</t>
  </si>
  <si>
    <t>WCS</t>
  </si>
  <si>
    <t>CÔNG TY CỔ PHẦN BẾN XE MIỀN TÂY</t>
  </si>
  <si>
    <t>WSB</t>
  </si>
  <si>
    <t>CÔNG TY CỔ PHẦN BIA SÀI GÒN - MIỀN TÂY</t>
  </si>
  <si>
    <t>WSS</t>
  </si>
  <si>
    <t>CÔNG TY CỔ PHẦN CHỨNG KHOÁN PHỐ WALL</t>
  </si>
  <si>
    <t>WTC</t>
  </si>
  <si>
    <t>CÔNG TY CỔ PHẦN VẬN TẢI THỦY - VINACOMIN</t>
  </si>
  <si>
    <t>X20</t>
  </si>
  <si>
    <t>CÔNG TY CỔ PHẦN X20</t>
  </si>
  <si>
    <t>X26</t>
  </si>
  <si>
    <t>CÔNG TY CỔ PHẦN 26</t>
  </si>
  <si>
    <t>X77</t>
  </si>
  <si>
    <t>CÔNG TY CỔ PHẦN THÀNH AN 77</t>
  </si>
  <si>
    <t>XDH</t>
  </si>
  <si>
    <t>CÔNG TY CỔ PHẦN ĐẦU TƯ XÂY DỰNG DÂN DỤNG HÀ NỘI</t>
  </si>
  <si>
    <t>XHC</t>
  </si>
  <si>
    <t>CÔNG TY CỔ PHẦN XUÂN HÒA VIỆT NAM</t>
  </si>
  <si>
    <t>XLV</t>
  </si>
  <si>
    <t>CÔNG TY CỔ PHẦN XÂY LẮP VÀ DỊCH VỤ SÔNG ĐÀ</t>
  </si>
  <si>
    <t>XMC</t>
  </si>
  <si>
    <t>CÔNG TY CỔ PHẦN ĐẦU TƯ VÀ XÂY DỰNG XUÂN MAI</t>
  </si>
  <si>
    <t>XMD</t>
  </si>
  <si>
    <t>CÔNG TY CỔ PHẦN XUÂN MAI - ĐẠO TÚ</t>
  </si>
  <si>
    <t>XMP</t>
  </si>
  <si>
    <t>CÔNG TY CỔ PHẦN THỦY ĐIỆN XUÂN MINH</t>
  </si>
  <si>
    <t>XPH</t>
  </si>
  <si>
    <t>CÔNG TY CỔ PHẦN XÀ PHÒNG HÀ NỘI</t>
  </si>
  <si>
    <t>YBC</t>
  </si>
  <si>
    <t>CÔNG TY CỔ PHẦN XI MĂNG VÀ KHOÁNG SẢN YÊN BÁI</t>
  </si>
  <si>
    <t>YBM</t>
  </si>
  <si>
    <t>CÔNG TY CỔ PHẦN KHOÁNG SẢN CÔNG NGHIỆP YÊN BÁI</t>
  </si>
  <si>
    <t>YEG</t>
  </si>
  <si>
    <t>CÔNG TY CỔ PHẦN TẬP ĐOÀN YEAH1</t>
  </si>
  <si>
    <t>YTC</t>
  </si>
  <si>
    <t>CÔNG TY CỔ PHẦN XUẤT NHẬP KHẨU Y TẾ THÀNH PHỐ HỒ CHÍ MINH</t>
  </si>
  <si>
    <t>TIỀN CHI TRẢ NỢ GỐC VAY</t>
  </si>
  <si>
    <t>CHI PHÍ LÃI VÀ CÁC CHI PHÍ TƯƠNG TỰ ĐÃ TRẢ</t>
  </si>
  <si>
    <t>LÃI CƠ BẢN TRÊN CỔ PHIẾU</t>
  </si>
  <si>
    <t>LỢI NHUẬN GỘP</t>
  </si>
  <si>
    <t>LỢI NHUẬN SAU THUẾ THU NHẬP DOANH NGHIỆP</t>
  </si>
  <si>
    <t>NGÀNH NGHỀ</t>
  </si>
  <si>
    <t>ROE</t>
  </si>
  <si>
    <t>ROA</t>
  </si>
  <si>
    <t>EPS</t>
  </si>
  <si>
    <t>MÃ CHỨNG KHOÁN</t>
  </si>
  <si>
    <t>P/E</t>
  </si>
  <si>
    <t>P/B</t>
  </si>
  <si>
    <t>GIÁ CỔ PHIẾU HIỆN TẠI</t>
  </si>
  <si>
    <t>BVPS_CR</t>
  </si>
  <si>
    <t>OUTSTANDING_SHARES</t>
  </si>
  <si>
    <t>PRICE_HIGHEST_CR_52W</t>
  </si>
  <si>
    <t>PRICE_LOWEST_CR_52W</t>
  </si>
  <si>
    <t>KỲ VỌNG</t>
  </si>
  <si>
    <t>FUTURE TAGET</t>
  </si>
  <si>
    <t>CUTLOSS</t>
  </si>
  <si>
    <t>CUT LOSS PRICE</t>
  </si>
  <si>
    <t>up/dw</t>
  </si>
  <si>
    <t>Giá mua</t>
  </si>
  <si>
    <t>Ngân Hàng</t>
  </si>
  <si>
    <t>Giá đóng cửa</t>
  </si>
  <si>
    <t>KLGD/1000</t>
  </si>
  <si>
    <t>BĐ giá</t>
  </si>
  <si>
    <t>KL/KLTB21
phiên</t>
  </si>
  <si>
    <t>KL/
KLTB5 phiên</t>
  </si>
  <si>
    <t>Đỉnh/Đáy</t>
  </si>
  <si>
    <t>Cao nhất
2tháng</t>
  </si>
  <si>
    <t>Thấp nhất
2tháng</t>
  </si>
  <si>
    <t>Tăng so
đáy 2tháng</t>
  </si>
  <si>
    <t>Hành động</t>
  </si>
  <si>
    <t>T#</t>
  </si>
  <si>
    <t>Khung lựa chọn</t>
  </si>
  <si>
    <t>Mua</t>
  </si>
  <si>
    <t>Quan sát</t>
  </si>
  <si>
    <t>Giảm so
đỉnh 2tháng</t>
  </si>
  <si>
    <t>Giá TB5 phiên/
Giá TB21 phiên</t>
  </si>
  <si>
    <t>Bán</t>
  </si>
  <si>
    <t>Đánh ngắn</t>
  </si>
  <si>
    <t>Giữ</t>
  </si>
  <si>
    <t>Row Labels</t>
  </si>
  <si>
    <t>Grand Total</t>
  </si>
  <si>
    <t>Giá TB5 phiên/Giá TB21 phiên</t>
  </si>
  <si>
    <t>KL/KLTB5 phiên</t>
  </si>
  <si>
    <t>Tăng</t>
  </si>
  <si>
    <t>Giảm</t>
  </si>
  <si>
    <t>Sum of BĐ giá</t>
  </si>
  <si>
    <t>Sum of KL/KLTB21
phiên</t>
  </si>
  <si>
    <t>Bất Động Sản</t>
  </si>
  <si>
    <t>AVG</t>
  </si>
  <si>
    <t>CÔNG TY CỔ PHẦN PHÂN BÓN QUỐC TẾ ÂU VIỆT</t>
  </si>
  <si>
    <t>BGE</t>
  </si>
  <si>
    <t>CÔNG TY CỔ PHẦN BCG ENERGY</t>
  </si>
  <si>
    <t>CCC</t>
  </si>
  <si>
    <t>CÔNG TY CỔ PHẦN XÂY DỰNG CDC</t>
  </si>
  <si>
    <t>DSE</t>
  </si>
  <si>
    <t>CÔNG TY CỔ PHẦN CHỨNG KHOÁN DNSE</t>
  </si>
  <si>
    <t>CÔNG TY CỔ PHẦN CÔNG NGHỆ HA LÔ</t>
  </si>
  <si>
    <t>NGÂN HÀNG TMCP LỘC PHÁT VIỆT NAM</t>
  </si>
  <si>
    <t>MCM</t>
  </si>
  <si>
    <t>CÔNG TY CỔ PHẦN GIỐNG BÒ SỮA MỘC CHÂU</t>
  </si>
  <si>
    <t>CÔNG TY CỔ PHẦN ĐẦU TƯ VÀ XÂY LẮP TRƯỜNG SƠN</t>
  </si>
  <si>
    <t>Chứng Khoán</t>
  </si>
  <si>
    <t>Canh chỉnh</t>
  </si>
  <si>
    <t>Công Nghệ</t>
  </si>
  <si>
    <t>THÉP</t>
  </si>
  <si>
    <t>THỰC PHẨM - THỦY SẢN</t>
  </si>
  <si>
    <t>Chỉ số</t>
  </si>
  <si>
    <t>Name</t>
  </si>
  <si>
    <t>%thay đổi</t>
  </si>
  <si>
    <t>thay đổi</t>
  </si>
  <si>
    <t xml:space="preserve">THÔNG TIN TỔNG QUAN NGÀY </t>
  </si>
  <si>
    <t>Khu vực</t>
  </si>
  <si>
    <t>Châu Mỹ</t>
  </si>
  <si>
    <t>Châu Á</t>
  </si>
  <si>
    <t>Dệt May</t>
  </si>
  <si>
    <t>Chỉ số chứng khoán</t>
  </si>
  <si>
    <t>Ngành</t>
  </si>
  <si>
    <t>CÔNG NGHIỆP</t>
  </si>
  <si>
    <t>Y TẾ - DƯỢC PHẨM</t>
  </si>
  <si>
    <t>Châu Âu</t>
  </si>
  <si>
    <t>GEE</t>
  </si>
  <si>
    <t>KL/KLTB21</t>
  </si>
  <si>
    <t>BĐS</t>
  </si>
  <si>
    <t>CÔNG NGHỆ</t>
  </si>
  <si>
    <t>BÁN LẺ</t>
  </si>
  <si>
    <t>DỆT MAY</t>
  </si>
  <si>
    <t>THÉP</t>
  </si>
  <si>
    <t>AVERAGE</t>
  </si>
  <si>
    <t>BĐ Giá</t>
  </si>
  <si>
    <t>Mã</t>
  </si>
  <si>
    <t>BĐ giá</t>
  </si>
  <si>
    <t>NGÂN HÀNG</t>
  </si>
  <si>
    <t>Định giá VNINDEX</t>
  </si>
  <si>
    <t>Tỷ trọng</t>
  </si>
  <si>
    <t>TÊN CHỈ TIÊU</t>
  </si>
  <si>
    <t>Định giá</t>
  </si>
  <si>
    <t>Lợi suất mong muốn</t>
  </si>
  <si>
    <t>Giảm</t>
  </si>
  <si>
    <t>Tham chiếu</t>
  </si>
  <si>
    <t>NỢ TRÊN VỐN</t>
  </si>
  <si>
    <t>Chỉ số chứng khoán thế giới</t>
  </si>
  <si>
    <t>Giá vàng</t>
  </si>
  <si>
    <t>Vàng</t>
  </si>
  <si>
    <t>thay đổi</t>
  </si>
  <si>
    <t>%thay đổi</t>
  </si>
  <si>
    <t>Biến động Giá Vàng</t>
  </si>
  <si>
    <t>KL/TBKL21</t>
  </si>
  <si>
    <t>CHỨNG KHOÁN</t>
  </si>
  <si>
    <t>S BĐ giá</t>
  </si>
  <si>
    <t>Thanh khoản</t>
  </si>
  <si>
    <t>Đấu thầu thị trường mở</t>
  </si>
  <si>
    <t>Loại hình giao dịch</t>
  </si>
  <si>
    <t>Số thành viên tham gia/trúng thầu</t>
  </si>
  <si>
    <t>Khối lượng trúng thầu</t>
  </si>
  <si>
    <t>(Tỷ đồng)</t>
  </si>
  <si>
    <t>Lãi suất trúng thầu</t>
  </si>
  <si>
    <t>(%/năm)</t>
  </si>
  <si>
    <t>Mua kỳ hạn</t>
  </si>
  <si>
    <t>Tổng cộng</t>
  </si>
  <si>
    <t>Tổng KL</t>
  </si>
  <si>
    <t>SL thành viên</t>
  </si>
  <si>
    <t>LS trúng thầu</t>
  </si>
  <si>
    <t>LS cũ</t>
  </si>
  <si>
    <t>- Kỳ hạn 7</t>
  </si>
  <si>
    <t>T/T</t>
  </si>
  <si>
    <t>KL cũ</t>
  </si>
  <si>
    <t>TẬP ĐOÀN BẢO VIỆT</t>
  </si>
  <si>
    <t>BẢO HIỂM NHÂN THỌ</t>
  </si>
  <si>
    <t>HTP</t>
  </si>
  <si>
    <t>CÔNG TY CỔ PHẦN IN SÁCH GIÁO KHOA HÒA PHÁT</t>
  </si>
  <si>
    <t>TTA</t>
  </si>
  <si>
    <t>CÔNG TY CỔ PHẦN ĐẦU TƯ XÂY DỰNG VÀ PHÁT TRIỂN TRƯỜNG THÀNH</t>
  </si>
  <si>
    <t>Số lượng</t>
  </si>
  <si>
    <t>CÔNG TY CỔ PHẦN CẢNG QUẢNG NINH</t>
  </si>
  <si>
    <t>FUEABVND</t>
  </si>
  <si>
    <t>QUỸ ETF ABFVN DIAMOND</t>
  </si>
  <si>
    <t>CÔNG TY CỔ PHẦN THIẾT BỊ ĐIỆN GELEX</t>
  </si>
  <si>
    <t>CÔNG TY CỔ PHẦN CÔNG TRÌNH ĐÔ THỊ GÒ CÔNG</t>
  </si>
  <si>
    <t>SZG</t>
  </si>
  <si>
    <t>CÔNG TY CỔ PHẦN SONADEZI GIANG ĐIỀN</t>
  </si>
  <si>
    <t>SZL</t>
  </si>
  <si>
    <t>CÔNG TY CỔ PHẦN SONADEZI LONG THÀNH</t>
  </si>
  <si>
    <t>TT6</t>
  </si>
  <si>
    <t>CÔNG TY CỔ PHẦN TẬP ĐOÀN TIẾN THỊNH</t>
  </si>
  <si>
    <t>VIF</t>
  </si>
  <si>
    <t>TỔNG CÔNG TY LÂM NGHIỆP VIỆT NAM - CÔNG TY CỔ PHẦN</t>
  </si>
  <si>
    <t>VIG</t>
  </si>
  <si>
    <t>CÔNG TY CỔ PHẦN CHỨNG KHOÁN ĐẦU TƯ VIỆT NAM</t>
  </si>
  <si>
    <t>KHAI KHOÁNG - TNCB</t>
  </si>
  <si>
    <t>HÓA CHẤT - NHỰA</t>
  </si>
  <si>
    <t>BẢO HIỂM -DV TC</t>
  </si>
  <si>
    <t>DẦU - KHÍ ĐỐT</t>
  </si>
  <si>
    <t>BẢO HIỂM - DV TÀI CHÍNH</t>
  </si>
  <si>
    <t>NĂNG LƯỢNG - TB ĐIỆN</t>
  </si>
  <si>
    <t>Y TẾ - DƯỢC</t>
  </si>
  <si>
    <t>KHAI KHOÁN - TNCB</t>
  </si>
  <si>
    <t>VLXD - NỘI THẤT</t>
  </si>
  <si>
    <t>Sum of KL/KLTB21</t>
  </si>
  <si>
    <t>F1M</t>
  </si>
  <si>
    <t>F2M</t>
  </si>
  <si>
    <t>Tây</t>
  </si>
  <si>
    <t>VN30F1M</t>
  </si>
  <si>
    <t>Tổng KL Mua</t>
  </si>
  <si>
    <t>Tổng KL Bán</t>
  </si>
  <si>
    <t>Tổng GT Mua</t>
  </si>
  <si>
    <t>Tổng GT Bán</t>
  </si>
  <si>
    <t>Tổng KLGD</t>
  </si>
  <si>
    <t>Tổng GTGD</t>
  </si>
  <si>
    <t>VN30F2M</t>
  </si>
  <si>
    <t>Thống kê Tây Giao dịch</t>
  </si>
  <si>
    <t>Thống kê Tự doanh Giao dịch</t>
  </si>
  <si>
    <t>Tự Doanh</t>
  </si>
  <si>
    <t>Tổng Mua</t>
  </si>
  <si>
    <t>Tổng Bán</t>
  </si>
  <si>
    <t>Đang mở</t>
  </si>
  <si>
    <t>Giá TB</t>
  </si>
  <si>
    <t>buy/sell</t>
  </si>
  <si>
    <t>Giá Cao</t>
  </si>
  <si>
    <t>Giá Thấp</t>
  </si>
  <si>
    <t>6/6</t>
  </si>
  <si>
    <t>YEAR</t>
  </si>
  <si>
    <t>Ngày</t>
  </si>
  <si>
    <t>Bên thứ 3</t>
  </si>
  <si>
    <t>Tổng Mở OI</t>
  </si>
  <si>
    <t>Chênh Lệch 
ta/tây</t>
  </si>
  <si>
    <t>mua vào</t>
  </si>
  <si>
    <t>bán ra</t>
  </si>
  <si>
    <t>Tổng Tự Doanh</t>
  </si>
  <si>
    <t>Nắm giữ</t>
  </si>
  <si>
    <t>Giá Mua TB</t>
  </si>
  <si>
    <t>Giá Bán TB</t>
  </si>
  <si>
    <t>Tổng Tây Lông</t>
  </si>
  <si>
    <t>Giá Mua</t>
  </si>
  <si>
    <t>Giá Bán</t>
  </si>
  <si>
    <t>VN30F1Q</t>
  </si>
  <si>
    <t>CP</t>
  </si>
  <si>
    <t>Mua moi</t>
  </si>
  <si>
    <t>Cutloss</t>
  </si>
  <si>
    <t>Target</t>
  </si>
  <si>
    <t>KCN - XÂY DỰNG - ĐTC</t>
  </si>
  <si>
    <t>Sum of KLGD/1000</t>
  </si>
  <si>
    <t>4/4</t>
  </si>
  <si>
    <t>9.794,71</t>
  </si>
  <si>
    <t>- Kỳ hạn 14</t>
  </si>
  <si>
    <t>9/9</t>
  </si>
  <si>
    <t>12.692,51</t>
  </si>
  <si>
    <t>22.487,22</t>
  </si>
  <si>
    <t>Bán hẳn</t>
  </si>
  <si>
    <t>2.999,8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</si>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</sst>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%"/>
    <numFmt numFmtId="165" formatCode="#,##0\ &quot;tỷ&quot;"/>
    <numFmt numFmtId="166" formatCode="0.000"/>
    <numFmt numFmtId="167" formatCode="0.0"/>
    <numFmt numFmtId="168" formatCode="#,##0\ &quot;tr&quot;"/>
    <numFmt numFmtId="169" formatCode="#,##0.0\ &quot;tỷ&quot;"/>
    <numFmt numFmtId="170" formatCode="#,##0.00\ &quot;tỷ&quot;"/>
  </numFmts>
  <fonts count="31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i/>
      <sz val="12"/>
      <color theme="1"/>
      <name val="Arial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10.5"/>
      <color theme="1"/>
      <name val="Times New Roman"/>
      <family val="1"/>
    </font>
    <font>
      <b/>
      <i/>
      <sz val="11"/>
      <color theme="1"/>
      <name val="Times New Roman"/>
      <family val="1"/>
    </font>
    <font>
      <b/>
      <i/>
      <sz val="10.5"/>
      <color theme="1"/>
      <name val="Times New Roman"/>
      <family val="1"/>
    </font>
    <font>
      <sz val="11"/>
      <color theme="1"/>
      <name val="Times New Roman"/>
      <family val="1"/>
      <charset val="163"/>
    </font>
    <font>
      <i/>
      <sz val="11"/>
      <color theme="1"/>
      <name val="Times New Roman"/>
      <family val="1"/>
    </font>
    <font>
      <b/>
      <sz val="10.5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0"/>
      <name val="Arial"/>
      <family val="2"/>
      <scheme val="minor"/>
    </font>
    <font>
      <b/>
      <sz val="26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Times New Roman"/>
      <family val="1"/>
      <charset val="163"/>
    </font>
    <font>
      <b/>
      <sz val="12"/>
      <color theme="1"/>
      <name val="Arial"/>
      <family val="2"/>
      <charset val="163"/>
      <scheme val="minor"/>
    </font>
    <font>
      <i/>
      <sz val="10.5"/>
      <color theme="1"/>
      <name val="Times New Roman"/>
      <family val="1"/>
    </font>
    <font>
      <sz val="12"/>
      <color rgb="FFFF0000"/>
      <name val="Arial"/>
      <family val="2"/>
      <scheme val="minor"/>
    </font>
    <font>
      <b/>
      <sz val="10"/>
      <color rgb="FFCD7B2C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i/>
      <sz val="10"/>
      <color rgb="FF000000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E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D4A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auto="1"/>
      </top>
      <bottom/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medium">
        <color rgb="FFB8B1AA"/>
      </left>
      <right style="medium">
        <color rgb="FFB8B1AA"/>
      </right>
      <top style="medium">
        <color rgb="FFB8B1AA"/>
      </top>
      <bottom style="medium">
        <color rgb="FFB8B1AA"/>
      </bottom>
      <diagonal/>
    </border>
    <border>
      <left style="medium">
        <color rgb="FFB8B1AA"/>
      </left>
      <right style="medium">
        <color rgb="FFB8B1AA"/>
      </right>
      <top style="medium">
        <color rgb="FFB8B1AA"/>
      </top>
      <bottom/>
      <diagonal/>
    </border>
    <border>
      <left style="medium">
        <color rgb="FFB8B1AA"/>
      </left>
      <right style="medium">
        <color rgb="FFB8B1AA"/>
      </right>
      <top/>
      <bottom style="medium">
        <color rgb="FFB8B1AA"/>
      </bottom>
      <diagonal/>
    </border>
    <border>
      <left style="medium">
        <color rgb="FFB8B1AA"/>
      </left>
      <right/>
      <top style="medium">
        <color rgb="FFB8B1AA"/>
      </top>
      <bottom/>
      <diagonal/>
    </border>
    <border>
      <left/>
      <right style="medium">
        <color rgb="FFB8B1AA"/>
      </right>
      <top style="medium">
        <color rgb="FFB8B1AA"/>
      </top>
      <bottom/>
      <diagonal/>
    </border>
    <border>
      <left style="medium">
        <color rgb="FFB8B1AA"/>
      </left>
      <right/>
      <top/>
      <bottom style="medium">
        <color rgb="FFB8B1AA"/>
      </bottom>
      <diagonal/>
    </border>
    <border>
      <left/>
      <right style="medium">
        <color rgb="FFB8B1AA"/>
      </right>
      <top/>
      <bottom style="medium">
        <color rgb="FFB8B1AA"/>
      </bottom>
      <diagonal/>
    </border>
    <border>
      <left style="medium">
        <color rgb="FFB8B1AA"/>
      </left>
      <right/>
      <top style="medium">
        <color rgb="FFB8B1AA"/>
      </top>
      <bottom style="medium">
        <color rgb="FFB8B1AA"/>
      </bottom>
      <diagonal/>
    </border>
    <border>
      <left/>
      <right style="medium">
        <color rgb="FFB8B1AA"/>
      </right>
      <top style="medium">
        <color rgb="FFB8B1AA"/>
      </top>
      <bottom style="medium">
        <color rgb="FFB8B1AA"/>
      </bottom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rgb="FFB8B1AA"/>
      </top>
      <bottom/>
      <diagonal/>
    </border>
  </borders>
  <cellStyleXfs count="3">
    <xf numFmtId="0" fontId="0" fillId="0" borderId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34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/>
    <xf numFmtId="0" fontId="0" fillId="0" borderId="5" xfId="0" applyBorder="1"/>
    <xf numFmtId="0" fontId="0" fillId="0" borderId="6" xfId="0" applyBorder="1"/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7" xfId="0" applyFont="1" applyBorder="1" applyAlignment="1">
      <alignment horizontal="left"/>
    </xf>
    <xf numFmtId="0" fontId="0" fillId="0" borderId="0" xfId="0" quotePrefix="1"/>
    <xf numFmtId="0" fontId="2" fillId="0" borderId="10" xfId="0" applyFont="1" applyBorder="1" applyAlignment="1">
      <alignment wrapText="1"/>
    </xf>
    <xf numFmtId="0" fontId="2" fillId="0" borderId="0" xfId="0" applyFont="1"/>
    <xf numFmtId="0" fontId="2" fillId="0" borderId="10" xfId="0" applyFont="1" applyBorder="1"/>
    <xf numFmtId="0" fontId="1" fillId="0" borderId="0" xfId="0" applyFont="1"/>
    <xf numFmtId="3" fontId="1" fillId="2" borderId="0" xfId="0" applyNumberFormat="1" applyFont="1" applyFill="1"/>
    <xf numFmtId="3" fontId="0" fillId="0" borderId="0" xfId="0" applyNumberFormat="1"/>
    <xf numFmtId="0" fontId="0" fillId="3" borderId="1" xfId="0" applyFill="1" applyBorder="1"/>
    <xf numFmtId="0" fontId="4" fillId="0" borderId="0" xfId="0" applyFont="1"/>
    <xf numFmtId="3" fontId="4" fillId="0" borderId="0" xfId="0" applyNumberFormat="1" applyFont="1"/>
    <xf numFmtId="0" fontId="3" fillId="0" borderId="0" xfId="0" applyFont="1"/>
    <xf numFmtId="3" fontId="0" fillId="0" borderId="1" xfId="0" applyNumberFormat="1" applyBorder="1"/>
    <xf numFmtId="3" fontId="6" fillId="0" borderId="0" xfId="0" applyNumberFormat="1" applyFont="1"/>
    <xf numFmtId="3" fontId="4" fillId="0" borderId="16" xfId="0" applyNumberFormat="1" applyFont="1" applyBorder="1"/>
    <xf numFmtId="3" fontId="4" fillId="0" borderId="17" xfId="0" applyNumberFormat="1" applyFont="1" applyBorder="1"/>
    <xf numFmtId="3" fontId="4" fillId="0" borderId="20" xfId="0" applyNumberFormat="1" applyFont="1" applyBorder="1"/>
    <xf numFmtId="3" fontId="4" fillId="0" borderId="21" xfId="0" applyNumberFormat="1" applyFont="1" applyBorder="1"/>
    <xf numFmtId="10" fontId="7" fillId="0" borderId="19" xfId="0" applyNumberFormat="1" applyFont="1" applyBorder="1"/>
    <xf numFmtId="10" fontId="7" fillId="0" borderId="18" xfId="0" applyNumberFormat="1" applyFont="1" applyBorder="1"/>
    <xf numFmtId="0" fontId="7" fillId="0" borderId="0" xfId="0" applyFont="1"/>
    <xf numFmtId="10" fontId="7" fillId="0" borderId="20" xfId="0" applyNumberFormat="1" applyFont="1" applyBorder="1"/>
    <xf numFmtId="0" fontId="7" fillId="0" borderId="18" xfId="0" applyFont="1" applyBorder="1"/>
    <xf numFmtId="3" fontId="7" fillId="0" borderId="18" xfId="0" applyNumberFormat="1" applyFont="1" applyBorder="1"/>
    <xf numFmtId="3" fontId="3" fillId="0" borderId="18" xfId="0" applyNumberFormat="1" applyFont="1" applyBorder="1"/>
    <xf numFmtId="3" fontId="6" fillId="0" borderId="9" xfId="0" applyNumberFormat="1" applyFont="1" applyBorder="1"/>
    <xf numFmtId="3" fontId="8" fillId="0" borderId="11" xfId="0" applyNumberFormat="1" applyFont="1" applyBorder="1"/>
    <xf numFmtId="3" fontId="8" fillId="0" borderId="7" xfId="0" applyNumberFormat="1" applyFont="1" applyBorder="1"/>
    <xf numFmtId="3" fontId="6" fillId="0" borderId="7" xfId="0" applyNumberFormat="1" applyFont="1" applyBorder="1"/>
    <xf numFmtId="3" fontId="4" fillId="0" borderId="22" xfId="0" applyNumberFormat="1" applyFont="1" applyBorder="1"/>
    <xf numFmtId="3" fontId="4" fillId="0" borderId="23" xfId="0" applyNumberFormat="1" applyFont="1" applyBorder="1"/>
    <xf numFmtId="3" fontId="3" fillId="0" borderId="20" xfId="0" applyNumberFormat="1" applyFont="1" applyBorder="1"/>
    <xf numFmtId="3" fontId="5" fillId="3" borderId="1" xfId="0" applyNumberFormat="1" applyFont="1" applyFill="1" applyBorder="1" applyAlignment="1">
      <alignment vertical="center"/>
    </xf>
    <xf numFmtId="3" fontId="3" fillId="3" borderId="3" xfId="0" applyNumberFormat="1" applyFont="1" applyFill="1" applyBorder="1"/>
    <xf numFmtId="0" fontId="9" fillId="0" borderId="0" xfId="0" applyFont="1"/>
    <xf numFmtId="3" fontId="6" fillId="0" borderId="15" xfId="0" applyNumberFormat="1" applyFont="1" applyBorder="1"/>
    <xf numFmtId="0" fontId="10" fillId="0" borderId="0" xfId="0" applyFont="1"/>
    <xf numFmtId="0" fontId="3" fillId="2" borderId="2" xfId="0" applyFont="1" applyFill="1" applyBorder="1" applyAlignment="1">
      <alignment horizontal="center"/>
    </xf>
    <xf numFmtId="3" fontId="6" fillId="0" borderId="5" xfId="0" applyNumberFormat="1" applyFont="1" applyBorder="1"/>
    <xf numFmtId="3" fontId="4" fillId="2" borderId="0" xfId="0" applyNumberFormat="1" applyFont="1" applyFill="1"/>
    <xf numFmtId="0" fontId="3" fillId="2" borderId="11" xfId="0" applyFont="1" applyFill="1" applyBorder="1" applyAlignment="1">
      <alignment horizontal="center"/>
    </xf>
    <xf numFmtId="3" fontId="4" fillId="2" borderId="12" xfId="0" applyNumberFormat="1" applyFont="1" applyFill="1" applyBorder="1"/>
    <xf numFmtId="3" fontId="3" fillId="2" borderId="12" xfId="0" applyNumberFormat="1" applyFont="1" applyFill="1" applyBorder="1"/>
    <xf numFmtId="3" fontId="4" fillId="2" borderId="14" xfId="0" applyNumberFormat="1" applyFont="1" applyFill="1" applyBorder="1"/>
    <xf numFmtId="3" fontId="3" fillId="2" borderId="4" xfId="0" applyNumberFormat="1" applyFont="1" applyFill="1" applyBorder="1" applyAlignment="1">
      <alignment horizontal="center"/>
    </xf>
    <xf numFmtId="14" fontId="3" fillId="2" borderId="9" xfId="0" applyNumberFormat="1" applyFont="1" applyFill="1" applyBorder="1" applyAlignment="1">
      <alignment horizontal="center"/>
    </xf>
    <xf numFmtId="3" fontId="3" fillId="2" borderId="7" xfId="0" applyNumberFormat="1" applyFont="1" applyFill="1" applyBorder="1"/>
    <xf numFmtId="3" fontId="3" fillId="2" borderId="6" xfId="0" applyNumberFormat="1" applyFont="1" applyFill="1" applyBorder="1"/>
    <xf numFmtId="3" fontId="9" fillId="4" borderId="25" xfId="0" applyNumberFormat="1" applyFont="1" applyFill="1" applyBorder="1"/>
    <xf numFmtId="3" fontId="4" fillId="0" borderId="26" xfId="0" applyNumberFormat="1" applyFont="1" applyBorder="1"/>
    <xf numFmtId="9" fontId="4" fillId="0" borderId="27" xfId="0" applyNumberFormat="1" applyFont="1" applyBorder="1"/>
    <xf numFmtId="9" fontId="4" fillId="0" borderId="28" xfId="0" applyNumberFormat="1" applyFont="1" applyBorder="1"/>
    <xf numFmtId="9" fontId="4" fillId="0" borderId="29" xfId="0" applyNumberFormat="1" applyFont="1" applyBorder="1"/>
    <xf numFmtId="2" fontId="0" fillId="0" borderId="1" xfId="0" applyNumberFormat="1" applyBorder="1"/>
    <xf numFmtId="3" fontId="9" fillId="4" borderId="33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3" fontId="3" fillId="3" borderId="14" xfId="0" applyNumberFormat="1" applyFont="1" applyFill="1" applyBorder="1"/>
    <xf numFmtId="3" fontId="3" fillId="3" borderId="11" xfId="0" applyNumberFormat="1" applyFont="1" applyFill="1" applyBorder="1"/>
    <xf numFmtId="0" fontId="11" fillId="4" borderId="24" xfId="0" applyFont="1" applyFill="1" applyBorder="1" applyAlignment="1">
      <alignment horizontal="left" vertical="top"/>
    </xf>
    <xf numFmtId="0" fontId="3" fillId="4" borderId="24" xfId="0" applyFont="1" applyFill="1" applyBorder="1" applyAlignment="1">
      <alignment horizontal="left" vertical="top"/>
    </xf>
    <xf numFmtId="0" fontId="9" fillId="4" borderId="15" xfId="0" applyFont="1" applyFill="1" applyBorder="1" applyAlignment="1">
      <alignment horizontal="center" vertical="center"/>
    </xf>
    <xf numFmtId="9" fontId="9" fillId="4" borderId="5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9" fontId="9" fillId="4" borderId="7" xfId="0" applyNumberFormat="1" applyFont="1" applyFill="1" applyBorder="1" applyAlignment="1">
      <alignment horizontal="center" vertical="center"/>
    </xf>
    <xf numFmtId="0" fontId="3" fillId="4" borderId="1" xfId="0" applyFont="1" applyFill="1" applyBorder="1"/>
    <xf numFmtId="3" fontId="9" fillId="4" borderId="6" xfId="0" applyNumberFormat="1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5" borderId="0" xfId="0" applyFill="1"/>
    <xf numFmtId="0" fontId="1" fillId="6" borderId="34" xfId="0" applyFont="1" applyFill="1" applyBorder="1"/>
    <xf numFmtId="0" fontId="1" fillId="6" borderId="35" xfId="0" applyFont="1" applyFill="1" applyBorder="1"/>
    <xf numFmtId="2" fontId="1" fillId="6" borderId="35" xfId="0" quotePrefix="1" applyNumberFormat="1" applyFont="1" applyFill="1" applyBorder="1"/>
    <xf numFmtId="0" fontId="1" fillId="6" borderId="36" xfId="0" applyFont="1" applyFill="1" applyBorder="1"/>
    <xf numFmtId="0" fontId="0" fillId="6" borderId="34" xfId="0" applyFill="1" applyBorder="1"/>
    <xf numFmtId="0" fontId="0" fillId="6" borderId="36" xfId="0" applyFill="1" applyBorder="1"/>
    <xf numFmtId="0" fontId="0" fillId="6" borderId="1" xfId="0" applyFill="1" applyBorder="1"/>
    <xf numFmtId="10" fontId="0" fillId="6" borderId="1" xfId="1" applyNumberFormat="1" applyFont="1" applyFill="1" applyBorder="1"/>
    <xf numFmtId="0" fontId="0" fillId="6" borderId="1" xfId="0" applyFill="1" applyBorder="1" applyAlignment="1">
      <alignment vertical="center"/>
    </xf>
    <xf numFmtId="0" fontId="0" fillId="0" borderId="0" xfId="0" pivotButton="1"/>
    <xf numFmtId="0" fontId="0" fillId="7" borderId="0" xfId="0" applyFill="1"/>
    <xf numFmtId="0" fontId="17" fillId="7" borderId="0" xfId="0" applyFont="1" applyFill="1" applyAlignment="1">
      <alignment vertical="center"/>
    </xf>
    <xf numFmtId="166" fontId="0" fillId="6" borderId="1" xfId="0" applyNumberFormat="1" applyFill="1" applyBorder="1"/>
    <xf numFmtId="10" fontId="0" fillId="0" borderId="0" xfId="0" applyNumberFormat="1"/>
    <xf numFmtId="0" fontId="19" fillId="0" borderId="0" xfId="0" applyFont="1" applyAlignment="1">
      <alignment horizontal="center" vertical="center"/>
    </xf>
    <xf numFmtId="2" fontId="0" fillId="6" borderId="1" xfId="0" applyNumberFormat="1" applyFill="1" applyBorder="1"/>
    <xf numFmtId="164" fontId="0" fillId="6" borderId="1" xfId="1" applyNumberFormat="1" applyFont="1" applyFill="1" applyBorder="1"/>
    <xf numFmtId="167" fontId="0" fillId="6" borderId="1" xfId="0" applyNumberFormat="1" applyFill="1" applyBorder="1"/>
    <xf numFmtId="3" fontId="9" fillId="4" borderId="5" xfId="0" applyNumberFormat="1" applyFont="1" applyFill="1" applyBorder="1" applyAlignment="1">
      <alignment horizontal="center" vertical="center"/>
    </xf>
    <xf numFmtId="14" fontId="0" fillId="5" borderId="0" xfId="0" applyNumberFormat="1" applyFill="1"/>
    <xf numFmtId="10" fontId="0" fillId="5" borderId="0" xfId="1" applyNumberFormat="1" applyFont="1" applyFill="1"/>
    <xf numFmtId="0" fontId="0" fillId="8" borderId="0" xfId="0" applyFill="1"/>
    <xf numFmtId="0" fontId="0" fillId="8" borderId="1" xfId="0" applyFill="1" applyBorder="1"/>
    <xf numFmtId="14" fontId="0" fillId="8" borderId="0" xfId="0" applyNumberFormat="1" applyFill="1"/>
    <xf numFmtId="10" fontId="0" fillId="8" borderId="0" xfId="1" applyNumberFormat="1" applyFont="1" applyFill="1"/>
    <xf numFmtId="164" fontId="9" fillId="4" borderId="25" xfId="0" applyNumberFormat="1" applyFont="1" applyFill="1" applyBorder="1"/>
    <xf numFmtId="2" fontId="9" fillId="4" borderId="25" xfId="0" applyNumberFormat="1" applyFont="1" applyFill="1" applyBorder="1"/>
    <xf numFmtId="0" fontId="0" fillId="8" borderId="2" xfId="0" applyFill="1" applyBorder="1" applyAlignment="1">
      <alignment vertical="center"/>
    </xf>
    <xf numFmtId="0" fontId="0" fillId="8" borderId="4" xfId="0" applyFill="1" applyBorder="1" applyAlignment="1">
      <alignment vertical="center"/>
    </xf>
    <xf numFmtId="164" fontId="0" fillId="0" borderId="0" xfId="0" applyNumberFormat="1"/>
    <xf numFmtId="2" fontId="0" fillId="0" borderId="0" xfId="0" applyNumberFormat="1"/>
    <xf numFmtId="166" fontId="0" fillId="0" borderId="0" xfId="0" applyNumberFormat="1"/>
    <xf numFmtId="0" fontId="18" fillId="7" borderId="3" xfId="0" applyFont="1" applyFill="1" applyBorder="1"/>
    <xf numFmtId="0" fontId="18" fillId="7" borderId="1" xfId="0" applyFont="1" applyFill="1" applyBorder="1" applyAlignment="1">
      <alignment vertical="center"/>
    </xf>
    <xf numFmtId="0" fontId="0" fillId="7" borderId="4" xfId="0" applyFill="1" applyBorder="1"/>
    <xf numFmtId="0" fontId="0" fillId="7" borderId="11" xfId="0" applyFill="1" applyBorder="1"/>
    <xf numFmtId="0" fontId="18" fillId="7" borderId="2" xfId="0" applyFont="1" applyFill="1" applyBorder="1"/>
    <xf numFmtId="0" fontId="18" fillId="7" borderId="13" xfId="0" applyFont="1" applyFill="1" applyBorder="1"/>
    <xf numFmtId="0" fontId="18" fillId="7" borderId="1" xfId="0" applyFont="1" applyFill="1" applyBorder="1"/>
    <xf numFmtId="0" fontId="18" fillId="7" borderId="4" xfId="0" applyFont="1" applyFill="1" applyBorder="1"/>
    <xf numFmtId="0" fontId="18" fillId="7" borderId="5" xfId="0" applyFont="1" applyFill="1" applyBorder="1"/>
    <xf numFmtId="0" fontId="18" fillId="7" borderId="7" xfId="0" applyFont="1" applyFill="1" applyBorder="1"/>
    <xf numFmtId="0" fontId="18" fillId="7" borderId="6" xfId="0" applyFont="1" applyFill="1" applyBorder="1"/>
    <xf numFmtId="11" fontId="18" fillId="7" borderId="6" xfId="0" applyNumberFormat="1" applyFont="1" applyFill="1" applyBorder="1"/>
    <xf numFmtId="11" fontId="18" fillId="7" borderId="11" xfId="0" applyNumberFormat="1" applyFont="1" applyFill="1" applyBorder="1"/>
    <xf numFmtId="10" fontId="0" fillId="8" borderId="1" xfId="1" applyNumberFormat="1" applyFont="1" applyFill="1" applyBorder="1"/>
    <xf numFmtId="2" fontId="0" fillId="0" borderId="0" xfId="1" applyNumberFormat="1" applyFont="1"/>
    <xf numFmtId="0" fontId="23" fillId="2" borderId="1" xfId="0" applyFont="1" applyFill="1" applyBorder="1" applyAlignment="1">
      <alignment horizontal="center" vertical="top"/>
    </xf>
    <xf numFmtId="0" fontId="24" fillId="2" borderId="1" xfId="0" applyFont="1" applyFill="1" applyBorder="1" applyAlignment="1">
      <alignment horizontal="center"/>
    </xf>
    <xf numFmtId="10" fontId="9" fillId="4" borderId="1" xfId="0" applyNumberFormat="1" applyFont="1" applyFill="1" applyBorder="1"/>
    <xf numFmtId="3" fontId="9" fillId="4" borderId="1" xfId="0" applyNumberFormat="1" applyFont="1" applyFill="1" applyBorder="1" applyAlignment="1">
      <alignment horizontal="center"/>
    </xf>
    <xf numFmtId="4" fontId="0" fillId="0" borderId="1" xfId="0" applyNumberFormat="1" applyBorder="1"/>
    <xf numFmtId="1" fontId="9" fillId="4" borderId="0" xfId="0" applyNumberFormat="1" applyFont="1" applyFill="1"/>
    <xf numFmtId="0" fontId="1" fillId="7" borderId="1" xfId="0" applyFont="1" applyFill="1" applyBorder="1" applyAlignment="1">
      <alignment horizontal="center" vertical="center"/>
    </xf>
    <xf numFmtId="3" fontId="6" fillId="0" borderId="10" xfId="0" applyNumberFormat="1" applyFont="1" applyBorder="1"/>
    <xf numFmtId="10" fontId="4" fillId="0" borderId="27" xfId="0" applyNumberFormat="1" applyFont="1" applyBorder="1"/>
    <xf numFmtId="10" fontId="4" fillId="0" borderId="28" xfId="0" applyNumberFormat="1" applyFont="1" applyBorder="1"/>
    <xf numFmtId="10" fontId="4" fillId="0" borderId="37" xfId="0" applyNumberFormat="1" applyFont="1" applyBorder="1"/>
    <xf numFmtId="10" fontId="10" fillId="0" borderId="30" xfId="0" applyNumberFormat="1" applyFont="1" applyBorder="1"/>
    <xf numFmtId="10" fontId="10" fillId="0" borderId="31" xfId="0" applyNumberFormat="1" applyFont="1" applyBorder="1"/>
    <xf numFmtId="10" fontId="10" fillId="0" borderId="32" xfId="0" applyNumberFormat="1" applyFont="1" applyBorder="1"/>
    <xf numFmtId="3" fontId="25" fillId="0" borderId="11" xfId="0" applyNumberFormat="1" applyFont="1" applyBorder="1"/>
    <xf numFmtId="0" fontId="12" fillId="2" borderId="1" xfId="0" applyFont="1" applyFill="1" applyBorder="1"/>
    <xf numFmtId="168" fontId="0" fillId="8" borderId="1" xfId="0" applyNumberFormat="1" applyFill="1" applyBorder="1"/>
    <xf numFmtId="0" fontId="1" fillId="8" borderId="4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4" fontId="0" fillId="0" borderId="0" xfId="1" applyNumberFormat="1" applyFont="1"/>
    <xf numFmtId="2" fontId="0" fillId="6" borderId="1" xfId="1" applyNumberFormat="1" applyFont="1" applyFill="1" applyBorder="1"/>
    <xf numFmtId="167" fontId="0" fillId="6" borderId="35" xfId="0" applyNumberFormat="1" applyFill="1" applyBorder="1"/>
    <xf numFmtId="10" fontId="0" fillId="6" borderId="35" xfId="1" applyNumberFormat="1" applyFont="1" applyFill="1" applyBorder="1"/>
    <xf numFmtId="0" fontId="0" fillId="6" borderId="35" xfId="0" applyFill="1" applyBorder="1" applyAlignment="1">
      <alignment horizontal="right"/>
    </xf>
    <xf numFmtId="0" fontId="0" fillId="8" borderId="4" xfId="0" applyFill="1" applyBorder="1"/>
    <xf numFmtId="0" fontId="15" fillId="8" borderId="1" xfId="0" applyFont="1" applyFill="1" applyBorder="1" applyAlignment="1">
      <alignment horizontal="center"/>
    </xf>
    <xf numFmtId="165" fontId="0" fillId="8" borderId="1" xfId="0" applyNumberFormat="1" applyFill="1" applyBorder="1"/>
    <xf numFmtId="10" fontId="0" fillId="8" borderId="1" xfId="0" applyNumberFormat="1" applyFill="1" applyBorder="1"/>
    <xf numFmtId="169" fontId="0" fillId="6" borderId="35" xfId="0" applyNumberFormat="1" applyFill="1" applyBorder="1" applyAlignment="1">
      <alignment horizontal="right"/>
    </xf>
    <xf numFmtId="14" fontId="0" fillId="0" borderId="0" xfId="0" applyNumberFormat="1"/>
    <xf numFmtId="14" fontId="3" fillId="2" borderId="12" xfId="0" applyNumberFormat="1" applyFont="1" applyFill="1" applyBorder="1" applyAlignment="1">
      <alignment horizontal="center"/>
    </xf>
    <xf numFmtId="0" fontId="3" fillId="4" borderId="5" xfId="0" applyFont="1" applyFill="1" applyBorder="1"/>
    <xf numFmtId="0" fontId="9" fillId="4" borderId="1" xfId="0" applyFont="1" applyFill="1" applyBorder="1"/>
    <xf numFmtId="3" fontId="9" fillId="4" borderId="1" xfId="0" applyNumberFormat="1" applyFont="1" applyFill="1" applyBorder="1" applyAlignment="1">
      <alignment horizontal="center" vertical="center"/>
    </xf>
    <xf numFmtId="169" fontId="0" fillId="8" borderId="1" xfId="0" applyNumberFormat="1" applyFill="1" applyBorder="1"/>
    <xf numFmtId="0" fontId="0" fillId="9" borderId="0" xfId="0" applyFill="1"/>
    <xf numFmtId="0" fontId="0" fillId="6" borderId="0" xfId="0" applyFill="1" applyAlignment="1">
      <alignment horizontal="left"/>
    </xf>
    <xf numFmtId="10" fontId="0" fillId="6" borderId="0" xfId="0" applyNumberFormat="1" applyFill="1"/>
    <xf numFmtId="0" fontId="1" fillId="6" borderId="47" xfId="0" applyFont="1" applyFill="1" applyBorder="1"/>
    <xf numFmtId="0" fontId="1" fillId="6" borderId="48" xfId="0" applyFont="1" applyFill="1" applyBorder="1"/>
    <xf numFmtId="2" fontId="1" fillId="6" borderId="48" xfId="0" quotePrefix="1" applyNumberFormat="1" applyFont="1" applyFill="1" applyBorder="1"/>
    <xf numFmtId="0" fontId="1" fillId="6" borderId="49" xfId="0" applyFont="1" applyFill="1" applyBorder="1"/>
    <xf numFmtId="170" fontId="0" fillId="8" borderId="1" xfId="0" applyNumberFormat="1" applyFill="1" applyBorder="1"/>
    <xf numFmtId="10" fontId="0" fillId="0" borderId="0" xfId="1" applyNumberFormat="1" applyFont="1" applyFill="1"/>
    <xf numFmtId="3" fontId="0" fillId="0" borderId="0" xfId="2" applyNumberFormat="1" applyFont="1" applyFill="1"/>
    <xf numFmtId="0" fontId="0" fillId="0" borderId="0" xfId="1" applyNumberFormat="1" applyFont="1" applyFill="1"/>
    <xf numFmtId="165" fontId="0" fillId="0" borderId="0" xfId="0" applyNumberFormat="1"/>
    <xf numFmtId="2" fontId="19" fillId="0" borderId="0" xfId="0" applyNumberFormat="1" applyFont="1" applyAlignment="1">
      <alignment horizontal="center" vertical="center"/>
    </xf>
    <xf numFmtId="14" fontId="14" fillId="8" borderId="2" xfId="0" applyNumberFormat="1" applyFont="1" applyFill="1" applyBorder="1"/>
    <xf numFmtId="14" fontId="14" fillId="8" borderId="3" xfId="0" applyNumberFormat="1" applyFont="1" applyFill="1" applyBorder="1"/>
    <xf numFmtId="14" fontId="14" fillId="8" borderId="4" xfId="0" applyNumberFormat="1" applyFont="1" applyFill="1" applyBorder="1"/>
    <xf numFmtId="0" fontId="1" fillId="8" borderId="2" xfId="0" applyFont="1" applyFill="1" applyBorder="1" applyAlignment="1">
      <alignment vertical="top"/>
    </xf>
    <xf numFmtId="0" fontId="1" fillId="8" borderId="1" xfId="0" applyFont="1" applyFill="1" applyBorder="1" applyAlignment="1">
      <alignment vertical="top"/>
    </xf>
    <xf numFmtId="0" fontId="1" fillId="8" borderId="4" xfId="0" applyFont="1" applyFill="1" applyBorder="1" applyAlignment="1">
      <alignment vertical="top"/>
    </xf>
    <xf numFmtId="0" fontId="1" fillId="8" borderId="3" xfId="0" applyFont="1" applyFill="1" applyBorder="1" applyAlignment="1">
      <alignment vertical="top"/>
    </xf>
    <xf numFmtId="0" fontId="1" fillId="8" borderId="13" xfId="0" applyFont="1" applyFill="1" applyBorder="1" applyAlignment="1">
      <alignment vertical="top"/>
    </xf>
    <xf numFmtId="0" fontId="1" fillId="8" borderId="14" xfId="0" applyFont="1" applyFill="1" applyBorder="1" applyAlignment="1">
      <alignment vertical="top"/>
    </xf>
    <xf numFmtId="164" fontId="1" fillId="8" borderId="1" xfId="0" applyNumberFormat="1" applyFont="1" applyFill="1" applyBorder="1" applyAlignment="1">
      <alignment vertical="top"/>
    </xf>
    <xf numFmtId="166" fontId="1" fillId="8" borderId="1" xfId="0" applyNumberFormat="1" applyFont="1" applyFill="1" applyBorder="1" applyAlignment="1">
      <alignment vertical="top"/>
    </xf>
    <xf numFmtId="0" fontId="1" fillId="8" borderId="11" xfId="0" applyFont="1" applyFill="1" applyBorder="1" applyAlignment="1">
      <alignment vertical="top"/>
    </xf>
    <xf numFmtId="10" fontId="1" fillId="8" borderId="1" xfId="1" applyNumberFormat="1" applyFont="1" applyFill="1" applyBorder="1" applyAlignment="1">
      <alignment vertical="top"/>
    </xf>
    <xf numFmtId="0" fontId="1" fillId="8" borderId="14" xfId="0" applyFont="1" applyFill="1" applyBorder="1" applyAlignment="1">
      <alignment vertical="top" wrapText="1"/>
    </xf>
    <xf numFmtId="10" fontId="1" fillId="8" borderId="1" xfId="0" applyNumberFormat="1" applyFont="1" applyFill="1" applyBorder="1" applyAlignment="1">
      <alignment vertical="top"/>
    </xf>
    <xf numFmtId="0" fontId="15" fillId="8" borderId="15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0" fillId="0" borderId="4" xfId="0" applyBorder="1"/>
    <xf numFmtId="166" fontId="1" fillId="8" borderId="15" xfId="0" applyNumberFormat="1" applyFont="1" applyFill="1" applyBorder="1" applyAlignment="1">
      <alignment vertical="top"/>
    </xf>
    <xf numFmtId="10" fontId="1" fillId="8" borderId="8" xfId="1" applyNumberFormat="1" applyFont="1" applyFill="1" applyBorder="1" applyAlignment="1">
      <alignment vertical="top"/>
    </xf>
    <xf numFmtId="10" fontId="1" fillId="8" borderId="2" xfId="1" applyNumberFormat="1" applyFont="1" applyFill="1" applyBorder="1" applyAlignment="1">
      <alignment vertical="top"/>
    </xf>
    <xf numFmtId="9" fontId="9" fillId="0" borderId="0" xfId="0" applyNumberFormat="1" applyFont="1"/>
    <xf numFmtId="3" fontId="0" fillId="8" borderId="0" xfId="0" applyNumberFormat="1" applyFill="1"/>
    <xf numFmtId="14" fontId="0" fillId="0" borderId="1" xfId="0" applyNumberFormat="1" applyBorder="1"/>
    <xf numFmtId="1" fontId="0" fillId="0" borderId="1" xfId="0" applyNumberFormat="1" applyBorder="1"/>
    <xf numFmtId="1" fontId="0" fillId="0" borderId="0" xfId="0" applyNumberFormat="1"/>
    <xf numFmtId="14" fontId="17" fillId="8" borderId="0" xfId="0" applyNumberFormat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10" borderId="38" xfId="0" applyFill="1" applyBorder="1" applyAlignment="1">
      <alignment horizontal="left" vertical="center" wrapText="1"/>
    </xf>
    <xf numFmtId="3" fontId="9" fillId="4" borderId="1" xfId="0" applyNumberFormat="1" applyFont="1" applyFill="1" applyBorder="1"/>
    <xf numFmtId="14" fontId="17" fillId="8" borderId="0" xfId="0" applyNumberFormat="1" applyFont="1" applyFill="1" applyAlignment="1">
      <alignment horizontal="right" vertical="center"/>
    </xf>
    <xf numFmtId="14" fontId="17" fillId="8" borderId="0" xfId="0" applyNumberFormat="1" applyFont="1" applyFill="1" applyAlignment="1">
      <alignment horizontal="left" vertical="center"/>
    </xf>
    <xf numFmtId="0" fontId="0" fillId="0" borderId="15" xfId="0" applyBorder="1"/>
    <xf numFmtId="3" fontId="0" fillId="0" borderId="15" xfId="0" applyNumberFormat="1" applyBorder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3" fontId="9" fillId="0" borderId="0" xfId="0" applyNumberFormat="1" applyFont="1"/>
    <xf numFmtId="167" fontId="0" fillId="0" borderId="1" xfId="0" applyNumberFormat="1" applyBorder="1"/>
    <xf numFmtId="0" fontId="0" fillId="0" borderId="1" xfId="0" applyBorder="1" applyAlignment="1">
      <alignment horizontal="center"/>
    </xf>
    <xf numFmtId="0" fontId="1" fillId="8" borderId="1" xfId="0" applyFont="1" applyFill="1" applyBorder="1"/>
    <xf numFmtId="1" fontId="1" fillId="8" borderId="1" xfId="0" applyNumberFormat="1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2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" xfId="0" applyBorder="1" applyAlignment="1">
      <alignment vertical="center"/>
    </xf>
    <xf numFmtId="0" fontId="26" fillId="0" borderId="4" xfId="0" applyFont="1" applyBorder="1"/>
    <xf numFmtId="0" fontId="26" fillId="0" borderId="1" xfId="0" applyFont="1" applyBorder="1"/>
    <xf numFmtId="2" fontId="0" fillId="0" borderId="1" xfId="0" applyNumberFormat="1" applyBorder="1" applyAlignment="1">
      <alignment horizontal="center" vertical="center"/>
    </xf>
    <xf numFmtId="0" fontId="27" fillId="11" borderId="39" xfId="0" applyFont="1" applyFill="1" applyBorder="1" applyAlignment="1">
      <alignment horizontal="center" vertical="center" wrapText="1"/>
    </xf>
    <xf numFmtId="0" fontId="27" fillId="11" borderId="40" xfId="0" applyFont="1" applyFill="1" applyBorder="1" applyAlignment="1">
      <alignment horizontal="center" vertical="center" wrapText="1"/>
    </xf>
    <xf numFmtId="0" fontId="28" fillId="10" borderId="38" xfId="0" applyFont="1" applyFill="1" applyBorder="1" applyAlignment="1">
      <alignment horizontal="left" vertical="center" wrapText="1"/>
    </xf>
    <xf numFmtId="0" fontId="29" fillId="10" borderId="38" xfId="0" applyFont="1" applyFill="1" applyBorder="1" applyAlignment="1">
      <alignment horizontal="left" vertical="center" wrapText="1" indent="1"/>
    </xf>
    <xf numFmtId="0" fontId="29" fillId="10" borderId="38" xfId="0" applyFont="1" applyFill="1" applyBorder="1" applyAlignment="1">
      <alignment horizontal="center" vertical="center" wrapText="1"/>
    </xf>
    <xf numFmtId="0" fontId="30" fillId="10" borderId="38" xfId="0" applyFont="1" applyFill="1" applyBorder="1" applyAlignment="1">
      <alignment horizontal="center" vertical="center" wrapText="1"/>
    </xf>
    <xf numFmtId="0" fontId="28" fillId="10" borderId="38" xfId="0" applyFont="1" applyFill="1" applyBorder="1" applyAlignment="1">
      <alignment horizontal="center" vertical="center" wrapText="1"/>
    </xf>
    <xf numFmtId="3" fontId="3" fillId="2" borderId="3" xfId="0" applyNumberFormat="1" applyFont="1" applyFill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10" borderId="45" xfId="0" applyFill="1" applyBorder="1" applyAlignment="1">
      <alignment horizontal="left" vertical="center" wrapText="1"/>
    </xf>
    <xf numFmtId="0" fontId="0" fillId="10" borderId="46" xfId="0" applyFill="1" applyBorder="1" applyAlignment="1">
      <alignment horizontal="left" vertical="center" wrapText="1"/>
    </xf>
    <xf numFmtId="0" fontId="0" fillId="10" borderId="50" xfId="0" applyFill="1" applyBorder="1" applyAlignment="1">
      <alignment vertical="center" wrapText="1"/>
    </xf>
    <xf numFmtId="0" fontId="29" fillId="10" borderId="45" xfId="0" applyFont="1" applyFill="1" applyBorder="1" applyAlignment="1">
      <alignment horizontal="center" vertical="center" wrapText="1"/>
    </xf>
    <xf numFmtId="0" fontId="29" fillId="10" borderId="46" xfId="0" applyFont="1" applyFill="1" applyBorder="1" applyAlignment="1">
      <alignment horizontal="center" vertical="center" wrapText="1"/>
    </xf>
    <xf numFmtId="0" fontId="27" fillId="11" borderId="39" xfId="0" applyFont="1" applyFill="1" applyBorder="1" applyAlignment="1">
      <alignment horizontal="center" vertical="center" wrapText="1"/>
    </xf>
    <xf numFmtId="0" fontId="27" fillId="11" borderId="40" xfId="0" applyFont="1" applyFill="1" applyBorder="1" applyAlignment="1">
      <alignment horizontal="center" vertical="center" wrapText="1"/>
    </xf>
    <xf numFmtId="0" fontId="27" fillId="11" borderId="41" xfId="0" applyFont="1" applyFill="1" applyBorder="1" applyAlignment="1">
      <alignment horizontal="center" vertical="center" wrapText="1"/>
    </xf>
    <xf numFmtId="0" fontId="27" fillId="11" borderId="42" xfId="0" applyFont="1" applyFill="1" applyBorder="1" applyAlignment="1">
      <alignment horizontal="center" vertical="center" wrapText="1"/>
    </xf>
    <xf numFmtId="0" fontId="27" fillId="11" borderId="43" xfId="0" applyFont="1" applyFill="1" applyBorder="1" applyAlignment="1">
      <alignment horizontal="center" vertical="center" wrapText="1"/>
    </xf>
    <xf numFmtId="0" fontId="27" fillId="11" borderId="44" xfId="0" applyFont="1" applyFill="1" applyBorder="1" applyAlignment="1">
      <alignment horizontal="center" vertical="center" wrapText="1"/>
    </xf>
    <xf numFmtId="14" fontId="17" fillId="8" borderId="0" xfId="0" applyNumberFormat="1" applyFont="1" applyFill="1" applyAlignment="1">
      <alignment horizontal="right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14" fontId="17" fillId="8" borderId="0" xfId="0" applyNumberFormat="1" applyFont="1" applyFill="1" applyAlignment="1">
      <alignment horizontal="left" vertical="center"/>
    </xf>
    <xf numFmtId="0" fontId="1" fillId="8" borderId="1" xfId="0" applyFont="1" applyFill="1" applyBorder="1" applyAlignment="1">
      <alignment horizontal="center" vertical="center" wrapText="1"/>
    </xf>
    <xf numFmtId="0" fontId="17" fillId="7" borderId="0" xfId="0" applyFont="1" applyFill="1" applyAlignment="1">
      <alignment horizontal="right" vertical="center"/>
    </xf>
    <xf numFmtId="14" fontId="17" fillId="7" borderId="0" xfId="0" applyNumberFormat="1" applyFont="1" applyFill="1" applyAlignment="1">
      <alignment horizontal="left" vertical="center"/>
    </xf>
    <xf numFmtId="0" fontId="16" fillId="7" borderId="8" xfId="0" applyFont="1" applyFill="1" applyBorder="1" applyAlignment="1">
      <alignment horizontal="center" vertical="center" wrapText="1"/>
    </xf>
    <xf numFmtId="0" fontId="16" fillId="7" borderId="12" xfId="0" applyFont="1" applyFill="1" applyBorder="1" applyAlignment="1">
      <alignment horizontal="center" vertical="center" wrapText="1"/>
    </xf>
    <xf numFmtId="0" fontId="16" fillId="7" borderId="9" xfId="0" applyFont="1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center" vertical="center" wrapText="1"/>
    </xf>
    <xf numFmtId="0" fontId="16" fillId="7" borderId="0" xfId="0" applyFont="1" applyFill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wrapText="1"/>
    </xf>
    <xf numFmtId="0" fontId="16" fillId="7" borderId="13" xfId="0" applyFont="1" applyFill="1" applyBorder="1" applyAlignment="1">
      <alignment horizontal="center" vertical="center" wrapText="1"/>
    </xf>
    <xf numFmtId="0" fontId="16" fillId="7" borderId="14" xfId="0" applyFont="1" applyFill="1" applyBorder="1" applyAlignment="1">
      <alignment horizontal="center" vertical="center" wrapText="1"/>
    </xf>
    <xf numFmtId="0" fontId="16" fillId="7" borderId="11" xfId="0" applyFont="1" applyFill="1" applyBorder="1" applyAlignment="1">
      <alignment horizontal="center" vertical="center" wrapText="1"/>
    </xf>
    <xf numFmtId="3" fontId="18" fillId="7" borderId="2" xfId="0" applyNumberFormat="1" applyFont="1" applyFill="1" applyBorder="1" applyAlignment="1">
      <alignment horizontal="center" vertical="center" wrapText="1"/>
    </xf>
    <xf numFmtId="3" fontId="18" fillId="7" borderId="3" xfId="0" applyNumberFormat="1" applyFont="1" applyFill="1" applyBorder="1" applyAlignment="1">
      <alignment horizontal="center" vertical="center" wrapText="1"/>
    </xf>
    <xf numFmtId="0" fontId="16" fillId="7" borderId="8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  <xf numFmtId="0" fontId="16" fillId="7" borderId="13" xfId="0" applyFont="1" applyFill="1" applyBorder="1" applyAlignment="1">
      <alignment horizontal="center"/>
    </xf>
    <xf numFmtId="0" fontId="16" fillId="7" borderId="14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20" fillId="6" borderId="1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 textRotation="90"/>
    </xf>
    <xf numFmtId="0" fontId="15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top"/>
    </xf>
    <xf numFmtId="0" fontId="1" fillId="8" borderId="4" xfId="0" applyFont="1" applyFill="1" applyBorder="1" applyAlignment="1">
      <alignment horizontal="center" vertical="top"/>
    </xf>
    <xf numFmtId="0" fontId="15" fillId="8" borderId="6" xfId="0" applyFont="1" applyFill="1" applyBorder="1" applyAlignment="1">
      <alignment horizontal="center" vertical="center" wrapText="1"/>
    </xf>
    <xf numFmtId="0" fontId="15" fillId="8" borderId="6" xfId="0" applyFont="1" applyFill="1" applyBorder="1" applyAlignment="1">
      <alignment horizontal="center" vertical="center"/>
    </xf>
    <xf numFmtId="0" fontId="20" fillId="6" borderId="15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 textRotation="90" wrapText="1"/>
    </xf>
    <xf numFmtId="0" fontId="15" fillId="8" borderId="15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top"/>
    </xf>
    <xf numFmtId="0" fontId="15" fillId="8" borderId="15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 textRotation="90" wrapText="1"/>
    </xf>
    <xf numFmtId="0" fontId="21" fillId="6" borderId="9" xfId="0" applyFont="1" applyFill="1" applyBorder="1" applyAlignment="1">
      <alignment horizontal="center" vertical="center" textRotation="90" wrapText="1"/>
    </xf>
    <xf numFmtId="0" fontId="21" fillId="6" borderId="7" xfId="0" applyFont="1" applyFill="1" applyBorder="1" applyAlignment="1">
      <alignment horizontal="center" vertical="center" textRotation="90" wrapText="1"/>
    </xf>
    <xf numFmtId="0" fontId="15" fillId="6" borderId="1" xfId="0" applyFont="1" applyFill="1" applyBorder="1" applyAlignment="1">
      <alignment horizontal="center" vertical="center" textRotation="90"/>
    </xf>
    <xf numFmtId="0" fontId="21" fillId="6" borderId="15" xfId="0" applyFont="1" applyFill="1" applyBorder="1" applyAlignment="1">
      <alignment horizontal="center" vertical="center" textRotation="90" wrapText="1"/>
    </xf>
    <xf numFmtId="0" fontId="21" fillId="6" borderId="5" xfId="0" applyFont="1" applyFill="1" applyBorder="1" applyAlignment="1">
      <alignment horizontal="center" vertical="center" textRotation="90" wrapText="1"/>
    </xf>
    <xf numFmtId="0" fontId="21" fillId="6" borderId="6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left" wrapText="1"/>
    </xf>
    <xf numFmtId="0" fontId="1" fillId="2" borderId="12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164" fontId="0" fillId="0" borderId="0" xfId="0" applyNumberFormat="1" applyFill="1"/>
    <xf numFmtId="166" fontId="0" fillId="0" borderId="0" xfId="0" applyNumberFormat="1" applyFill="1"/>
    <xf numFmtId="0" fontId="0" fillId="0" borderId="0" xfId="0" applyNumberFormat="1"/>
    <xf numFmtId="0" fontId="19" fillId="0" borderId="0" xfId="0" applyFont="1" applyFill="1"/>
    <xf numFmtId="10" fontId="0" fillId="0" borderId="0" xfId="0" applyNumberFormat="1" applyFill="1"/>
    <xf numFmtId="2" fontId="0" fillId="0" borderId="0" xfId="0" applyNumberFormat="1" applyFill="1"/>
    <xf numFmtId="0" fontId="0" fillId="6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1457">
    <dxf>
      <numFmt numFmtId="2" formatCode="0.00"/>
    </dxf>
    <dxf>
      <numFmt numFmtId="164" formatCode="0.0%"/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2" formatCode="0.00"/>
    </dxf>
    <dxf>
      <numFmt numFmtId="2" formatCode="0.00"/>
    </dxf>
    <dxf>
      <numFmt numFmtId="164" formatCode="0.0%"/>
    </dxf>
    <dxf>
      <numFmt numFmtId="164" formatCode="0.0%"/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64" formatCode="0.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2" formatCode="0.00"/>
    </dxf>
    <dxf>
      <numFmt numFmtId="14" formatCode="0.00%"/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6" formatCode="0.000"/>
    </dxf>
    <dxf>
      <numFmt numFmtId="164" formatCode="0.0%"/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D25F"/>
      </font>
    </dxf>
    <dxf>
      <font>
        <color rgb="FFFF00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C00000"/>
      </font>
    </dxf>
    <dxf>
      <font>
        <color rgb="FFE7E2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thin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.5"/>
        <color theme="1"/>
        <name val="Times New Roman"/>
        <family val="1"/>
        <scheme val="none"/>
      </font>
      <numFmt numFmtId="3" formatCode="#,##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</dxfs>
  <tableStyles count="0" defaultTableStyle="TableStyleMedium9" defaultPivotStyle="PivotStyleMedium4"/>
  <colors>
    <mruColors>
      <color rgb="FF008E00"/>
      <color rgb="FF008000"/>
      <color rgb="FF00B000"/>
      <color rgb="FF00CC00"/>
      <color rgb="FFE7E200"/>
      <color rgb="FF33CC33"/>
      <color rgb="FF00C057"/>
      <color rgb="FF00D25F"/>
      <color rgb="FF00D05E"/>
      <color rgb="FFD000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8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3.xml"/><Relationship Id="rId42" Type="http://schemas.openxmlformats.org/officeDocument/2006/relationships/pivotCacheDefinition" Target="pivotCache/pivotCacheDefinition11.xml"/><Relationship Id="rId47" Type="http://schemas.openxmlformats.org/officeDocument/2006/relationships/pivotCacheDefinition" Target="pivotCache/pivotCacheDefinition16.xml"/><Relationship Id="rId50" Type="http://schemas.openxmlformats.org/officeDocument/2006/relationships/pivotCacheDefinition" Target="pivotCache/pivotCacheDefinition19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openxmlformats.org/officeDocument/2006/relationships/pivotCacheDefinition" Target="pivotCache/pivotCacheDefinition7.xml"/><Relationship Id="rId46" Type="http://schemas.openxmlformats.org/officeDocument/2006/relationships/pivotCacheDefinition" Target="pivotCache/pivotCacheDefinition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pivotCacheDefinition" Target="pivotCache/pivotCacheDefinition10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pivotCacheDefinition" Target="pivotCache/pivotCacheDefinition6.xml"/><Relationship Id="rId40" Type="http://schemas.openxmlformats.org/officeDocument/2006/relationships/pivotCacheDefinition" Target="pivotCache/pivotCacheDefinition9.xml"/><Relationship Id="rId45" Type="http://schemas.openxmlformats.org/officeDocument/2006/relationships/pivotCacheDefinition" Target="pivotCache/pivotCacheDefinition14.xml"/><Relationship Id="rId53" Type="http://schemas.openxmlformats.org/officeDocument/2006/relationships/styles" Target="style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5.xml"/><Relationship Id="rId49" Type="http://schemas.openxmlformats.org/officeDocument/2006/relationships/pivotCacheDefinition" Target="pivotCache/pivotCacheDefinition18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pivotCacheDefinition" Target="pivotCache/pivotCacheDefinition13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4.xml"/><Relationship Id="rId43" Type="http://schemas.openxmlformats.org/officeDocument/2006/relationships/pivotCacheDefinition" Target="pivotCache/pivotCacheDefinition12.xml"/><Relationship Id="rId48" Type="http://schemas.openxmlformats.org/officeDocument/2006/relationships/pivotCacheDefinition" Target="pivotCache/pivotCacheDefinition17.xml"/><Relationship Id="rId56" Type="http://schemas.openxmlformats.org/officeDocument/2006/relationships/powerPivotData" Target="model/item.data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Quan'!$AA$6</c:f>
              <c:strCache>
                <c:ptCount val="1"/>
                <c:pt idx="0">
                  <c:v> 3 tháng 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Quan'!$AA$7:$AA$20</c:f>
              <c:numCache>
                <c:formatCode>0.00%</c:formatCode>
                <c:ptCount val="14"/>
                <c:pt idx="0">
                  <c:v>5.3699999999999998E-2</c:v>
                </c:pt>
                <c:pt idx="1">
                  <c:v>5.1699999999999996E-2</c:v>
                </c:pt>
                <c:pt idx="2">
                  <c:v>5.21E-2</c:v>
                </c:pt>
                <c:pt idx="3">
                  <c:v>5.1399999999999994E-2</c:v>
                </c:pt>
                <c:pt idx="4">
                  <c:v>5.1399999999999994E-2</c:v>
                </c:pt>
                <c:pt idx="5">
                  <c:v>5.2199999999999996E-2</c:v>
                </c:pt>
                <c:pt idx="6">
                  <c:v>5.2999999999999999E-2</c:v>
                </c:pt>
                <c:pt idx="7">
                  <c:v>5.1500000000000004E-2</c:v>
                </c:pt>
                <c:pt idx="8">
                  <c:v>5.3699999999999998E-2</c:v>
                </c:pt>
                <c:pt idx="9">
                  <c:v>5.0900000000000001E-2</c:v>
                </c:pt>
                <c:pt idx="10">
                  <c:v>5.2900000000000003E-2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A-4B51-9FD0-B25938616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85120"/>
        <c:axId val="534185480"/>
      </c:scatterChart>
      <c:valAx>
        <c:axId val="53418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4185480"/>
        <c:crosses val="autoZero"/>
        <c:crossBetween val="midCat"/>
      </c:valAx>
      <c:valAx>
        <c:axId val="53418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418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Quan'!$X$6</c:f>
              <c:strCache>
                <c:ptCount val="1"/>
                <c:pt idx="0">
                  <c:v> 1 tháng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Quan'!$X$7:$X$20</c:f>
              <c:numCache>
                <c:formatCode>0.00%</c:formatCode>
                <c:ptCount val="14"/>
                <c:pt idx="0">
                  <c:v>4.6699999999999998E-2</c:v>
                </c:pt>
                <c:pt idx="1">
                  <c:v>4.8099999999999997E-2</c:v>
                </c:pt>
                <c:pt idx="2">
                  <c:v>4.7400000000000005E-2</c:v>
                </c:pt>
                <c:pt idx="3">
                  <c:v>4.6900000000000004E-2</c:v>
                </c:pt>
                <c:pt idx="4">
                  <c:v>4.4600000000000001E-2</c:v>
                </c:pt>
                <c:pt idx="5">
                  <c:v>4.6500000000000007E-2</c:v>
                </c:pt>
                <c:pt idx="6">
                  <c:v>4.7199999999999999E-2</c:v>
                </c:pt>
                <c:pt idx="7">
                  <c:v>4.7500000000000001E-2</c:v>
                </c:pt>
                <c:pt idx="8">
                  <c:v>4.6699999999999998E-2</c:v>
                </c:pt>
                <c:pt idx="9">
                  <c:v>4.5400000000000003E-2</c:v>
                </c:pt>
                <c:pt idx="10">
                  <c:v>4.6699999999999998E-2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8-48E0-AA68-292A46664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52592"/>
        <c:axId val="535553672"/>
      </c:scatterChart>
      <c:valAx>
        <c:axId val="5355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3672"/>
        <c:crosses val="autoZero"/>
        <c:crossBetween val="midCat"/>
      </c:valAx>
      <c:valAx>
        <c:axId val="53555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Quan'!$AB$6</c:f>
              <c:strCache>
                <c:ptCount val="1"/>
                <c:pt idx="0">
                  <c:v> 6 tháng 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Quan'!$AB$7:$AB$20</c:f>
              <c:numCache>
                <c:formatCode>0.00%</c:formatCode>
                <c:ptCount val="14"/>
                <c:pt idx="0">
                  <c:v>5.7500000000000002E-2</c:v>
                </c:pt>
                <c:pt idx="1">
                  <c:v>5.5899999999999998E-2</c:v>
                </c:pt>
                <c:pt idx="2">
                  <c:v>6.3500000000000001E-2</c:v>
                </c:pt>
                <c:pt idx="3">
                  <c:v>6.1200000000000004E-2</c:v>
                </c:pt>
                <c:pt idx="4">
                  <c:v>5.6100000000000004E-2</c:v>
                </c:pt>
                <c:pt idx="5">
                  <c:v>5.2900000000000003E-2</c:v>
                </c:pt>
                <c:pt idx="6">
                  <c:v>5.5800000000000002E-2</c:v>
                </c:pt>
                <c:pt idx="7">
                  <c:v>5.5899999999999998E-2</c:v>
                </c:pt>
                <c:pt idx="8">
                  <c:v>5.2000000000000005E-2</c:v>
                </c:pt>
                <c:pt idx="9">
                  <c:v>5.5599999999999997E-2</c:v>
                </c:pt>
                <c:pt idx="10">
                  <c:v>5.5999999999999994E-2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C9-45C7-B777-ED36DFC25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31264"/>
        <c:axId val="541332344"/>
      </c:scatterChart>
      <c:valAx>
        <c:axId val="54133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32344"/>
        <c:crosses val="autoZero"/>
        <c:crossBetween val="midCat"/>
      </c:valAx>
      <c:valAx>
        <c:axId val="54133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3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Quan'!$AC$6</c:f>
              <c:strCache>
                <c:ptCount val="1"/>
                <c:pt idx="0">
                  <c:v>9 tháng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Quan'!$AC$7:$AC$20</c:f>
              <c:numCache>
                <c:formatCode>0.00%</c:formatCode>
                <c:ptCount val="14"/>
                <c:pt idx="0">
                  <c:v>5.8600000000000006E-2</c:v>
                </c:pt>
                <c:pt idx="1">
                  <c:v>5.8600000000000006E-2</c:v>
                </c:pt>
                <c:pt idx="2">
                  <c:v>5.8600000000000006E-2</c:v>
                </c:pt>
                <c:pt idx="3">
                  <c:v>5.8600000000000006E-2</c:v>
                </c:pt>
                <c:pt idx="4">
                  <c:v>5.8600000000000006E-2</c:v>
                </c:pt>
                <c:pt idx="5">
                  <c:v>5.8600000000000006E-2</c:v>
                </c:pt>
                <c:pt idx="6">
                  <c:v>5.8600000000000006E-2</c:v>
                </c:pt>
                <c:pt idx="7">
                  <c:v>5.8600000000000006E-2</c:v>
                </c:pt>
                <c:pt idx="8">
                  <c:v>5.8600000000000006E-2</c:v>
                </c:pt>
                <c:pt idx="9">
                  <c:v>5.8600000000000006E-2</c:v>
                </c:pt>
                <c:pt idx="10">
                  <c:v>5.8600000000000006E-2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FCB-960E-0265C67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49712"/>
        <c:axId val="535557992"/>
      </c:scatterChart>
      <c:valAx>
        <c:axId val="53554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7992"/>
        <c:crosses val="autoZero"/>
        <c:crossBetween val="midCat"/>
      </c:valAx>
      <c:valAx>
        <c:axId val="53555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4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Quan'!$AD$6</c:f>
              <c:strCache>
                <c:ptCount val="1"/>
                <c:pt idx="0">
                  <c:v>Qua đêm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Quan'!$W$7:$W$19</c:f>
              <c:numCache>
                <c:formatCode>m/d/yyyy</c:formatCode>
                <c:ptCount val="13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Quan'!$AD$7:$AD$19</c:f>
              <c:numCache>
                <c:formatCode>0.00%</c:formatCode>
                <c:ptCount val="13"/>
                <c:pt idx="0">
                  <c:v>3.7900000000000003E-2</c:v>
                </c:pt>
                <c:pt idx="1">
                  <c:v>4.1399999999999999E-2</c:v>
                </c:pt>
                <c:pt idx="2">
                  <c:v>4.7300000000000002E-2</c:v>
                </c:pt>
                <c:pt idx="3">
                  <c:v>4.4999999999999998E-2</c:v>
                </c:pt>
                <c:pt idx="4">
                  <c:v>3.9800000000000002E-2</c:v>
                </c:pt>
                <c:pt idx="5">
                  <c:v>4.0800000000000003E-2</c:v>
                </c:pt>
                <c:pt idx="6">
                  <c:v>4.2999999999999997E-2</c:v>
                </c:pt>
                <c:pt idx="7">
                  <c:v>4.6399999999999997E-2</c:v>
                </c:pt>
                <c:pt idx="8">
                  <c:v>4.4800000000000006E-2</c:v>
                </c:pt>
                <c:pt idx="9">
                  <c:v>3.9399999999999998E-2</c:v>
                </c:pt>
                <c:pt idx="10">
                  <c:v>4.2500000000000003E-2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54-4135-A51A-D0F78F61A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65552"/>
        <c:axId val="535561952"/>
      </c:scatterChart>
      <c:valAx>
        <c:axId val="53556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61952"/>
        <c:crosses val="autoZero"/>
        <c:crossBetween val="midCat"/>
      </c:valAx>
      <c:valAx>
        <c:axId val="53556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6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Tỷ giá trung tâm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Quan'!$C$36</c:f>
              <c:strCache>
                <c:ptCount val="1"/>
                <c:pt idx="0">
                  <c:v>Tỷ giá trung tâm (từ 04/01/2016)</c:v>
                </c:pt>
              </c:strCache>
            </c:strRef>
          </c:tx>
          <c:spPr>
            <a:ln w="19050" cap="rnd">
              <a:solidFill>
                <a:srgbClr val="00E26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numRef>
              <c:f>'Tổng Quan'!$A$37:$A$54</c:f>
              <c:numCache>
                <c:formatCode>m/d/yyyy</c:formatCode>
                <c:ptCount val="18"/>
                <c:pt idx="0">
                  <c:v>45719</c:v>
                </c:pt>
                <c:pt idx="1">
                  <c:v>45717</c:v>
                </c:pt>
                <c:pt idx="2">
                  <c:v>45716</c:v>
                </c:pt>
                <c:pt idx="3">
                  <c:v>45715</c:v>
                </c:pt>
                <c:pt idx="4">
                  <c:v>45714</c:v>
                </c:pt>
                <c:pt idx="5">
                  <c:v>45713</c:v>
                </c:pt>
                <c:pt idx="6">
                  <c:v>45712</c:v>
                </c:pt>
                <c:pt idx="7">
                  <c:v>45710</c:v>
                </c:pt>
                <c:pt idx="8">
                  <c:v>45709</c:v>
                </c:pt>
                <c:pt idx="9">
                  <c:v>45708</c:v>
                </c:pt>
                <c:pt idx="10">
                  <c:v>45707</c:v>
                </c:pt>
                <c:pt idx="11">
                  <c:v>45706</c:v>
                </c:pt>
                <c:pt idx="12">
                  <c:v>45705</c:v>
                </c:pt>
                <c:pt idx="13">
                  <c:v>45703</c:v>
                </c:pt>
                <c:pt idx="14">
                  <c:v>45702</c:v>
                </c:pt>
                <c:pt idx="15">
                  <c:v>45701</c:v>
                </c:pt>
                <c:pt idx="16">
                  <c:v>45700</c:v>
                </c:pt>
                <c:pt idx="17">
                  <c:v>45699</c:v>
                </c:pt>
              </c:numCache>
            </c:numRef>
          </c:xVal>
          <c:yVal>
            <c:numRef>
              <c:f>'Tổng Quan'!$C$37:$C$54</c:f>
              <c:numCache>
                <c:formatCode>#,##0</c:formatCode>
                <c:ptCount val="18"/>
                <c:pt idx="0">
                  <c:v>24758</c:v>
                </c:pt>
                <c:pt idx="1">
                  <c:v>24726</c:v>
                </c:pt>
                <c:pt idx="2">
                  <c:v>24726</c:v>
                </c:pt>
                <c:pt idx="3">
                  <c:v>24696</c:v>
                </c:pt>
                <c:pt idx="4">
                  <c:v>24668</c:v>
                </c:pt>
                <c:pt idx="5">
                  <c:v>24646</c:v>
                </c:pt>
                <c:pt idx="6">
                  <c:v>24646</c:v>
                </c:pt>
                <c:pt idx="7">
                  <c:v>24638</c:v>
                </c:pt>
                <c:pt idx="8">
                  <c:v>24638</c:v>
                </c:pt>
                <c:pt idx="9">
                  <c:v>24643</c:v>
                </c:pt>
                <c:pt idx="10">
                  <c:v>24633</c:v>
                </c:pt>
                <c:pt idx="11">
                  <c:v>24602</c:v>
                </c:pt>
                <c:pt idx="12">
                  <c:v>24577</c:v>
                </c:pt>
                <c:pt idx="13">
                  <c:v>24562</c:v>
                </c:pt>
                <c:pt idx="14">
                  <c:v>24562</c:v>
                </c:pt>
                <c:pt idx="15">
                  <c:v>24572</c:v>
                </c:pt>
                <c:pt idx="16">
                  <c:v>24550</c:v>
                </c:pt>
                <c:pt idx="17">
                  <c:v>24522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7-4474-B52B-180EF129768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41340624"/>
        <c:axId val="541346024"/>
      </c:scatterChart>
      <c:valAx>
        <c:axId val="54134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46024"/>
        <c:crosses val="autoZero"/>
        <c:crossBetween val="midCat"/>
        <c:majorUnit val="2"/>
      </c:valAx>
      <c:valAx>
        <c:axId val="54134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40624"/>
        <c:crosses val="autoZero"/>
        <c:crossBetween val="midCat"/>
        <c:majorUnit val="12"/>
        <c:min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95000"/>
                  </a:schemeClr>
                </a:solidFill>
              </a:rPr>
              <a:t>Biểu</a:t>
            </a:r>
            <a:r>
              <a:rPr lang="en-US" b="1" baseline="0">
                <a:solidFill>
                  <a:schemeClr val="bg1">
                    <a:lumMod val="95000"/>
                  </a:schemeClr>
                </a:solidFill>
              </a:rPr>
              <a:t> đồ biến động giá các ngành</a:t>
            </a:r>
            <a:endParaRPr lang="en-US" b="1">
              <a:solidFill>
                <a:schemeClr val="bg1">
                  <a:lumMod val="95000"/>
                </a:schemeClr>
              </a:solidFill>
            </a:endParaRPr>
          </a:p>
        </c:rich>
      </c:tx>
      <c:layout>
        <c:manualLayout>
          <c:xMode val="edge"/>
          <c:yMode val="edge"/>
          <c:x val="0.29932058614841023"/>
          <c:y val="2.8061868686868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007039432104184E-2"/>
          <c:y val="0.12321870640596976"/>
          <c:w val="0.85678625888964766"/>
          <c:h val="0.639934456721507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'Tổng Quan'!$G$36</c:f>
              <c:strCache>
                <c:ptCount val="1"/>
                <c:pt idx="0">
                  <c:v>BĐ giá</c:v>
                </c:pt>
              </c:strCache>
            </c:strRef>
          </c:tx>
          <c:spPr>
            <a:solidFill>
              <a:srgbClr val="008E00">
                <a:alpha val="98431"/>
              </a:srgbClr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'Tổng Quan'!$F$37:$F$53</c:f>
              <c:strCache>
                <c:ptCount val="17"/>
                <c:pt idx="0">
                  <c:v>NGÂN HÀNG</c:v>
                </c:pt>
                <c:pt idx="1">
                  <c:v>CHỨNG KHOÁN</c:v>
                </c:pt>
                <c:pt idx="2">
                  <c:v>DẦU - KHÍ ĐỐT</c:v>
                </c:pt>
                <c:pt idx="3">
                  <c:v>CÔNG NGHỆ</c:v>
                </c:pt>
                <c:pt idx="4">
                  <c:v>BẢO HIỂM - DV TÀI CHÍNH</c:v>
                </c:pt>
                <c:pt idx="5">
                  <c:v>BÁN LẺ</c:v>
                </c:pt>
                <c:pt idx="6">
                  <c:v>DỆT MAY</c:v>
                </c:pt>
                <c:pt idx="7">
                  <c:v>NĂNG LƯỢNG - TB ĐIỆN</c:v>
                </c:pt>
                <c:pt idx="8">
                  <c:v>THÉP</c:v>
                </c:pt>
                <c:pt idx="9">
                  <c:v>HÓA CHẤT - NHỰA</c:v>
                </c:pt>
                <c:pt idx="10">
                  <c:v>Y TẾ - DƯỢC</c:v>
                </c:pt>
                <c:pt idx="11">
                  <c:v>BĐS</c:v>
                </c:pt>
                <c:pt idx="12">
                  <c:v>KHAI KHOÁN - TNCB</c:v>
                </c:pt>
                <c:pt idx="13">
                  <c:v>THỰC PHẨM - THỦY SẢN</c:v>
                </c:pt>
                <c:pt idx="14">
                  <c:v>VẬN TẢI</c:v>
                </c:pt>
                <c:pt idx="15">
                  <c:v>VLXD - NỘI THẤT</c:v>
                </c:pt>
                <c:pt idx="16">
                  <c:v>KCN - XÂY DỰNG - ĐTC</c:v>
                </c:pt>
              </c:strCache>
            </c:strRef>
          </c:cat>
          <c:val>
            <c:numRef>
              <c:f>'Tổng Quan'!$G$37:$G$53</c:f>
              <c:numCache>
                <c:formatCode>0.00%</c:formatCode>
                <c:ptCount val="17"/>
                <c:pt idx="0">
                  <c:v>-4.36211111111111E-3</c:v>
                </c:pt>
                <c:pt idx="1">
                  <c:v>-1.4342588235294117E-2</c:v>
                </c:pt>
                <c:pt idx="2">
                  <c:v>-5.9207500000000015E-3</c:v>
                </c:pt>
                <c:pt idx="3">
                  <c:v>-1.2219111111111113E-2</c:v>
                </c:pt>
                <c:pt idx="4">
                  <c:v>-7.1381578947368402E-3</c:v>
                </c:pt>
                <c:pt idx="5">
                  <c:v>-4.423125E-3</c:v>
                </c:pt>
                <c:pt idx="6">
                  <c:v>-8.1530833333333334E-3</c:v>
                </c:pt>
                <c:pt idx="7">
                  <c:v>-5.4451785714285713E-3</c:v>
                </c:pt>
                <c:pt idx="8">
                  <c:v>-5.2165833333333335E-3</c:v>
                </c:pt>
                <c:pt idx="9">
                  <c:v>1.4614000000000003E-3</c:v>
                </c:pt>
                <c:pt idx="10">
                  <c:v>-4.928875000000001E-3</c:v>
                </c:pt>
                <c:pt idx="11">
                  <c:v>-4.1101333333333342E-3</c:v>
                </c:pt>
                <c:pt idx="12">
                  <c:v>-1.1835285714285715E-2</c:v>
                </c:pt>
                <c:pt idx="13">
                  <c:v>-6.0766666666666668E-3</c:v>
                </c:pt>
                <c:pt idx="14">
                  <c:v>-6.7965333333333327E-3</c:v>
                </c:pt>
                <c:pt idx="15">
                  <c:v>-7.7799090909090908E-3</c:v>
                </c:pt>
                <c:pt idx="16">
                  <c:v>-8.4714838709677425E-3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0479-47CC-B15B-872711158C4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62483408"/>
        <c:axId val="662484488"/>
      </c:barChart>
      <c:lineChart>
        <c:grouping val="standard"/>
        <c:varyColors val="0"/>
        <c:ser>
          <c:idx val="1"/>
          <c:order val="1"/>
          <c:tx>
            <c:strRef>
              <c:f>'Tổng Quan'!$H$36</c:f>
              <c:strCache>
                <c:ptCount val="1"/>
                <c:pt idx="0">
                  <c:v>KL/TBKL21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'Tổng Quan'!$F$37:$F$53</c:f>
              <c:strCache>
                <c:ptCount val="17"/>
                <c:pt idx="0">
                  <c:v>NGÂN HÀNG</c:v>
                </c:pt>
                <c:pt idx="1">
                  <c:v>CHỨNG KHOÁN</c:v>
                </c:pt>
                <c:pt idx="2">
                  <c:v>DẦU - KHÍ ĐỐT</c:v>
                </c:pt>
                <c:pt idx="3">
                  <c:v>CÔNG NGHỆ</c:v>
                </c:pt>
                <c:pt idx="4">
                  <c:v>BẢO HIỂM - DV TÀI CHÍNH</c:v>
                </c:pt>
                <c:pt idx="5">
                  <c:v>BÁN LẺ</c:v>
                </c:pt>
                <c:pt idx="6">
                  <c:v>DỆT MAY</c:v>
                </c:pt>
                <c:pt idx="7">
                  <c:v>NĂNG LƯỢNG - TB ĐIỆN</c:v>
                </c:pt>
                <c:pt idx="8">
                  <c:v>THÉP</c:v>
                </c:pt>
                <c:pt idx="9">
                  <c:v>HÓA CHẤT - NHỰA</c:v>
                </c:pt>
                <c:pt idx="10">
                  <c:v>Y TẾ - DƯỢC</c:v>
                </c:pt>
                <c:pt idx="11">
                  <c:v>BĐS</c:v>
                </c:pt>
                <c:pt idx="12">
                  <c:v>KHAI KHOÁN - TNCB</c:v>
                </c:pt>
                <c:pt idx="13">
                  <c:v>THỰC PHẨM - THỦY SẢN</c:v>
                </c:pt>
                <c:pt idx="14">
                  <c:v>VẬN TẢI</c:v>
                </c:pt>
                <c:pt idx="15">
                  <c:v>VLXD - NỘI THẤT</c:v>
                </c:pt>
                <c:pt idx="16">
                  <c:v>KCN - XÂY DỰNG - ĐTC</c:v>
                </c:pt>
              </c:strCache>
            </c:strRef>
          </c:cat>
          <c:val>
            <c:numRef>
              <c:f>'Tổng Quan'!$H$37:$H$53</c:f>
              <c:numCache>
                <c:formatCode>0.000</c:formatCode>
                <c:ptCount val="17"/>
                <c:pt idx="0">
                  <c:v>0.41905148102916712</c:v>
                </c:pt>
                <c:pt idx="1">
                  <c:v>0.70612821508110235</c:v>
                </c:pt>
                <c:pt idx="2">
                  <c:v>0.45575602970320067</c:v>
                </c:pt>
                <c:pt idx="3">
                  <c:v>0.3424462752648717</c:v>
                </c:pt>
                <c:pt idx="4">
                  <c:v>0.6454923022542608</c:v>
                </c:pt>
                <c:pt idx="5">
                  <c:v>0.49071229607756262</c:v>
                </c:pt>
                <c:pt idx="6">
                  <c:v>0.35681608356654432</c:v>
                </c:pt>
                <c:pt idx="7">
                  <c:v>0.46177276794786215</c:v>
                </c:pt>
                <c:pt idx="8">
                  <c:v>0.6213887986392822</c:v>
                </c:pt>
                <c:pt idx="9">
                  <c:v>0.53412190560800432</c:v>
                </c:pt>
                <c:pt idx="10">
                  <c:v>0.26116520016752648</c:v>
                </c:pt>
                <c:pt idx="11">
                  <c:v>0.78505227037032554</c:v>
                </c:pt>
                <c:pt idx="12">
                  <c:v>0.58752701409295949</c:v>
                </c:pt>
                <c:pt idx="13">
                  <c:v>0.57774478763954396</c:v>
                </c:pt>
                <c:pt idx="14">
                  <c:v>0.44564633828683581</c:v>
                </c:pt>
                <c:pt idx="15">
                  <c:v>0.48537623938278929</c:v>
                </c:pt>
                <c:pt idx="16">
                  <c:v>0.47970894327815117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79-47CC-B15B-872711158C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62472968"/>
        <c:axId val="662491328"/>
      </c:lineChart>
      <c:catAx>
        <c:axId val="66248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17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84488"/>
        <c:crosses val="autoZero"/>
        <c:auto val="1"/>
        <c:lblAlgn val="ctr"/>
        <c:lblOffset val="100"/>
        <c:tickLblSkip val="1"/>
        <c:noMultiLvlLbl val="0"/>
      </c:catAx>
      <c:valAx>
        <c:axId val="66248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83408"/>
        <c:crossesAt val="1"/>
        <c:crossBetween val="between"/>
      </c:valAx>
      <c:valAx>
        <c:axId val="662491328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72968"/>
        <c:crosses val="max"/>
        <c:crossBetween val="between"/>
      </c:valAx>
      <c:catAx>
        <c:axId val="662472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2491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102739101758528"/>
          <c:y val="1.4337149310245574E-2"/>
          <c:w val="0.25078882317295564"/>
          <c:h val="6.3274063904696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[THONG_KE_VNINDEX_VN30.xlsm]VN30!PivotTable1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Biểu</a:t>
            </a:r>
            <a:r>
              <a:rPr lang="en-US" sz="1600" b="1" baseline="0">
                <a:solidFill>
                  <a:sysClr val="windowText" lastClr="000000"/>
                </a:solidFill>
              </a:rPr>
              <a:t> đồ biến động VN30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3884429778457581E-2"/>
          <c:y val="0.12639488409272581"/>
          <c:w val="0.87393316913741825"/>
          <c:h val="0.661381823674918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'VN30'!$B$3</c:f>
              <c:strCache>
                <c:ptCount val="1"/>
                <c:pt idx="0">
                  <c:v>S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'VN30'!$A$4:$A$33</c:f>
              <c:strCache>
                <c:ptCount val="29"/>
                <c:pt idx="0">
                  <c:v>BVH</c:v>
                </c:pt>
                <c:pt idx="1">
                  <c:v>SSI</c:v>
                </c:pt>
                <c:pt idx="2">
                  <c:v>VPB</c:v>
                </c:pt>
                <c:pt idx="3">
                  <c:v>BID</c:v>
                </c:pt>
                <c:pt idx="4">
                  <c:v>HDB</c:v>
                </c:pt>
                <c:pt idx="5">
                  <c:v>PLX</c:v>
                </c:pt>
                <c:pt idx="6">
                  <c:v>SSB</c:v>
                </c:pt>
                <c:pt idx="7">
                  <c:v>HPG</c:v>
                </c:pt>
                <c:pt idx="8">
                  <c:v>MBB</c:v>
                </c:pt>
                <c:pt idx="9">
                  <c:v>FPT</c:v>
                </c:pt>
                <c:pt idx="10">
                  <c:v>MSN</c:v>
                </c:pt>
                <c:pt idx="11">
                  <c:v>ACB</c:v>
                </c:pt>
                <c:pt idx="12">
                  <c:v>VCB</c:v>
                </c:pt>
                <c:pt idx="13">
                  <c:v>CTG</c:v>
                </c:pt>
                <c:pt idx="14">
                  <c:v>BCM</c:v>
                </c:pt>
                <c:pt idx="15">
                  <c:v>VJC</c:v>
                </c:pt>
                <c:pt idx="16">
                  <c:v>STB</c:v>
                </c:pt>
                <c:pt idx="17">
                  <c:v>VIB</c:v>
                </c:pt>
                <c:pt idx="18">
                  <c:v>SAB</c:v>
                </c:pt>
                <c:pt idx="19">
                  <c:v>MWG</c:v>
                </c:pt>
                <c:pt idx="20">
                  <c:v>TPB</c:v>
                </c:pt>
                <c:pt idx="21">
                  <c:v>VRE</c:v>
                </c:pt>
                <c:pt idx="22">
                  <c:v>GAS</c:v>
                </c:pt>
                <c:pt idx="23">
                  <c:v>VNM</c:v>
                </c:pt>
                <c:pt idx="24">
                  <c:v>TCB</c:v>
                </c:pt>
                <c:pt idx="25">
                  <c:v>VIC</c:v>
                </c:pt>
                <c:pt idx="26">
                  <c:v>SHB</c:v>
                </c:pt>
                <c:pt idx="27">
                  <c:v>VHM</c:v>
                </c:pt>
                <c:pt idx="28">
                  <c:v>GVR</c:v>
                </c:pt>
              </c:strCache>
            </c:strRef>
          </c:cat>
          <c:val>
            <c:numRef>
              <c:f>'VN30'!$B$4:$B$33</c:f>
              <c:numCache>
                <c:formatCode>0.0%</c:formatCode>
                <c:ptCount val="29"/>
                <c:pt idx="0">
                  <c:v>-1.406E-2</c:v>
                </c:pt>
                <c:pt idx="1">
                  <c:v>-1.1278E-2</c:v>
                </c:pt>
                <c:pt idx="2">
                  <c:v>-1.0417000000000001E-2</c:v>
                </c:pt>
                <c:pt idx="3">
                  <c:v>-9.7680000000000006E-3</c:v>
                </c:pt>
                <c:pt idx="4">
                  <c:v>-8.6960000000000006E-3</c:v>
                </c:pt>
                <c:pt idx="5">
                  <c:v>-7.9190000000000007E-3</c:v>
                </c:pt>
                <c:pt idx="6">
                  <c:v>-7.7120000000000001E-3</c:v>
                </c:pt>
                <c:pt idx="7">
                  <c:v>-7.1300000000000001E-3</c:v>
                </c:pt>
                <c:pt idx="8">
                  <c:v>-6.4939999999999998E-3</c:v>
                </c:pt>
                <c:pt idx="9">
                  <c:v>-6.4059999999999994E-3</c:v>
                </c:pt>
                <c:pt idx="10">
                  <c:v>-5.8819999999999992E-3</c:v>
                </c:pt>
                <c:pt idx="11">
                  <c:v>-5.7689999999999998E-3</c:v>
                </c:pt>
                <c:pt idx="12">
                  <c:v>-5.359E-3</c:v>
                </c:pt>
                <c:pt idx="13">
                  <c:v>-4.8479999999999999E-3</c:v>
                </c:pt>
                <c:pt idx="14">
                  <c:v>-3.9680000000000002E-3</c:v>
                </c:pt>
                <c:pt idx="15">
                  <c:v>-3.0959999999999998E-3</c:v>
                </c:pt>
                <c:pt idx="16">
                  <c:v>-2.5740000000000003E-3</c:v>
                </c:pt>
                <c:pt idx="17">
                  <c:v>-2.3809999999999999E-3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1.4580000000000001E-3</c:v>
                </c:pt>
                <c:pt idx="23">
                  <c:v>1.5820000000000001E-3</c:v>
                </c:pt>
                <c:pt idx="24">
                  <c:v>1.916E-3</c:v>
                </c:pt>
                <c:pt idx="25">
                  <c:v>2.3779999999999999E-3</c:v>
                </c:pt>
                <c:pt idx="26">
                  <c:v>3.0240000000000002E-3</c:v>
                </c:pt>
                <c:pt idx="27">
                  <c:v>7.0509999999999991E-3</c:v>
                </c:pt>
                <c:pt idx="28">
                  <c:v>7.5529999999999998E-3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762A-4877-B0A1-3924F7CB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68215736"/>
        <c:axId val="568217896"/>
      </c:barChart>
      <c:lineChart>
        <c:grouping val="standard"/>
        <c:varyColors val="0"/>
        <c:ser>
          <c:idx val="1"/>
          <c:order val="1"/>
          <c:tx>
            <c:strRef>
              <c:f>'VN30'!$C$3</c:f>
              <c:strCache>
                <c:ptCount val="1"/>
                <c:pt idx="0">
                  <c:v>KL/KLTB21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'VN30'!$A$4:$A$33</c:f>
              <c:strCache>
                <c:ptCount val="29"/>
                <c:pt idx="0">
                  <c:v>BVH</c:v>
                </c:pt>
                <c:pt idx="1">
                  <c:v>SSI</c:v>
                </c:pt>
                <c:pt idx="2">
                  <c:v>VPB</c:v>
                </c:pt>
                <c:pt idx="3">
                  <c:v>BID</c:v>
                </c:pt>
                <c:pt idx="4">
                  <c:v>HDB</c:v>
                </c:pt>
                <c:pt idx="5">
                  <c:v>PLX</c:v>
                </c:pt>
                <c:pt idx="6">
                  <c:v>SSB</c:v>
                </c:pt>
                <c:pt idx="7">
                  <c:v>HPG</c:v>
                </c:pt>
                <c:pt idx="8">
                  <c:v>MBB</c:v>
                </c:pt>
                <c:pt idx="9">
                  <c:v>FPT</c:v>
                </c:pt>
                <c:pt idx="10">
                  <c:v>MSN</c:v>
                </c:pt>
                <c:pt idx="11">
                  <c:v>ACB</c:v>
                </c:pt>
                <c:pt idx="12">
                  <c:v>VCB</c:v>
                </c:pt>
                <c:pt idx="13">
                  <c:v>CTG</c:v>
                </c:pt>
                <c:pt idx="14">
                  <c:v>BCM</c:v>
                </c:pt>
                <c:pt idx="15">
                  <c:v>VJC</c:v>
                </c:pt>
                <c:pt idx="16">
                  <c:v>STB</c:v>
                </c:pt>
                <c:pt idx="17">
                  <c:v>VIB</c:v>
                </c:pt>
                <c:pt idx="18">
                  <c:v>SAB</c:v>
                </c:pt>
                <c:pt idx="19">
                  <c:v>MWG</c:v>
                </c:pt>
                <c:pt idx="20">
                  <c:v>TPB</c:v>
                </c:pt>
                <c:pt idx="21">
                  <c:v>VRE</c:v>
                </c:pt>
                <c:pt idx="22">
                  <c:v>GAS</c:v>
                </c:pt>
                <c:pt idx="23">
                  <c:v>VNM</c:v>
                </c:pt>
                <c:pt idx="24">
                  <c:v>TCB</c:v>
                </c:pt>
                <c:pt idx="25">
                  <c:v>VIC</c:v>
                </c:pt>
                <c:pt idx="26">
                  <c:v>SHB</c:v>
                </c:pt>
                <c:pt idx="27">
                  <c:v>VHM</c:v>
                </c:pt>
                <c:pt idx="28">
                  <c:v>GVR</c:v>
                </c:pt>
              </c:strCache>
            </c:strRef>
          </c:cat>
          <c:val>
            <c:numRef>
              <c:f>'VN30'!$C$4:$C$33</c:f>
              <c:numCache>
                <c:formatCode>0.000</c:formatCode>
                <c:ptCount val="29"/>
                <c:pt idx="0">
                  <c:v>0.31132648888790654</c:v>
                </c:pt>
                <c:pt idx="1">
                  <c:v>0.56023611408475327</c:v>
                </c:pt>
                <c:pt idx="2">
                  <c:v>0.35727883405183802</c:v>
                </c:pt>
                <c:pt idx="3">
                  <c:v>0.31619776673045885</c:v>
                </c:pt>
                <c:pt idx="4">
                  <c:v>0.42296524457178236</c:v>
                </c:pt>
                <c:pt idx="5">
                  <c:v>0.50335784715903154</c:v>
                </c:pt>
                <c:pt idx="6">
                  <c:v>0.23669289868013349</c:v>
                </c:pt>
                <c:pt idx="7">
                  <c:v>0.61602626690640339</c:v>
                </c:pt>
                <c:pt idx="8">
                  <c:v>0.53692170634408698</c:v>
                </c:pt>
                <c:pt idx="9">
                  <c:v>0.26698937236578363</c:v>
                </c:pt>
                <c:pt idx="10">
                  <c:v>0.36134433316675779</c:v>
                </c:pt>
                <c:pt idx="11">
                  <c:v>0.33423410466781567</c:v>
                </c:pt>
                <c:pt idx="12">
                  <c:v>0.58603752101786022</c:v>
                </c:pt>
                <c:pt idx="13">
                  <c:v>0.29783865199642012</c:v>
                </c:pt>
                <c:pt idx="14">
                  <c:v>0.53794839521711768</c:v>
                </c:pt>
                <c:pt idx="15">
                  <c:v>0.51227811257327927</c:v>
                </c:pt>
                <c:pt idx="16">
                  <c:v>0.20386581934226247</c:v>
                </c:pt>
                <c:pt idx="17">
                  <c:v>0.54028051912895292</c:v>
                </c:pt>
                <c:pt idx="18">
                  <c:v>0.48108340498710234</c:v>
                </c:pt>
                <c:pt idx="19">
                  <c:v>0.21988662183329397</c:v>
                </c:pt>
                <c:pt idx="20">
                  <c:v>0.55743428252464799</c:v>
                </c:pt>
                <c:pt idx="21">
                  <c:v>0.68010221663519921</c:v>
                </c:pt>
                <c:pt idx="22">
                  <c:v>1.2984969021294399</c:v>
                </c:pt>
                <c:pt idx="23">
                  <c:v>0.64141607835557202</c:v>
                </c:pt>
                <c:pt idx="24">
                  <c:v>0.35407000054097193</c:v>
                </c:pt>
                <c:pt idx="25">
                  <c:v>0.39647690267391561</c:v>
                </c:pt>
                <c:pt idx="26">
                  <c:v>0.69227437928229796</c:v>
                </c:pt>
                <c:pt idx="27">
                  <c:v>1.0907529227304218</c:v>
                </c:pt>
                <c:pt idx="28">
                  <c:v>0.6304705897400551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2A-4877-B0A1-3924F7CB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72584"/>
        <c:axId val="511967544"/>
      </c:lineChart>
      <c:catAx>
        <c:axId val="568215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7896"/>
        <c:crosses val="autoZero"/>
        <c:auto val="1"/>
        <c:lblAlgn val="ctr"/>
        <c:lblOffset val="100"/>
        <c:noMultiLvlLbl val="0"/>
      </c:catAx>
      <c:valAx>
        <c:axId val="56821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5736"/>
        <c:crosses val="autoZero"/>
        <c:crossBetween val="between"/>
      </c:valAx>
      <c:valAx>
        <c:axId val="511967544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11972584"/>
        <c:crosses val="max"/>
        <c:crossBetween val="between"/>
      </c:valAx>
      <c:catAx>
        <c:axId val="511972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967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41712848120419"/>
          <c:y val="0.917486942719272"/>
          <c:w val="0.70815987558958537"/>
          <c:h val="6.2530559983711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[THONG_KE_VNINDEX_VN30.xlsm]NGÂN HÀNG!PivotTable2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Biểu</a:t>
            </a:r>
            <a:r>
              <a:rPr lang="en-US" sz="1600" b="1" baseline="0">
                <a:solidFill>
                  <a:schemeClr val="tx1"/>
                </a:solidFill>
              </a:rPr>
              <a:t> đồ biến động nhóm Ngân Hàng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6622727173031E-2"/>
          <c:y val="0.1286500629427591"/>
          <c:w val="0.87649259023680537"/>
          <c:h val="0.72147042666178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'NGÂN HÀNG'!$U$18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'NGÂN HÀNG'!$T$19:$T$37</c:f>
              <c:strCache>
                <c:ptCount val="18"/>
                <c:pt idx="0">
                  <c:v>LPB</c:v>
                </c:pt>
                <c:pt idx="1">
                  <c:v>VPB</c:v>
                </c:pt>
                <c:pt idx="2">
                  <c:v>BID</c:v>
                </c:pt>
                <c:pt idx="3">
                  <c:v>HDB</c:v>
                </c:pt>
                <c:pt idx="4">
                  <c:v>SSB</c:v>
                </c:pt>
                <c:pt idx="5">
                  <c:v>MBB</c:v>
                </c:pt>
                <c:pt idx="6">
                  <c:v>ACB</c:v>
                </c:pt>
                <c:pt idx="7">
                  <c:v>VCB</c:v>
                </c:pt>
                <c:pt idx="8">
                  <c:v>CTG</c:v>
                </c:pt>
                <c:pt idx="9">
                  <c:v>MSB</c:v>
                </c:pt>
                <c:pt idx="10">
                  <c:v>STB</c:v>
                </c:pt>
                <c:pt idx="11">
                  <c:v>VIB</c:v>
                </c:pt>
                <c:pt idx="12">
                  <c:v>NAB</c:v>
                </c:pt>
                <c:pt idx="13">
                  <c:v>TPB</c:v>
                </c:pt>
                <c:pt idx="14">
                  <c:v>EIB</c:v>
                </c:pt>
                <c:pt idx="15">
                  <c:v>TCB</c:v>
                </c:pt>
                <c:pt idx="16">
                  <c:v>SHB</c:v>
                </c:pt>
                <c:pt idx="17">
                  <c:v>OCB</c:v>
                </c:pt>
              </c:strCache>
            </c:strRef>
          </c:cat>
          <c:val>
            <c:numRef>
              <c:f>'NGÂN HÀNG'!$U$19:$U$37</c:f>
              <c:numCache>
                <c:formatCode>0.00%</c:formatCode>
                <c:ptCount val="18"/>
                <c:pt idx="0">
                  <c:v>-1.9498999999999999E-2</c:v>
                </c:pt>
                <c:pt idx="1">
                  <c:v>-1.0417000000000001E-2</c:v>
                </c:pt>
                <c:pt idx="2">
                  <c:v>-9.7680000000000006E-3</c:v>
                </c:pt>
                <c:pt idx="3">
                  <c:v>-8.6960000000000006E-3</c:v>
                </c:pt>
                <c:pt idx="4">
                  <c:v>-7.7120000000000001E-3</c:v>
                </c:pt>
                <c:pt idx="5">
                  <c:v>-6.4939999999999998E-3</c:v>
                </c:pt>
                <c:pt idx="6">
                  <c:v>-5.7689999999999998E-3</c:v>
                </c:pt>
                <c:pt idx="7">
                  <c:v>-5.359E-3</c:v>
                </c:pt>
                <c:pt idx="8">
                  <c:v>-4.8479999999999999E-3</c:v>
                </c:pt>
                <c:pt idx="9">
                  <c:v>-4.4050000000000001E-3</c:v>
                </c:pt>
                <c:pt idx="10">
                  <c:v>-2.5740000000000003E-3</c:v>
                </c:pt>
                <c:pt idx="11">
                  <c:v>-2.3809999999999999E-3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1.916E-3</c:v>
                </c:pt>
                <c:pt idx="16">
                  <c:v>3.0240000000000002E-3</c:v>
                </c:pt>
                <c:pt idx="17">
                  <c:v>4.4640000000000001E-3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B71-4F45-A4BC-34F77CD6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23434176"/>
        <c:axId val="523427336"/>
      </c:barChart>
      <c:lineChart>
        <c:grouping val="standard"/>
        <c:varyColors val="0"/>
        <c:ser>
          <c:idx val="1"/>
          <c:order val="1"/>
          <c:tx>
            <c:strRef>
              <c:f>'NGÂN HÀNG'!$V$18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'NGÂN HÀNG'!$T$19:$T$37</c:f>
              <c:strCache>
                <c:ptCount val="18"/>
                <c:pt idx="0">
                  <c:v>LPB</c:v>
                </c:pt>
                <c:pt idx="1">
                  <c:v>VPB</c:v>
                </c:pt>
                <c:pt idx="2">
                  <c:v>BID</c:v>
                </c:pt>
                <c:pt idx="3">
                  <c:v>HDB</c:v>
                </c:pt>
                <c:pt idx="4">
                  <c:v>SSB</c:v>
                </c:pt>
                <c:pt idx="5">
                  <c:v>MBB</c:v>
                </c:pt>
                <c:pt idx="6">
                  <c:v>ACB</c:v>
                </c:pt>
                <c:pt idx="7">
                  <c:v>VCB</c:v>
                </c:pt>
                <c:pt idx="8">
                  <c:v>CTG</c:v>
                </c:pt>
                <c:pt idx="9">
                  <c:v>MSB</c:v>
                </c:pt>
                <c:pt idx="10">
                  <c:v>STB</c:v>
                </c:pt>
                <c:pt idx="11">
                  <c:v>VIB</c:v>
                </c:pt>
                <c:pt idx="12">
                  <c:v>NAB</c:v>
                </c:pt>
                <c:pt idx="13">
                  <c:v>TPB</c:v>
                </c:pt>
                <c:pt idx="14">
                  <c:v>EIB</c:v>
                </c:pt>
                <c:pt idx="15">
                  <c:v>TCB</c:v>
                </c:pt>
                <c:pt idx="16">
                  <c:v>SHB</c:v>
                </c:pt>
                <c:pt idx="17">
                  <c:v>OCB</c:v>
                </c:pt>
              </c:strCache>
            </c:strRef>
          </c:cat>
          <c:val>
            <c:numRef>
              <c:f>'NGÂN HÀNG'!$V$19:$V$37</c:f>
              <c:numCache>
                <c:formatCode>0.00</c:formatCode>
                <c:ptCount val="18"/>
                <c:pt idx="0">
                  <c:v>0.67114567014443227</c:v>
                </c:pt>
                <c:pt idx="1">
                  <c:v>0.35727883405183802</c:v>
                </c:pt>
                <c:pt idx="2">
                  <c:v>0.31619776673045885</c:v>
                </c:pt>
                <c:pt idx="3">
                  <c:v>0.42296524457178236</c:v>
                </c:pt>
                <c:pt idx="4">
                  <c:v>0.23669289868013349</c:v>
                </c:pt>
                <c:pt idx="5">
                  <c:v>0.53692170634408698</c:v>
                </c:pt>
                <c:pt idx="6">
                  <c:v>0.33423410466781567</c:v>
                </c:pt>
                <c:pt idx="7">
                  <c:v>0.58603752101786022</c:v>
                </c:pt>
                <c:pt idx="8">
                  <c:v>0.29783865199642012</c:v>
                </c:pt>
                <c:pt idx="9">
                  <c:v>0.33859185196747332</c:v>
                </c:pt>
                <c:pt idx="10">
                  <c:v>0.20386581934226247</c:v>
                </c:pt>
                <c:pt idx="11">
                  <c:v>0.54028051912895292</c:v>
                </c:pt>
                <c:pt idx="12">
                  <c:v>0.49174086752261159</c:v>
                </c:pt>
                <c:pt idx="13">
                  <c:v>0.55743428252464799</c:v>
                </c:pt>
                <c:pt idx="14">
                  <c:v>0.41543791850490552</c:v>
                </c:pt>
                <c:pt idx="15">
                  <c:v>0.35407000054097193</c:v>
                </c:pt>
                <c:pt idx="16">
                  <c:v>0.69227437928229796</c:v>
                </c:pt>
                <c:pt idx="17">
                  <c:v>0.18991862150605565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71-4F45-A4BC-34F77CD6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87264"/>
        <c:axId val="532882584"/>
      </c:lineChart>
      <c:catAx>
        <c:axId val="52343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27336"/>
        <c:crosses val="autoZero"/>
        <c:auto val="1"/>
        <c:lblAlgn val="ctr"/>
        <c:lblOffset val="100"/>
        <c:noMultiLvlLbl val="0"/>
      </c:catAx>
      <c:valAx>
        <c:axId val="52342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34176"/>
        <c:crosses val="autoZero"/>
        <c:crossBetween val="between"/>
      </c:valAx>
      <c:valAx>
        <c:axId val="53288258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2887264"/>
        <c:crosses val="max"/>
        <c:crossBetween val="between"/>
      </c:valAx>
      <c:catAx>
        <c:axId val="532887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2882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318256294063124E-2"/>
          <c:y val="0.93752823048281775"/>
          <c:w val="0.92393787224635326"/>
          <c:h val="5.92763840566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[THONG_KE_VNINDEX_VN30.xlsm]CHỨNG KHOÁN!PivotTable1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636015042218217E-2"/>
          <c:y val="0.14417881438289601"/>
          <c:w val="0.88304220752307006"/>
          <c:h val="0.662314761675198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'CHỨNG KHOÁN'!$U$18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'CHỨNG KHOÁN'!$T$19:$T$36</c:f>
              <c:strCache>
                <c:ptCount val="17"/>
                <c:pt idx="0">
                  <c:v>VIX</c:v>
                </c:pt>
                <c:pt idx="1">
                  <c:v>DSE</c:v>
                </c:pt>
                <c:pt idx="2">
                  <c:v>ORS</c:v>
                </c:pt>
                <c:pt idx="3">
                  <c:v>BVS</c:v>
                </c:pt>
                <c:pt idx="4">
                  <c:v>TVS</c:v>
                </c:pt>
                <c:pt idx="5">
                  <c:v>VND</c:v>
                </c:pt>
                <c:pt idx="6">
                  <c:v>AGR</c:v>
                </c:pt>
                <c:pt idx="7">
                  <c:v>APG</c:v>
                </c:pt>
                <c:pt idx="8">
                  <c:v>SSI</c:v>
                </c:pt>
                <c:pt idx="9">
                  <c:v>VDS</c:v>
                </c:pt>
                <c:pt idx="10">
                  <c:v>HCM</c:v>
                </c:pt>
                <c:pt idx="11">
                  <c:v>TCI</c:v>
                </c:pt>
                <c:pt idx="12">
                  <c:v>CTS</c:v>
                </c:pt>
                <c:pt idx="13">
                  <c:v>BSI</c:v>
                </c:pt>
                <c:pt idx="14">
                  <c:v>VCI</c:v>
                </c:pt>
                <c:pt idx="15">
                  <c:v>TVB</c:v>
                </c:pt>
                <c:pt idx="16">
                  <c:v>FTS</c:v>
                </c:pt>
              </c:strCache>
            </c:strRef>
          </c:cat>
          <c:val>
            <c:numRef>
              <c:f>'CHỨNG KHOÁN'!$U$19:$U$36</c:f>
              <c:numCache>
                <c:formatCode>0.00%</c:formatCode>
                <c:ptCount val="17"/>
                <c:pt idx="0">
                  <c:v>-4.2373000000000001E-2</c:v>
                </c:pt>
                <c:pt idx="1">
                  <c:v>-3.9782999999999999E-2</c:v>
                </c:pt>
                <c:pt idx="2">
                  <c:v>-2.3973000000000001E-2</c:v>
                </c:pt>
                <c:pt idx="3">
                  <c:v>-1.7587999999999999E-2</c:v>
                </c:pt>
                <c:pt idx="4">
                  <c:v>-1.4924999999999999E-2</c:v>
                </c:pt>
                <c:pt idx="5">
                  <c:v>-1.4598999999999999E-2</c:v>
                </c:pt>
                <c:pt idx="6">
                  <c:v>-1.3698999999999999E-2</c:v>
                </c:pt>
                <c:pt idx="7">
                  <c:v>-1.2088000000000002E-2</c:v>
                </c:pt>
                <c:pt idx="8">
                  <c:v>-1.1278E-2</c:v>
                </c:pt>
                <c:pt idx="9">
                  <c:v>-9.7090000000000006E-3</c:v>
                </c:pt>
                <c:pt idx="10">
                  <c:v>-9.5239999999999995E-3</c:v>
                </c:pt>
                <c:pt idx="11">
                  <c:v>-9.127999999999999E-3</c:v>
                </c:pt>
                <c:pt idx="12">
                  <c:v>-7.6730000000000001E-3</c:v>
                </c:pt>
                <c:pt idx="13">
                  <c:v>-7.2199999999999999E-3</c:v>
                </c:pt>
                <c:pt idx="14">
                  <c:v>-5.3620000000000004E-3</c:v>
                </c:pt>
                <c:pt idx="15">
                  <c:v>-4.9020000000000001E-3</c:v>
                </c:pt>
                <c:pt idx="1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875-44E5-8E37-9AD9FB6C9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83956560"/>
        <c:axId val="432289904"/>
      </c:barChart>
      <c:lineChart>
        <c:grouping val="standard"/>
        <c:varyColors val="0"/>
        <c:ser>
          <c:idx val="1"/>
          <c:order val="1"/>
          <c:tx>
            <c:strRef>
              <c:f>'CHỨNG KHOÁN'!$V$18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'CHỨNG KHOÁN'!$T$19:$T$36</c:f>
              <c:strCache>
                <c:ptCount val="17"/>
                <c:pt idx="0">
                  <c:v>VIX</c:v>
                </c:pt>
                <c:pt idx="1">
                  <c:v>DSE</c:v>
                </c:pt>
                <c:pt idx="2">
                  <c:v>ORS</c:v>
                </c:pt>
                <c:pt idx="3">
                  <c:v>BVS</c:v>
                </c:pt>
                <c:pt idx="4">
                  <c:v>TVS</c:v>
                </c:pt>
                <c:pt idx="5">
                  <c:v>VND</c:v>
                </c:pt>
                <c:pt idx="6">
                  <c:v>AGR</c:v>
                </c:pt>
                <c:pt idx="7">
                  <c:v>APG</c:v>
                </c:pt>
                <c:pt idx="8">
                  <c:v>SSI</c:v>
                </c:pt>
                <c:pt idx="9">
                  <c:v>VDS</c:v>
                </c:pt>
                <c:pt idx="10">
                  <c:v>HCM</c:v>
                </c:pt>
                <c:pt idx="11">
                  <c:v>TCI</c:v>
                </c:pt>
                <c:pt idx="12">
                  <c:v>CTS</c:v>
                </c:pt>
                <c:pt idx="13">
                  <c:v>BSI</c:v>
                </c:pt>
                <c:pt idx="14">
                  <c:v>VCI</c:v>
                </c:pt>
                <c:pt idx="15">
                  <c:v>TVB</c:v>
                </c:pt>
                <c:pt idx="16">
                  <c:v>FTS</c:v>
                </c:pt>
              </c:strCache>
            </c:strRef>
          </c:cat>
          <c:val>
            <c:numRef>
              <c:f>'CHỨNG KHOÁN'!$V$19:$V$36</c:f>
              <c:numCache>
                <c:formatCode>General</c:formatCode>
                <c:ptCount val="17"/>
                <c:pt idx="0">
                  <c:v>1.6566633179061374</c:v>
                </c:pt>
                <c:pt idx="1">
                  <c:v>0.45967204482438023</c:v>
                </c:pt>
                <c:pt idx="2">
                  <c:v>1.1600597685828233</c:v>
                </c:pt>
                <c:pt idx="3">
                  <c:v>1.1022877773840316</c:v>
                </c:pt>
                <c:pt idx="4">
                  <c:v>0.19281868644008848</c:v>
                </c:pt>
                <c:pt idx="5">
                  <c:v>0.45693439738941538</c:v>
                </c:pt>
                <c:pt idx="6">
                  <c:v>0.98794013985384033</c:v>
                </c:pt>
                <c:pt idx="7">
                  <c:v>0.25542401810896415</c:v>
                </c:pt>
                <c:pt idx="8">
                  <c:v>0.56023611408475327</c:v>
                </c:pt>
                <c:pt idx="9">
                  <c:v>0.81641927775260248</c:v>
                </c:pt>
                <c:pt idx="10">
                  <c:v>0.55079252009354762</c:v>
                </c:pt>
                <c:pt idx="11">
                  <c:v>0.22409880192114845</c:v>
                </c:pt>
                <c:pt idx="12">
                  <c:v>0.87645070634897371</c:v>
                </c:pt>
                <c:pt idx="13">
                  <c:v>1.2876417515106366</c:v>
                </c:pt>
                <c:pt idx="14">
                  <c:v>0.37816653822043877</c:v>
                </c:pt>
                <c:pt idx="15">
                  <c:v>0.19178683041833433</c:v>
                </c:pt>
                <c:pt idx="16">
                  <c:v>0.84678696553862487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75-44E5-8E37-9AD9FB6C9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01464"/>
        <c:axId val="591600384"/>
      </c:lineChart>
      <c:catAx>
        <c:axId val="58395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2289904"/>
        <c:crosses val="autoZero"/>
        <c:auto val="1"/>
        <c:lblAlgn val="ctr"/>
        <c:lblOffset val="100"/>
        <c:noMultiLvlLbl val="0"/>
      </c:catAx>
      <c:valAx>
        <c:axId val="4322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83956560"/>
        <c:crosses val="autoZero"/>
        <c:crossBetween val="between"/>
      </c:valAx>
      <c:valAx>
        <c:axId val="591600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91601464"/>
        <c:crosses val="max"/>
        <c:crossBetween val="between"/>
      </c:valAx>
      <c:catAx>
        <c:axId val="591601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1600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2795966517783528"/>
          <c:y val="0.90585034013605448"/>
          <c:w val="0.53755480295511615"/>
          <c:h val="8.3578124163051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 DẦU -KHÍ ĐỐT!PivotTable2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393793048605539E-2"/>
          <c:y val="0.1207040296433534"/>
          <c:w val="0.88052072976915796"/>
          <c:h val="0.695846842674077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DẦU -KHÍ ĐỐT'!$U$18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 DẦU -KHÍ ĐỐT'!$T$19:$T$31</c:f>
              <c:strCache>
                <c:ptCount val="12"/>
                <c:pt idx="0">
                  <c:v>PPT</c:v>
                </c:pt>
                <c:pt idx="1">
                  <c:v>PVB</c:v>
                </c:pt>
                <c:pt idx="2">
                  <c:v>PVC</c:v>
                </c:pt>
                <c:pt idx="3">
                  <c:v>PVD</c:v>
                </c:pt>
                <c:pt idx="4">
                  <c:v>PLX</c:v>
                </c:pt>
                <c:pt idx="5">
                  <c:v>OIL</c:v>
                </c:pt>
                <c:pt idx="6">
                  <c:v>BSR</c:v>
                </c:pt>
                <c:pt idx="7">
                  <c:v>PVS</c:v>
                </c:pt>
                <c:pt idx="8">
                  <c:v>CNG</c:v>
                </c:pt>
                <c:pt idx="9">
                  <c:v>PGC</c:v>
                </c:pt>
                <c:pt idx="10">
                  <c:v>PSH</c:v>
                </c:pt>
                <c:pt idx="11">
                  <c:v>GAS</c:v>
                </c:pt>
              </c:strCache>
            </c:strRef>
          </c:cat>
          <c:val>
            <c:numRef>
              <c:f>' DẦU -KHÍ ĐỐT'!$U$19:$U$31</c:f>
              <c:numCache>
                <c:formatCode>0.00%</c:formatCode>
                <c:ptCount val="12"/>
                <c:pt idx="0">
                  <c:v>-1.5747999999999998E-2</c:v>
                </c:pt>
                <c:pt idx="1">
                  <c:v>-1.1527000000000001E-2</c:v>
                </c:pt>
                <c:pt idx="2">
                  <c:v>-8.7720000000000003E-3</c:v>
                </c:pt>
                <c:pt idx="3">
                  <c:v>-8.1300000000000001E-3</c:v>
                </c:pt>
                <c:pt idx="4">
                  <c:v>-7.9190000000000007E-3</c:v>
                </c:pt>
                <c:pt idx="5">
                  <c:v>-7.463E-3</c:v>
                </c:pt>
                <c:pt idx="6">
                  <c:v>-7.2819999999999994E-3</c:v>
                </c:pt>
                <c:pt idx="7">
                  <c:v>-5.666E-3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1.4580000000000001E-3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627-4584-B4D7-588370700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409244536"/>
        <c:axId val="409245616"/>
      </c:barChart>
      <c:lineChart>
        <c:grouping val="standard"/>
        <c:varyColors val="0"/>
        <c:ser>
          <c:idx val="1"/>
          <c:order val="1"/>
          <c:tx>
            <c:strRef>
              <c:f>' DẦU -KHÍ ĐỐT'!$V$18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 DẦU -KHÍ ĐỐT'!$T$19:$T$31</c:f>
              <c:strCache>
                <c:ptCount val="12"/>
                <c:pt idx="0">
                  <c:v>PPT</c:v>
                </c:pt>
                <c:pt idx="1">
                  <c:v>PVB</c:v>
                </c:pt>
                <c:pt idx="2">
                  <c:v>PVC</c:v>
                </c:pt>
                <c:pt idx="3">
                  <c:v>PVD</c:v>
                </c:pt>
                <c:pt idx="4">
                  <c:v>PLX</c:v>
                </c:pt>
                <c:pt idx="5">
                  <c:v>OIL</c:v>
                </c:pt>
                <c:pt idx="6">
                  <c:v>BSR</c:v>
                </c:pt>
                <c:pt idx="7">
                  <c:v>PVS</c:v>
                </c:pt>
                <c:pt idx="8">
                  <c:v>CNG</c:v>
                </c:pt>
                <c:pt idx="9">
                  <c:v>PGC</c:v>
                </c:pt>
                <c:pt idx="10">
                  <c:v>PSH</c:v>
                </c:pt>
                <c:pt idx="11">
                  <c:v>GAS</c:v>
                </c:pt>
              </c:strCache>
            </c:strRef>
          </c:cat>
          <c:val>
            <c:numRef>
              <c:f>' DẦU -KHÍ ĐỐT'!$V$19:$V$31</c:f>
              <c:numCache>
                <c:formatCode>General</c:formatCode>
                <c:ptCount val="12"/>
                <c:pt idx="0">
                  <c:v>0.57314836434802918</c:v>
                </c:pt>
                <c:pt idx="1">
                  <c:v>0.42235535049339323</c:v>
                </c:pt>
                <c:pt idx="2">
                  <c:v>0.21181696264628094</c:v>
                </c:pt>
                <c:pt idx="3">
                  <c:v>0.33996134283263418</c:v>
                </c:pt>
                <c:pt idx="4">
                  <c:v>0.50335784715903154</c:v>
                </c:pt>
                <c:pt idx="5">
                  <c:v>0.29591309822192774</c:v>
                </c:pt>
                <c:pt idx="6">
                  <c:v>0.45279930073038122</c:v>
                </c:pt>
                <c:pt idx="7">
                  <c:v>0.46278110120771399</c:v>
                </c:pt>
                <c:pt idx="8">
                  <c:v>0.46150022369140531</c:v>
                </c:pt>
                <c:pt idx="9">
                  <c:v>0.44694186297817162</c:v>
                </c:pt>
                <c:pt idx="10">
                  <c:v>0</c:v>
                </c:pt>
                <c:pt idx="11">
                  <c:v>1.2984969021294399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7-4584-B4D7-588370700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72568"/>
        <c:axId val="103474368"/>
      </c:lineChart>
      <c:catAx>
        <c:axId val="40924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09245616"/>
        <c:crosses val="autoZero"/>
        <c:auto val="1"/>
        <c:lblAlgn val="ctr"/>
        <c:lblOffset val="100"/>
        <c:noMultiLvlLbl val="0"/>
      </c:catAx>
      <c:valAx>
        <c:axId val="4092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09244536"/>
        <c:crosses val="autoZero"/>
        <c:crossBetween val="between"/>
      </c:valAx>
      <c:valAx>
        <c:axId val="10347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03472568"/>
        <c:crosses val="max"/>
        <c:crossBetween val="between"/>
      </c:valAx>
      <c:catAx>
        <c:axId val="103472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7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20800011436868"/>
          <c:y val="0.91666574031187276"/>
          <c:w val="0.65071602321735167"/>
          <c:h val="8.0394009572332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[THONG_KE_VNINDEX_VN30.xlsm]CÔNG NGHỆ!PivotTable3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Công nghệ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743444798134682E-2"/>
          <c:y val="0.1207040296433534"/>
          <c:w val="0.89731437558209359"/>
          <c:h val="0.71467716535433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'CÔNG NGHỆ'!$U$18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'CÔNG NGHỆ'!$T$19:$T$28</c:f>
              <c:strCache>
                <c:ptCount val="9"/>
                <c:pt idx="0">
                  <c:v>ITD</c:v>
                </c:pt>
                <c:pt idx="1">
                  <c:v>SAM</c:v>
                </c:pt>
                <c:pt idx="2">
                  <c:v>SGT</c:v>
                </c:pt>
                <c:pt idx="3">
                  <c:v>ST8</c:v>
                </c:pt>
                <c:pt idx="4">
                  <c:v>ELC</c:v>
                </c:pt>
                <c:pt idx="5">
                  <c:v>CMG</c:v>
                </c:pt>
                <c:pt idx="6">
                  <c:v>CTR</c:v>
                </c:pt>
                <c:pt idx="7">
                  <c:v>ICT</c:v>
                </c:pt>
                <c:pt idx="8">
                  <c:v>FPT</c:v>
                </c:pt>
              </c:strCache>
            </c:strRef>
          </c:cat>
          <c:val>
            <c:numRef>
              <c:f>'CÔNG NGHỆ'!$U$19:$U$28</c:f>
              <c:numCache>
                <c:formatCode>0.00%</c:formatCode>
                <c:ptCount val="9"/>
                <c:pt idx="0">
                  <c:v>-2.7027000000000002E-2</c:v>
                </c:pt>
                <c:pt idx="1">
                  <c:v>-1.5727000000000001E-2</c:v>
                </c:pt>
                <c:pt idx="2">
                  <c:v>-1.2345999999999999E-2</c:v>
                </c:pt>
                <c:pt idx="3">
                  <c:v>-1.2121E-2</c:v>
                </c:pt>
                <c:pt idx="4">
                  <c:v>-1.145E-2</c:v>
                </c:pt>
                <c:pt idx="5">
                  <c:v>-1.0147E-2</c:v>
                </c:pt>
                <c:pt idx="6">
                  <c:v>-7.4750000000000007E-3</c:v>
                </c:pt>
                <c:pt idx="7">
                  <c:v>-7.2729999999999991E-3</c:v>
                </c:pt>
                <c:pt idx="8">
                  <c:v>-6.4059999999999994E-3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8C2-43C9-AF22-49094CDE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558287920"/>
        <c:axId val="558289000"/>
      </c:barChart>
      <c:lineChart>
        <c:grouping val="standard"/>
        <c:varyColors val="0"/>
        <c:ser>
          <c:idx val="1"/>
          <c:order val="1"/>
          <c:tx>
            <c:strRef>
              <c:f>'CÔNG NGHỆ'!$V$18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'CÔNG NGHỆ'!$T$19:$T$28</c:f>
              <c:strCache>
                <c:ptCount val="9"/>
                <c:pt idx="0">
                  <c:v>ITD</c:v>
                </c:pt>
                <c:pt idx="1">
                  <c:v>SAM</c:v>
                </c:pt>
                <c:pt idx="2">
                  <c:v>SGT</c:v>
                </c:pt>
                <c:pt idx="3">
                  <c:v>ST8</c:v>
                </c:pt>
                <c:pt idx="4">
                  <c:v>ELC</c:v>
                </c:pt>
                <c:pt idx="5">
                  <c:v>CMG</c:v>
                </c:pt>
                <c:pt idx="6">
                  <c:v>CTR</c:v>
                </c:pt>
                <c:pt idx="7">
                  <c:v>ICT</c:v>
                </c:pt>
                <c:pt idx="8">
                  <c:v>FPT</c:v>
                </c:pt>
              </c:strCache>
            </c:strRef>
          </c:cat>
          <c:val>
            <c:numRef>
              <c:f>'CÔNG NGHỆ'!$V$19:$V$28</c:f>
              <c:numCache>
                <c:formatCode>General</c:formatCode>
                <c:ptCount val="9"/>
                <c:pt idx="0">
                  <c:v>0.24116770926422401</c:v>
                </c:pt>
                <c:pt idx="1">
                  <c:v>0.41694001535678832</c:v>
                </c:pt>
                <c:pt idx="2">
                  <c:v>0.15996843469928415</c:v>
                </c:pt>
                <c:pt idx="3">
                  <c:v>0.49885511664725818</c:v>
                </c:pt>
                <c:pt idx="4">
                  <c:v>0.19527776623592472</c:v>
                </c:pt>
                <c:pt idx="5">
                  <c:v>0.74111776744661506</c:v>
                </c:pt>
                <c:pt idx="6">
                  <c:v>0.20581291008254154</c:v>
                </c:pt>
                <c:pt idx="7">
                  <c:v>0.35588738528542541</c:v>
                </c:pt>
                <c:pt idx="8">
                  <c:v>0.26698937236578363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C2-43C9-AF22-49094CDE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08984"/>
        <c:axId val="489907544"/>
      </c:lineChart>
      <c:catAx>
        <c:axId val="55828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8289000"/>
        <c:crosses val="autoZero"/>
        <c:auto val="1"/>
        <c:lblAlgn val="ctr"/>
        <c:lblOffset val="100"/>
        <c:noMultiLvlLbl val="0"/>
      </c:catAx>
      <c:valAx>
        <c:axId val="55828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8287920"/>
        <c:crosses val="autoZero"/>
        <c:crossBetween val="between"/>
      </c:valAx>
      <c:valAx>
        <c:axId val="489907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9908984"/>
        <c:crosses val="max"/>
        <c:crossBetween val="between"/>
      </c:valAx>
      <c:catAx>
        <c:axId val="489908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9907544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158097527607316"/>
          <c:y val="0.91666574031187276"/>
          <c:w val="0.47452166840490384"/>
          <c:h val="8.33342596881272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[THONG_KE_VNINDEX_VN30.xlsm]BẢO HIỂM - DV TÀI CHÍNH!PivotTable1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giá ngành Bảo hiểm - DV Tài chính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60192874304884E-2"/>
          <c:y val="0.11904761904761904"/>
          <c:w val="0.85985784291169021"/>
          <c:h val="0.719128858892638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'BẢO HIỂM - DV TÀI CHÍNH'!$T$18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'BẢO HIỂM - DV TÀI CHÍNH'!$S$19:$S$38</c:f>
              <c:strCache>
                <c:ptCount val="19"/>
                <c:pt idx="0">
                  <c:v>BIC</c:v>
                </c:pt>
                <c:pt idx="1">
                  <c:v>BMI</c:v>
                </c:pt>
                <c:pt idx="2">
                  <c:v>BVH</c:v>
                </c:pt>
                <c:pt idx="3">
                  <c:v>EVF</c:v>
                </c:pt>
                <c:pt idx="4">
                  <c:v>MIG</c:v>
                </c:pt>
                <c:pt idx="5">
                  <c:v>PGI</c:v>
                </c:pt>
                <c:pt idx="6">
                  <c:v>ABI</c:v>
                </c:pt>
                <c:pt idx="7">
                  <c:v>AIC</c:v>
                </c:pt>
                <c:pt idx="8">
                  <c:v>BCG</c:v>
                </c:pt>
                <c:pt idx="9">
                  <c:v>BHI</c:v>
                </c:pt>
                <c:pt idx="10">
                  <c:v>BLI</c:v>
                </c:pt>
                <c:pt idx="11">
                  <c:v>FIT</c:v>
                </c:pt>
                <c:pt idx="12">
                  <c:v>OGC</c:v>
                </c:pt>
                <c:pt idx="13">
                  <c:v>PRE</c:v>
                </c:pt>
                <c:pt idx="14">
                  <c:v>PTI</c:v>
                </c:pt>
                <c:pt idx="15">
                  <c:v>PVI</c:v>
                </c:pt>
                <c:pt idx="16">
                  <c:v>TIN</c:v>
                </c:pt>
                <c:pt idx="17">
                  <c:v>TVC</c:v>
                </c:pt>
                <c:pt idx="18">
                  <c:v>VNR</c:v>
                </c:pt>
              </c:strCache>
            </c:strRef>
          </c:cat>
          <c:val>
            <c:numRef>
              <c:f>'BẢO HIỂM - DV TÀI CHÍNH'!$T$19:$T$38</c:f>
              <c:numCache>
                <c:formatCode>General</c:formatCode>
                <c:ptCount val="19"/>
                <c:pt idx="0">
                  <c:v>-9.4979999999999995E-3</c:v>
                </c:pt>
                <c:pt idx="1">
                  <c:v>-9.3019999999999995E-3</c:v>
                </c:pt>
                <c:pt idx="2">
                  <c:v>-1.406E-2</c:v>
                </c:pt>
                <c:pt idx="3">
                  <c:v>-5.3811999999999999E-2</c:v>
                </c:pt>
                <c:pt idx="4">
                  <c:v>-1.3774E-2</c:v>
                </c:pt>
                <c:pt idx="5">
                  <c:v>0</c:v>
                </c:pt>
                <c:pt idx="6">
                  <c:v>-1.0204E-2</c:v>
                </c:pt>
                <c:pt idx="7">
                  <c:v>5.8333000000000003E-2</c:v>
                </c:pt>
                <c:pt idx="8">
                  <c:v>-6.9029999999999994E-2</c:v>
                </c:pt>
                <c:pt idx="9">
                  <c:v>0</c:v>
                </c:pt>
                <c:pt idx="10">
                  <c:v>0</c:v>
                </c:pt>
                <c:pt idx="11">
                  <c:v>-7.1089999999999999E-3</c:v>
                </c:pt>
                <c:pt idx="12">
                  <c:v>-1.6729000000000001E-2</c:v>
                </c:pt>
                <c:pt idx="13">
                  <c:v>0</c:v>
                </c:pt>
                <c:pt idx="14">
                  <c:v>2.9786999999999998E-2</c:v>
                </c:pt>
                <c:pt idx="15">
                  <c:v>-6.0609999999999995E-3</c:v>
                </c:pt>
                <c:pt idx="16">
                  <c:v>6.6669999999999993E-3</c:v>
                </c:pt>
                <c:pt idx="17">
                  <c:v>-2.0833000000000001E-2</c:v>
                </c:pt>
                <c:pt idx="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2E8-4256-BC81-97AF513D5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0716104"/>
        <c:axId val="710720424"/>
      </c:barChart>
      <c:lineChart>
        <c:grouping val="standard"/>
        <c:varyColors val="0"/>
        <c:ser>
          <c:idx val="1"/>
          <c:order val="1"/>
          <c:tx>
            <c:strRef>
              <c:f>'BẢO HIỂM - DV TÀI CHÍNH'!$U$18</c:f>
              <c:strCache>
                <c:ptCount val="1"/>
                <c:pt idx="0">
                  <c:v>Sum of KLGD/1000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'BẢO HIỂM - DV TÀI CHÍNH'!$S$19:$S$38</c:f>
              <c:strCache>
                <c:ptCount val="19"/>
                <c:pt idx="0">
                  <c:v>BIC</c:v>
                </c:pt>
                <c:pt idx="1">
                  <c:v>BMI</c:v>
                </c:pt>
                <c:pt idx="2">
                  <c:v>BVH</c:v>
                </c:pt>
                <c:pt idx="3">
                  <c:v>EVF</c:v>
                </c:pt>
                <c:pt idx="4">
                  <c:v>MIG</c:v>
                </c:pt>
                <c:pt idx="5">
                  <c:v>PGI</c:v>
                </c:pt>
                <c:pt idx="6">
                  <c:v>ABI</c:v>
                </c:pt>
                <c:pt idx="7">
                  <c:v>AIC</c:v>
                </c:pt>
                <c:pt idx="8">
                  <c:v>BCG</c:v>
                </c:pt>
                <c:pt idx="9">
                  <c:v>BHI</c:v>
                </c:pt>
                <c:pt idx="10">
                  <c:v>BLI</c:v>
                </c:pt>
                <c:pt idx="11">
                  <c:v>FIT</c:v>
                </c:pt>
                <c:pt idx="12">
                  <c:v>OGC</c:v>
                </c:pt>
                <c:pt idx="13">
                  <c:v>PRE</c:v>
                </c:pt>
                <c:pt idx="14">
                  <c:v>PTI</c:v>
                </c:pt>
                <c:pt idx="15">
                  <c:v>PVI</c:v>
                </c:pt>
                <c:pt idx="16">
                  <c:v>TIN</c:v>
                </c:pt>
                <c:pt idx="17">
                  <c:v>TVC</c:v>
                </c:pt>
                <c:pt idx="18">
                  <c:v>VNR</c:v>
                </c:pt>
              </c:strCache>
            </c:strRef>
          </c:cat>
          <c:val>
            <c:numRef>
              <c:f>'BẢO HIỂM - DV TÀI CHÍNH'!$U$19:$U$38</c:f>
              <c:numCache>
                <c:formatCode>General</c:formatCode>
                <c:ptCount val="19"/>
                <c:pt idx="0">
                  <c:v>13.8</c:v>
                </c:pt>
                <c:pt idx="1">
                  <c:v>69.900000000000006</c:v>
                </c:pt>
                <c:pt idx="2">
                  <c:v>256.10000000000002</c:v>
                </c:pt>
                <c:pt idx="3">
                  <c:v>15928.7</c:v>
                </c:pt>
                <c:pt idx="4">
                  <c:v>128.9</c:v>
                </c:pt>
                <c:pt idx="5">
                  <c:v>0</c:v>
                </c:pt>
                <c:pt idx="6">
                  <c:v>3.2</c:v>
                </c:pt>
                <c:pt idx="7">
                  <c:v>1.1000000000000001</c:v>
                </c:pt>
                <c:pt idx="8">
                  <c:v>2424.6017000000002</c:v>
                </c:pt>
                <c:pt idx="9">
                  <c:v>0.9</c:v>
                </c:pt>
                <c:pt idx="10">
                  <c:v>0</c:v>
                </c:pt>
                <c:pt idx="11">
                  <c:v>441.4</c:v>
                </c:pt>
                <c:pt idx="12">
                  <c:v>230.6</c:v>
                </c:pt>
                <c:pt idx="13">
                  <c:v>1</c:v>
                </c:pt>
                <c:pt idx="14">
                  <c:v>4.2</c:v>
                </c:pt>
                <c:pt idx="15">
                  <c:v>6.7</c:v>
                </c:pt>
                <c:pt idx="16">
                  <c:v>2</c:v>
                </c:pt>
                <c:pt idx="17">
                  <c:v>174.4</c:v>
                </c:pt>
                <c:pt idx="18">
                  <c:v>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F-4167-B3B6-EF8274042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741904"/>
        <c:axId val="870741544"/>
      </c:lineChart>
      <c:catAx>
        <c:axId val="710716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0720424"/>
        <c:crosses val="autoZero"/>
        <c:auto val="1"/>
        <c:lblAlgn val="ctr"/>
        <c:lblOffset val="100"/>
        <c:noMultiLvlLbl val="0"/>
      </c:catAx>
      <c:valAx>
        <c:axId val="71072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0716104"/>
        <c:crosses val="autoZero"/>
        <c:crossBetween val="between"/>
      </c:valAx>
      <c:valAx>
        <c:axId val="870741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870741904"/>
        <c:crosses val="max"/>
        <c:crossBetween val="between"/>
      </c:valAx>
      <c:catAx>
        <c:axId val="870741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0741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001531768606478"/>
          <c:y val="0.9041143673608848"/>
          <c:w val="0.35894721538132957"/>
          <c:h val="8.405131311248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[THONG_KE_VNINDEX_VN30.xlsm]BÁN LẺ!PivotTable8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521690403464475E-2"/>
          <c:y val="0.12214098237720285"/>
          <c:w val="0.88397266702010735"/>
          <c:h val="0.751749781277340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'BÁN LẺ'!$U$18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'BÁN LẺ'!$T$19:$T$27</c:f>
              <c:strCache>
                <c:ptCount val="8"/>
                <c:pt idx="0">
                  <c:v>DGW</c:v>
                </c:pt>
                <c:pt idx="1">
                  <c:v>PET</c:v>
                </c:pt>
                <c:pt idx="2">
                  <c:v>FRT</c:v>
                </c:pt>
                <c:pt idx="3">
                  <c:v>PNJ</c:v>
                </c:pt>
                <c:pt idx="4">
                  <c:v>VRE</c:v>
                </c:pt>
                <c:pt idx="5">
                  <c:v>AST</c:v>
                </c:pt>
                <c:pt idx="6">
                  <c:v>MWG</c:v>
                </c:pt>
                <c:pt idx="7">
                  <c:v>LIX</c:v>
                </c:pt>
              </c:strCache>
            </c:strRef>
          </c:cat>
          <c:val>
            <c:numRef>
              <c:f>'BÁN LẺ'!$U$19:$U$27</c:f>
              <c:numCache>
                <c:formatCode>0.00%</c:formatCode>
                <c:ptCount val="8"/>
                <c:pt idx="0">
                  <c:v>-1.5038000000000001E-2</c:v>
                </c:pt>
                <c:pt idx="1">
                  <c:v>-1.4286E-2</c:v>
                </c:pt>
                <c:pt idx="2">
                  <c:v>-6.0609999999999995E-3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D6B-4A08-93F2-DDCC01FE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478556144"/>
        <c:axId val="478556504"/>
      </c:barChart>
      <c:lineChart>
        <c:grouping val="standard"/>
        <c:varyColors val="0"/>
        <c:ser>
          <c:idx val="1"/>
          <c:order val="1"/>
          <c:tx>
            <c:strRef>
              <c:f>'BÁN LẺ'!$V$18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'BÁN LẺ'!$T$19:$T$27</c:f>
              <c:strCache>
                <c:ptCount val="8"/>
                <c:pt idx="0">
                  <c:v>DGW</c:v>
                </c:pt>
                <c:pt idx="1">
                  <c:v>PET</c:v>
                </c:pt>
                <c:pt idx="2">
                  <c:v>FRT</c:v>
                </c:pt>
                <c:pt idx="3">
                  <c:v>PNJ</c:v>
                </c:pt>
                <c:pt idx="4">
                  <c:v>VRE</c:v>
                </c:pt>
                <c:pt idx="5">
                  <c:v>AST</c:v>
                </c:pt>
                <c:pt idx="6">
                  <c:v>MWG</c:v>
                </c:pt>
                <c:pt idx="7">
                  <c:v>LIX</c:v>
                </c:pt>
              </c:strCache>
            </c:strRef>
          </c:cat>
          <c:val>
            <c:numRef>
              <c:f>'BÁN LẺ'!$V$19:$V$27</c:f>
              <c:numCache>
                <c:formatCode>General</c:formatCode>
                <c:ptCount val="8"/>
                <c:pt idx="0">
                  <c:v>0.56410486366174906</c:v>
                </c:pt>
                <c:pt idx="1">
                  <c:v>0.89449420554399961</c:v>
                </c:pt>
                <c:pt idx="2">
                  <c:v>0.17930787997451558</c:v>
                </c:pt>
                <c:pt idx="3">
                  <c:v>0.23501775776727535</c:v>
                </c:pt>
                <c:pt idx="4">
                  <c:v>0.68010221663519921</c:v>
                </c:pt>
                <c:pt idx="5">
                  <c:v>0.62086414947450363</c:v>
                </c:pt>
                <c:pt idx="6">
                  <c:v>0.21988662183329397</c:v>
                </c:pt>
                <c:pt idx="7">
                  <c:v>0.53192067372996465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6B-4A08-93F2-DDCC01FE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935888"/>
        <c:axId val="628943808"/>
      </c:lineChart>
      <c:catAx>
        <c:axId val="47855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6504"/>
        <c:crosses val="autoZero"/>
        <c:auto val="1"/>
        <c:lblAlgn val="ctr"/>
        <c:lblOffset val="100"/>
        <c:noMultiLvlLbl val="0"/>
      </c:catAx>
      <c:valAx>
        <c:axId val="47855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6144"/>
        <c:crosses val="autoZero"/>
        <c:crossBetween val="between"/>
      </c:valAx>
      <c:valAx>
        <c:axId val="628943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35888"/>
        <c:crosses val="max"/>
        <c:crossBetween val="between"/>
      </c:valAx>
      <c:catAx>
        <c:axId val="62893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8943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803814578862627"/>
          <c:y val="0.93353080864891891"/>
          <c:w val="0.59216879255936694"/>
          <c:h val="5.75415573053368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[THONG_KE_VNINDEX_VN30.xlsm]DỆT MAY!PivotTable1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Biểu</a:t>
            </a:r>
            <a:r>
              <a:rPr lang="en-US" sz="1600" b="1" baseline="0">
                <a:solidFill>
                  <a:schemeClr val="tx1"/>
                </a:solidFill>
              </a:rPr>
              <a:t> đồ biến động nhóm Dệt may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221953159032439E-2"/>
          <c:y val="0.11884545133612683"/>
          <c:w val="0.89942794955508598"/>
          <c:h val="0.705260395082193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'DỆT MAY'!$U$18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'DỆT MAY'!$T$19:$T$31</c:f>
              <c:strCache>
                <c:ptCount val="12"/>
                <c:pt idx="0">
                  <c:v>EVE</c:v>
                </c:pt>
                <c:pt idx="1">
                  <c:v>SVD</c:v>
                </c:pt>
                <c:pt idx="2">
                  <c:v>MSH</c:v>
                </c:pt>
                <c:pt idx="3">
                  <c:v>STK</c:v>
                </c:pt>
                <c:pt idx="4">
                  <c:v>HTG</c:v>
                </c:pt>
                <c:pt idx="5">
                  <c:v>GIL</c:v>
                </c:pt>
                <c:pt idx="6">
                  <c:v>ADS</c:v>
                </c:pt>
                <c:pt idx="7">
                  <c:v>KMR</c:v>
                </c:pt>
                <c:pt idx="8">
                  <c:v>GMC</c:v>
                </c:pt>
                <c:pt idx="9">
                  <c:v>AAT</c:v>
                </c:pt>
                <c:pt idx="10">
                  <c:v>TCM</c:v>
                </c:pt>
                <c:pt idx="11">
                  <c:v>TVT</c:v>
                </c:pt>
              </c:strCache>
            </c:strRef>
          </c:cat>
          <c:val>
            <c:numRef>
              <c:f>'DỆT MAY'!$U$19:$U$31</c:f>
              <c:numCache>
                <c:formatCode>0.00%</c:formatCode>
                <c:ptCount val="12"/>
                <c:pt idx="0">
                  <c:v>-2.2831000000000001E-2</c:v>
                </c:pt>
                <c:pt idx="1">
                  <c:v>-2.1472000000000002E-2</c:v>
                </c:pt>
                <c:pt idx="2">
                  <c:v>-1.5125999999999999E-2</c:v>
                </c:pt>
                <c:pt idx="3">
                  <c:v>-1.4705999999999999E-2</c:v>
                </c:pt>
                <c:pt idx="4">
                  <c:v>-9.9600000000000001E-3</c:v>
                </c:pt>
                <c:pt idx="5">
                  <c:v>-8.5710000000000005E-3</c:v>
                </c:pt>
                <c:pt idx="6">
                  <c:v>-6.3829999999999998E-3</c:v>
                </c:pt>
                <c:pt idx="7">
                  <c:v>-2.9499999999999999E-3</c:v>
                </c:pt>
                <c:pt idx="8">
                  <c:v>0</c:v>
                </c:pt>
                <c:pt idx="9">
                  <c:v>0</c:v>
                </c:pt>
                <c:pt idx="10">
                  <c:v>1.2290000000000001E-3</c:v>
                </c:pt>
                <c:pt idx="11">
                  <c:v>2.9329999999999998E-3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FFED-42CC-B58F-9C374C577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1599416"/>
        <c:axId val="531594016"/>
      </c:barChart>
      <c:lineChart>
        <c:grouping val="standard"/>
        <c:varyColors val="0"/>
        <c:ser>
          <c:idx val="1"/>
          <c:order val="1"/>
          <c:tx>
            <c:strRef>
              <c:f>'DỆT MAY'!$V$18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'DỆT MAY'!$T$19:$T$31</c:f>
              <c:strCache>
                <c:ptCount val="12"/>
                <c:pt idx="0">
                  <c:v>EVE</c:v>
                </c:pt>
                <c:pt idx="1">
                  <c:v>SVD</c:v>
                </c:pt>
                <c:pt idx="2">
                  <c:v>MSH</c:v>
                </c:pt>
                <c:pt idx="3">
                  <c:v>STK</c:v>
                </c:pt>
                <c:pt idx="4">
                  <c:v>HTG</c:v>
                </c:pt>
                <c:pt idx="5">
                  <c:v>GIL</c:v>
                </c:pt>
                <c:pt idx="6">
                  <c:v>ADS</c:v>
                </c:pt>
                <c:pt idx="7">
                  <c:v>KMR</c:v>
                </c:pt>
                <c:pt idx="8">
                  <c:v>GMC</c:v>
                </c:pt>
                <c:pt idx="9">
                  <c:v>AAT</c:v>
                </c:pt>
                <c:pt idx="10">
                  <c:v>TCM</c:v>
                </c:pt>
                <c:pt idx="11">
                  <c:v>TVT</c:v>
                </c:pt>
              </c:strCache>
            </c:strRef>
          </c:cat>
          <c:val>
            <c:numRef>
              <c:f>'DỆT MAY'!$V$19:$V$31</c:f>
              <c:numCache>
                <c:formatCode>General</c:formatCode>
                <c:ptCount val="12"/>
                <c:pt idx="0">
                  <c:v>0.71033210332103325</c:v>
                </c:pt>
                <c:pt idx="1">
                  <c:v>5.3094294087226337E-2</c:v>
                </c:pt>
                <c:pt idx="2">
                  <c:v>0.5061264102875167</c:v>
                </c:pt>
                <c:pt idx="3">
                  <c:v>0.19569178008787913</c:v>
                </c:pt>
                <c:pt idx="4">
                  <c:v>6.0068259385665533E-2</c:v>
                </c:pt>
                <c:pt idx="5">
                  <c:v>0.5361112645056445</c:v>
                </c:pt>
                <c:pt idx="6">
                  <c:v>0.32105081780346206</c:v>
                </c:pt>
                <c:pt idx="7">
                  <c:v>0.71748198710656041</c:v>
                </c:pt>
                <c:pt idx="8">
                  <c:v>0</c:v>
                </c:pt>
                <c:pt idx="9">
                  <c:v>0</c:v>
                </c:pt>
                <c:pt idx="10">
                  <c:v>0.68327819581387306</c:v>
                </c:pt>
                <c:pt idx="11">
                  <c:v>0.49855789039967036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D-42CC-B58F-9C374C577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609496"/>
        <c:axId val="531608776"/>
      </c:lineChart>
      <c:catAx>
        <c:axId val="531599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594016"/>
        <c:crosses val="autoZero"/>
        <c:auto val="1"/>
        <c:lblAlgn val="ctr"/>
        <c:lblOffset val="100"/>
        <c:noMultiLvlLbl val="0"/>
      </c:catAx>
      <c:valAx>
        <c:axId val="5315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599416"/>
        <c:crosses val="autoZero"/>
        <c:crossBetween val="between"/>
      </c:valAx>
      <c:valAx>
        <c:axId val="531608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609496"/>
        <c:crosses val="max"/>
        <c:crossBetween val="between"/>
      </c:valAx>
      <c:catAx>
        <c:axId val="531609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1608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7954431974159"/>
          <c:y val="0.93182776884072283"/>
          <c:w val="0.71014955267245838"/>
          <c:h val="6.451838681455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[THONG_KE_VNINDEX_VN30.xlsm]THÉP!PivotTable10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Thép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743444798134682E-2"/>
          <c:y val="0.11826907803671514"/>
          <c:w val="0.89568537955543293"/>
          <c:h val="0.69737820236447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THÉP!$U$18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THÉP!$T$19:$T$31</c:f>
              <c:strCache>
                <c:ptCount val="12"/>
                <c:pt idx="0">
                  <c:v>SMC</c:v>
                </c:pt>
                <c:pt idx="1">
                  <c:v>VCA</c:v>
                </c:pt>
                <c:pt idx="2">
                  <c:v>TNI</c:v>
                </c:pt>
                <c:pt idx="3">
                  <c:v>NKG</c:v>
                </c:pt>
                <c:pt idx="4">
                  <c:v>HSG</c:v>
                </c:pt>
                <c:pt idx="5">
                  <c:v>HPG</c:v>
                </c:pt>
                <c:pt idx="6">
                  <c:v>HMC</c:v>
                </c:pt>
                <c:pt idx="7">
                  <c:v>DTL</c:v>
                </c:pt>
                <c:pt idx="8">
                  <c:v>TNA</c:v>
                </c:pt>
                <c:pt idx="9">
                  <c:v>SHI</c:v>
                </c:pt>
                <c:pt idx="10">
                  <c:v>SHA</c:v>
                </c:pt>
                <c:pt idx="11">
                  <c:v>TLH</c:v>
                </c:pt>
              </c:strCache>
            </c:strRef>
          </c:cat>
          <c:val>
            <c:numRef>
              <c:f>THÉP!$U$19:$U$31</c:f>
              <c:numCache>
                <c:formatCode>0.00%</c:formatCode>
                <c:ptCount val="12"/>
                <c:pt idx="0">
                  <c:v>-4.9919000000000005E-2</c:v>
                </c:pt>
                <c:pt idx="1">
                  <c:v>-1.9762999999999999E-2</c:v>
                </c:pt>
                <c:pt idx="2">
                  <c:v>-1.2605E-2</c:v>
                </c:pt>
                <c:pt idx="3">
                  <c:v>-1.2539E-2</c:v>
                </c:pt>
                <c:pt idx="4">
                  <c:v>-1.0582000000000001E-2</c:v>
                </c:pt>
                <c:pt idx="5">
                  <c:v>-7.1300000000000001E-3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3.3110000000000001E-3</c:v>
                </c:pt>
                <c:pt idx="10">
                  <c:v>1.6827000000000002E-2</c:v>
                </c:pt>
                <c:pt idx="11">
                  <c:v>2.9801000000000001E-2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BBC-4EAC-A13F-5A0824D1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628937328"/>
        <c:axId val="628942368"/>
      </c:barChart>
      <c:lineChart>
        <c:grouping val="standard"/>
        <c:varyColors val="0"/>
        <c:ser>
          <c:idx val="1"/>
          <c:order val="1"/>
          <c:tx>
            <c:strRef>
              <c:f>THÉP!$V$18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THÉP!$T$19:$T$31</c:f>
              <c:strCache>
                <c:ptCount val="12"/>
                <c:pt idx="0">
                  <c:v>SMC</c:v>
                </c:pt>
                <c:pt idx="1">
                  <c:v>VCA</c:v>
                </c:pt>
                <c:pt idx="2">
                  <c:v>TNI</c:v>
                </c:pt>
                <c:pt idx="3">
                  <c:v>NKG</c:v>
                </c:pt>
                <c:pt idx="4">
                  <c:v>HSG</c:v>
                </c:pt>
                <c:pt idx="5">
                  <c:v>HPG</c:v>
                </c:pt>
                <c:pt idx="6">
                  <c:v>HMC</c:v>
                </c:pt>
                <c:pt idx="7">
                  <c:v>DTL</c:v>
                </c:pt>
                <c:pt idx="8">
                  <c:v>TNA</c:v>
                </c:pt>
                <c:pt idx="9">
                  <c:v>SHI</c:v>
                </c:pt>
                <c:pt idx="10">
                  <c:v>SHA</c:v>
                </c:pt>
                <c:pt idx="11">
                  <c:v>TLH</c:v>
                </c:pt>
              </c:strCache>
            </c:strRef>
          </c:cat>
          <c:val>
            <c:numRef>
              <c:f>THÉP!$V$19:$V$31</c:f>
              <c:numCache>
                <c:formatCode>General</c:formatCode>
                <c:ptCount val="12"/>
                <c:pt idx="0">
                  <c:v>1.1618369158510962</c:v>
                </c:pt>
                <c:pt idx="1">
                  <c:v>0.67981843575418999</c:v>
                </c:pt>
                <c:pt idx="2">
                  <c:v>0.72355634085615617</c:v>
                </c:pt>
                <c:pt idx="3">
                  <c:v>0.91748420357270022</c:v>
                </c:pt>
                <c:pt idx="4">
                  <c:v>0.72169509553796463</c:v>
                </c:pt>
                <c:pt idx="5">
                  <c:v>0.61602626690640339</c:v>
                </c:pt>
                <c:pt idx="6">
                  <c:v>7.2229822161422708E-2</c:v>
                </c:pt>
                <c:pt idx="7">
                  <c:v>0</c:v>
                </c:pt>
                <c:pt idx="8">
                  <c:v>0</c:v>
                </c:pt>
                <c:pt idx="9">
                  <c:v>0.60635624916087538</c:v>
                </c:pt>
                <c:pt idx="10">
                  <c:v>4.1548630783758263E-2</c:v>
                </c:pt>
                <c:pt idx="11">
                  <c:v>1.2947248244475376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BC-4EAC-A13F-5A0824D1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582792"/>
        <c:axId val="616584232"/>
      </c:lineChart>
      <c:catAx>
        <c:axId val="62893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42368"/>
        <c:crosses val="autoZero"/>
        <c:auto val="1"/>
        <c:lblAlgn val="ctr"/>
        <c:lblOffset val="100"/>
        <c:noMultiLvlLbl val="0"/>
      </c:catAx>
      <c:valAx>
        <c:axId val="6289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37328"/>
        <c:crosses val="autoZero"/>
        <c:crossBetween val="between"/>
      </c:valAx>
      <c:valAx>
        <c:axId val="616584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16582792"/>
        <c:crosses val="max"/>
        <c:crossBetween val="between"/>
      </c:valAx>
      <c:catAx>
        <c:axId val="616582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6584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877503090282426"/>
          <c:y val="0.92363006497386679"/>
          <c:w val="0.51850456112474097"/>
          <c:h val="5.9559932530047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[THONG_KE_VNINDEX_VN30.xlsm]NĂNG LƯỢNG - TB ĐIỆN!PivotTable5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Năng lượng - TB Điện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39186527976874E-2"/>
          <c:y val="0.11861089618132993"/>
          <c:w val="0.87617018162255822"/>
          <c:h val="0.711917831080363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'NĂNG LƯỢNG - TB ĐIỆN'!$U$18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'NĂNG LƯỢNG - TB ĐIỆN'!$T$19:$T$47</c:f>
              <c:strCache>
                <c:ptCount val="28"/>
                <c:pt idx="0">
                  <c:v>GEE</c:v>
                </c:pt>
                <c:pt idx="1">
                  <c:v>GEX</c:v>
                </c:pt>
                <c:pt idx="2">
                  <c:v>PAC</c:v>
                </c:pt>
                <c:pt idx="3">
                  <c:v>GEG</c:v>
                </c:pt>
                <c:pt idx="4">
                  <c:v>PPC</c:v>
                </c:pt>
                <c:pt idx="5">
                  <c:v>POW</c:v>
                </c:pt>
                <c:pt idx="6">
                  <c:v>BTP</c:v>
                </c:pt>
                <c:pt idx="7">
                  <c:v>NT2</c:v>
                </c:pt>
                <c:pt idx="8">
                  <c:v>UIC</c:v>
                </c:pt>
                <c:pt idx="9">
                  <c:v>SJD</c:v>
                </c:pt>
                <c:pt idx="10">
                  <c:v>TYA</c:v>
                </c:pt>
                <c:pt idx="11">
                  <c:v>SHP</c:v>
                </c:pt>
                <c:pt idx="12">
                  <c:v>KHP</c:v>
                </c:pt>
                <c:pt idx="13">
                  <c:v>VPD</c:v>
                </c:pt>
                <c:pt idx="14">
                  <c:v>SBA</c:v>
                </c:pt>
                <c:pt idx="15">
                  <c:v>REE</c:v>
                </c:pt>
                <c:pt idx="16">
                  <c:v>PGV</c:v>
                </c:pt>
                <c:pt idx="17">
                  <c:v>TTE</c:v>
                </c:pt>
                <c:pt idx="18">
                  <c:v>TMP</c:v>
                </c:pt>
                <c:pt idx="19">
                  <c:v>DRL</c:v>
                </c:pt>
                <c:pt idx="20">
                  <c:v>SMA</c:v>
                </c:pt>
                <c:pt idx="21">
                  <c:v>HNA</c:v>
                </c:pt>
                <c:pt idx="22">
                  <c:v>VSH</c:v>
                </c:pt>
                <c:pt idx="23">
                  <c:v>TTA</c:v>
                </c:pt>
                <c:pt idx="24">
                  <c:v>TBC</c:v>
                </c:pt>
                <c:pt idx="25">
                  <c:v>S4A</c:v>
                </c:pt>
                <c:pt idx="26">
                  <c:v>CHP</c:v>
                </c:pt>
                <c:pt idx="27">
                  <c:v>VTB</c:v>
                </c:pt>
              </c:strCache>
            </c:strRef>
          </c:cat>
          <c:val>
            <c:numRef>
              <c:f>'NĂNG LƯỢNG - TB ĐIỆN'!$U$19:$U$47</c:f>
              <c:numCache>
                <c:formatCode>0.00%</c:formatCode>
                <c:ptCount val="28"/>
                <c:pt idx="0">
                  <c:v>-5.6910999999999996E-2</c:v>
                </c:pt>
                <c:pt idx="1">
                  <c:v>-2.3656E-2</c:v>
                </c:pt>
                <c:pt idx="2">
                  <c:v>-1.8867999999999999E-2</c:v>
                </c:pt>
                <c:pt idx="3">
                  <c:v>-1.1583000000000001E-2</c:v>
                </c:pt>
                <c:pt idx="4">
                  <c:v>-8.5840000000000014E-3</c:v>
                </c:pt>
                <c:pt idx="5">
                  <c:v>-8.1300000000000001E-3</c:v>
                </c:pt>
                <c:pt idx="6">
                  <c:v>-8.1300000000000001E-3</c:v>
                </c:pt>
                <c:pt idx="7">
                  <c:v>-7.2290000000000002E-3</c:v>
                </c:pt>
                <c:pt idx="8">
                  <c:v>-7.1069999999999996E-3</c:v>
                </c:pt>
                <c:pt idx="9">
                  <c:v>-6.7340000000000004E-3</c:v>
                </c:pt>
                <c:pt idx="10">
                  <c:v>-5.7799999999999995E-3</c:v>
                </c:pt>
                <c:pt idx="11">
                  <c:v>-5.3759999999999997E-3</c:v>
                </c:pt>
                <c:pt idx="12">
                  <c:v>-4.4840000000000001E-3</c:v>
                </c:pt>
                <c:pt idx="13">
                  <c:v>-3.7880000000000001E-3</c:v>
                </c:pt>
                <c:pt idx="14">
                  <c:v>-1.6689999999999999E-3</c:v>
                </c:pt>
                <c:pt idx="15">
                  <c:v>-1.377E-3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1.431E-3</c:v>
                </c:pt>
                <c:pt idx="27">
                  <c:v>2.5510000000000001E-2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A3B-4EBD-AC5D-43C676F6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483452664"/>
        <c:axId val="483449424"/>
      </c:barChart>
      <c:lineChart>
        <c:grouping val="standard"/>
        <c:varyColors val="0"/>
        <c:ser>
          <c:idx val="1"/>
          <c:order val="1"/>
          <c:tx>
            <c:strRef>
              <c:f>'NĂNG LƯỢNG - TB ĐIỆN'!$V$18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'NĂNG LƯỢNG - TB ĐIỆN'!$T$19:$T$47</c:f>
              <c:strCache>
                <c:ptCount val="28"/>
                <c:pt idx="0">
                  <c:v>GEE</c:v>
                </c:pt>
                <c:pt idx="1">
                  <c:v>GEX</c:v>
                </c:pt>
                <c:pt idx="2">
                  <c:v>PAC</c:v>
                </c:pt>
                <c:pt idx="3">
                  <c:v>GEG</c:v>
                </c:pt>
                <c:pt idx="4">
                  <c:v>PPC</c:v>
                </c:pt>
                <c:pt idx="5">
                  <c:v>POW</c:v>
                </c:pt>
                <c:pt idx="6">
                  <c:v>BTP</c:v>
                </c:pt>
                <c:pt idx="7">
                  <c:v>NT2</c:v>
                </c:pt>
                <c:pt idx="8">
                  <c:v>UIC</c:v>
                </c:pt>
                <c:pt idx="9">
                  <c:v>SJD</c:v>
                </c:pt>
                <c:pt idx="10">
                  <c:v>TYA</c:v>
                </c:pt>
                <c:pt idx="11">
                  <c:v>SHP</c:v>
                </c:pt>
                <c:pt idx="12">
                  <c:v>KHP</c:v>
                </c:pt>
                <c:pt idx="13">
                  <c:v>VPD</c:v>
                </c:pt>
                <c:pt idx="14">
                  <c:v>SBA</c:v>
                </c:pt>
                <c:pt idx="15">
                  <c:v>REE</c:v>
                </c:pt>
                <c:pt idx="16">
                  <c:v>PGV</c:v>
                </c:pt>
                <c:pt idx="17">
                  <c:v>TTE</c:v>
                </c:pt>
                <c:pt idx="18">
                  <c:v>TMP</c:v>
                </c:pt>
                <c:pt idx="19">
                  <c:v>DRL</c:v>
                </c:pt>
                <c:pt idx="20">
                  <c:v>SMA</c:v>
                </c:pt>
                <c:pt idx="21">
                  <c:v>HNA</c:v>
                </c:pt>
                <c:pt idx="22">
                  <c:v>VSH</c:v>
                </c:pt>
                <c:pt idx="23">
                  <c:v>TTA</c:v>
                </c:pt>
                <c:pt idx="24">
                  <c:v>TBC</c:v>
                </c:pt>
                <c:pt idx="25">
                  <c:v>S4A</c:v>
                </c:pt>
                <c:pt idx="26">
                  <c:v>CHP</c:v>
                </c:pt>
                <c:pt idx="27">
                  <c:v>VTB</c:v>
                </c:pt>
              </c:strCache>
            </c:strRef>
          </c:cat>
          <c:val>
            <c:numRef>
              <c:f>'NĂNG LƯỢNG - TB ĐIỆN'!$V$19:$V$47</c:f>
              <c:numCache>
                <c:formatCode>General</c:formatCode>
                <c:ptCount val="28"/>
                <c:pt idx="0">
                  <c:v>0.24541742392275823</c:v>
                </c:pt>
                <c:pt idx="1">
                  <c:v>1.0649010379337009</c:v>
                </c:pt>
                <c:pt idx="2">
                  <c:v>0.27704670477834104</c:v>
                </c:pt>
                <c:pt idx="3">
                  <c:v>0.75968248686000639</c:v>
                </c:pt>
                <c:pt idx="4">
                  <c:v>0.44267990074441688</c:v>
                </c:pt>
                <c:pt idx="5">
                  <c:v>0.34847962479035194</c:v>
                </c:pt>
                <c:pt idx="6">
                  <c:v>0.29919511518179293</c:v>
                </c:pt>
                <c:pt idx="7">
                  <c:v>0.4779950881092806</c:v>
                </c:pt>
                <c:pt idx="8">
                  <c:v>1.077485380116959</c:v>
                </c:pt>
                <c:pt idx="9">
                  <c:v>0.22542047254710304</c:v>
                </c:pt>
                <c:pt idx="10">
                  <c:v>0.12449071978270712</c:v>
                </c:pt>
                <c:pt idx="11">
                  <c:v>1.6505324298160697</c:v>
                </c:pt>
                <c:pt idx="12">
                  <c:v>6.6766900545717794E-2</c:v>
                </c:pt>
                <c:pt idx="13">
                  <c:v>1.8781241224375176</c:v>
                </c:pt>
                <c:pt idx="14">
                  <c:v>0.98828125000000011</c:v>
                </c:pt>
                <c:pt idx="15">
                  <c:v>0.51085811126440783</c:v>
                </c:pt>
                <c:pt idx="16">
                  <c:v>0.1014344262295082</c:v>
                </c:pt>
                <c:pt idx="17">
                  <c:v>0</c:v>
                </c:pt>
                <c:pt idx="18">
                  <c:v>1.1758620689655173</c:v>
                </c:pt>
                <c:pt idx="19">
                  <c:v>0.28260869565217389</c:v>
                </c:pt>
                <c:pt idx="20">
                  <c:v>0</c:v>
                </c:pt>
                <c:pt idx="21">
                  <c:v>0</c:v>
                </c:pt>
                <c:pt idx="22">
                  <c:v>7.8291814946619229E-2</c:v>
                </c:pt>
                <c:pt idx="23">
                  <c:v>0.35995020451716164</c:v>
                </c:pt>
                <c:pt idx="24">
                  <c:v>6.0773480662983423E-2</c:v>
                </c:pt>
                <c:pt idx="25">
                  <c:v>0</c:v>
                </c:pt>
                <c:pt idx="26">
                  <c:v>5.7291666666666664E-2</c:v>
                </c:pt>
                <c:pt idx="27">
                  <c:v>0.37606837606837601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3B-4EBD-AC5D-43C676F6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71848"/>
        <c:axId val="103471488"/>
      </c:lineChart>
      <c:catAx>
        <c:axId val="483452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49424"/>
        <c:crosses val="autoZero"/>
        <c:auto val="1"/>
        <c:lblAlgn val="ctr"/>
        <c:lblOffset val="100"/>
        <c:noMultiLvlLbl val="0"/>
      </c:catAx>
      <c:valAx>
        <c:axId val="4834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52664"/>
        <c:crosses val="autoZero"/>
        <c:crossBetween val="between"/>
      </c:valAx>
      <c:valAx>
        <c:axId val="103471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03471848"/>
        <c:crosses val="max"/>
        <c:crossBetween val="between"/>
      </c:valAx>
      <c:catAx>
        <c:axId val="103471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71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36102412091897"/>
          <c:y val="0.9479759683218788"/>
          <c:w val="0.52183834911759719"/>
          <c:h val="4.8171377421752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[THONG_KE_VNINDEX_VN30.xlsm]CÔNG NGHIỆP!PivotTable1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Công nghiệp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500996568665151E-2"/>
          <c:y val="0.16595078299776286"/>
          <c:w val="0.86815197814104972"/>
          <c:h val="0.66948757244270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'CÔNG NGHIỆP'!$U$18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'CÔNG NGHIỆP'!$T$19:$T$26</c:f>
              <c:strCache>
                <c:ptCount val="7"/>
                <c:pt idx="0">
                  <c:v>L10</c:v>
                </c:pt>
                <c:pt idx="1">
                  <c:v>TDP</c:v>
                </c:pt>
                <c:pt idx="2">
                  <c:v>SBG</c:v>
                </c:pt>
                <c:pt idx="3">
                  <c:v>APH</c:v>
                </c:pt>
                <c:pt idx="4">
                  <c:v>NO1</c:v>
                </c:pt>
                <c:pt idx="5">
                  <c:v>SVI</c:v>
                </c:pt>
                <c:pt idx="6">
                  <c:v>SRF</c:v>
                </c:pt>
              </c:strCache>
            </c:strRef>
          </c:cat>
          <c:val>
            <c:numRef>
              <c:f>'CÔNG NGHIỆP'!$U$19:$U$26</c:f>
              <c:numCache>
                <c:formatCode>0.00%</c:formatCode>
                <c:ptCount val="7"/>
                <c:pt idx="0">
                  <c:v>-5.6235E-2</c:v>
                </c:pt>
                <c:pt idx="1">
                  <c:v>-1.4924999999999999E-2</c:v>
                </c:pt>
                <c:pt idx="2">
                  <c:v>-1.2244999999999999E-2</c:v>
                </c:pt>
                <c:pt idx="3">
                  <c:v>-9.6290000000000004E-3</c:v>
                </c:pt>
                <c:pt idx="4">
                  <c:v>-3.6409999999999997E-3</c:v>
                </c:pt>
                <c:pt idx="5">
                  <c:v>0</c:v>
                </c:pt>
                <c:pt idx="6">
                  <c:v>5.0000000000000001E-3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9F6-4A8B-9C85-F126881DA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548619216"/>
        <c:axId val="548627136"/>
      </c:barChart>
      <c:lineChart>
        <c:grouping val="standard"/>
        <c:varyColors val="0"/>
        <c:ser>
          <c:idx val="1"/>
          <c:order val="1"/>
          <c:tx>
            <c:strRef>
              <c:f>'CÔNG NGHIỆP'!$V$18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'CÔNG NGHIỆP'!$T$19:$T$26</c:f>
              <c:strCache>
                <c:ptCount val="7"/>
                <c:pt idx="0">
                  <c:v>L10</c:v>
                </c:pt>
                <c:pt idx="1">
                  <c:v>TDP</c:v>
                </c:pt>
                <c:pt idx="2">
                  <c:v>SBG</c:v>
                </c:pt>
                <c:pt idx="3">
                  <c:v>APH</c:v>
                </c:pt>
                <c:pt idx="4">
                  <c:v>NO1</c:v>
                </c:pt>
                <c:pt idx="5">
                  <c:v>SVI</c:v>
                </c:pt>
                <c:pt idx="6">
                  <c:v>SRF</c:v>
                </c:pt>
              </c:strCache>
            </c:strRef>
          </c:cat>
          <c:val>
            <c:numRef>
              <c:f>'CÔNG NGHIỆP'!$V$19:$V$26</c:f>
              <c:numCache>
                <c:formatCode>General</c:formatCode>
                <c:ptCount val="7"/>
                <c:pt idx="0">
                  <c:v>4.4000000000000004</c:v>
                </c:pt>
                <c:pt idx="1">
                  <c:v>0.6363845622650196</c:v>
                </c:pt>
                <c:pt idx="2">
                  <c:v>0.48757415991413378</c:v>
                </c:pt>
                <c:pt idx="3">
                  <c:v>0.65703149546122297</c:v>
                </c:pt>
                <c:pt idx="4">
                  <c:v>0.14620148013895182</c:v>
                </c:pt>
                <c:pt idx="5">
                  <c:v>0</c:v>
                </c:pt>
                <c:pt idx="6">
                  <c:v>0.20101956514290281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F6-4A8B-9C85-F126881DA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26152"/>
        <c:axId val="601030472"/>
      </c:lineChart>
      <c:catAx>
        <c:axId val="54861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8627136"/>
        <c:crosses val="autoZero"/>
        <c:auto val="1"/>
        <c:lblAlgn val="ctr"/>
        <c:lblOffset val="100"/>
        <c:noMultiLvlLbl val="0"/>
      </c:catAx>
      <c:valAx>
        <c:axId val="54862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8619216"/>
        <c:crosses val="autoZero"/>
        <c:crossBetween val="between"/>
      </c:valAx>
      <c:valAx>
        <c:axId val="601030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26152"/>
        <c:crosses val="max"/>
        <c:crossBetween val="between"/>
      </c:valAx>
      <c:catAx>
        <c:axId val="601026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030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868192759764748"/>
          <c:y val="0.90449646814282447"/>
          <c:w val="0.70052930933997271"/>
          <c:h val="8.2776163046733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[THONG_KE_VNINDEX_VN30.xlsm]HÓA CHẤT -NHỰA!PivotTable2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nhóm ngành Hóa Chất - Nhựa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4141783900749108E-2"/>
          <c:y val="0.14049242424242425"/>
          <c:w val="0.8826785664829534"/>
          <c:h val="0.71640330470054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'HÓA CHẤT -NHỰA'!$U$18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'HÓA CHẤT -NHỰA'!$T$19:$T$39</c:f>
              <c:strCache>
                <c:ptCount val="20"/>
                <c:pt idx="0">
                  <c:v>PLP</c:v>
                </c:pt>
                <c:pt idx="1">
                  <c:v>AAA</c:v>
                </c:pt>
                <c:pt idx="2">
                  <c:v>DGC</c:v>
                </c:pt>
                <c:pt idx="3">
                  <c:v>HCD</c:v>
                </c:pt>
                <c:pt idx="4">
                  <c:v>VFG</c:v>
                </c:pt>
                <c:pt idx="5">
                  <c:v>CSV</c:v>
                </c:pt>
                <c:pt idx="6">
                  <c:v>DPM</c:v>
                </c:pt>
                <c:pt idx="7">
                  <c:v>TSC</c:v>
                </c:pt>
                <c:pt idx="8">
                  <c:v>BRC</c:v>
                </c:pt>
                <c:pt idx="9">
                  <c:v>DCM</c:v>
                </c:pt>
                <c:pt idx="10">
                  <c:v>NHH</c:v>
                </c:pt>
                <c:pt idx="11">
                  <c:v>RDP</c:v>
                </c:pt>
                <c:pt idx="12">
                  <c:v>BMP</c:v>
                </c:pt>
                <c:pt idx="13">
                  <c:v>BFC</c:v>
                </c:pt>
                <c:pt idx="14">
                  <c:v>HII</c:v>
                </c:pt>
                <c:pt idx="15">
                  <c:v>GVR</c:v>
                </c:pt>
                <c:pt idx="16">
                  <c:v>TRC</c:v>
                </c:pt>
                <c:pt idx="17">
                  <c:v>DPR</c:v>
                </c:pt>
                <c:pt idx="18">
                  <c:v>TPC</c:v>
                </c:pt>
                <c:pt idx="19">
                  <c:v>PHR</c:v>
                </c:pt>
              </c:strCache>
            </c:strRef>
          </c:cat>
          <c:val>
            <c:numRef>
              <c:f>'HÓA CHẤT -NHỰA'!$U$19:$U$39</c:f>
              <c:numCache>
                <c:formatCode>General</c:formatCode>
                <c:ptCount val="20"/>
                <c:pt idx="0">
                  <c:v>-1.5842000000000002E-2</c:v>
                </c:pt>
                <c:pt idx="1">
                  <c:v>-1.5800999999999999E-2</c:v>
                </c:pt>
                <c:pt idx="2">
                  <c:v>-1.0591E-2</c:v>
                </c:pt>
                <c:pt idx="3">
                  <c:v>-7.3709999999999999E-3</c:v>
                </c:pt>
                <c:pt idx="4">
                  <c:v>-6.8869999999999999E-3</c:v>
                </c:pt>
                <c:pt idx="5">
                  <c:v>-5.6559999999999996E-3</c:v>
                </c:pt>
                <c:pt idx="6">
                  <c:v>-5.4269999999999995E-3</c:v>
                </c:pt>
                <c:pt idx="7">
                  <c:v>-3.8019999999999998E-3</c:v>
                </c:pt>
                <c:pt idx="8">
                  <c:v>-3.5210000000000003E-3</c:v>
                </c:pt>
                <c:pt idx="9">
                  <c:v>-1.4080000000000002E-3</c:v>
                </c:pt>
                <c:pt idx="10">
                  <c:v>0</c:v>
                </c:pt>
                <c:pt idx="11">
                  <c:v>0</c:v>
                </c:pt>
                <c:pt idx="12">
                  <c:v>3.3439999999999998E-3</c:v>
                </c:pt>
                <c:pt idx="13">
                  <c:v>3.4680000000000002E-3</c:v>
                </c:pt>
                <c:pt idx="14">
                  <c:v>6.522E-3</c:v>
                </c:pt>
                <c:pt idx="15">
                  <c:v>7.5529999999999998E-3</c:v>
                </c:pt>
                <c:pt idx="16">
                  <c:v>1.4252000000000001E-2</c:v>
                </c:pt>
                <c:pt idx="17">
                  <c:v>1.7838E-2</c:v>
                </c:pt>
                <c:pt idx="18">
                  <c:v>1.8182E-2</c:v>
                </c:pt>
                <c:pt idx="19">
                  <c:v>3.4375000000000003E-2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780-4A08-94FF-5C037C47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68058880"/>
        <c:axId val="568061040"/>
      </c:barChart>
      <c:lineChart>
        <c:grouping val="standard"/>
        <c:varyColors val="0"/>
        <c:ser>
          <c:idx val="1"/>
          <c:order val="1"/>
          <c:tx>
            <c:strRef>
              <c:f>'HÓA CHẤT -NHỰA'!$V$18</c:f>
              <c:strCache>
                <c:ptCount val="1"/>
                <c:pt idx="0">
                  <c:v>Sum of KL/KLTB21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'HÓA CHẤT -NHỰA'!$T$19:$T$39</c:f>
              <c:strCache>
                <c:ptCount val="20"/>
                <c:pt idx="0">
                  <c:v>PLP</c:v>
                </c:pt>
                <c:pt idx="1">
                  <c:v>AAA</c:v>
                </c:pt>
                <c:pt idx="2">
                  <c:v>DGC</c:v>
                </c:pt>
                <c:pt idx="3">
                  <c:v>HCD</c:v>
                </c:pt>
                <c:pt idx="4">
                  <c:v>VFG</c:v>
                </c:pt>
                <c:pt idx="5">
                  <c:v>CSV</c:v>
                </c:pt>
                <c:pt idx="6">
                  <c:v>DPM</c:v>
                </c:pt>
                <c:pt idx="7">
                  <c:v>TSC</c:v>
                </c:pt>
                <c:pt idx="8">
                  <c:v>BRC</c:v>
                </c:pt>
                <c:pt idx="9">
                  <c:v>DCM</c:v>
                </c:pt>
                <c:pt idx="10">
                  <c:v>NHH</c:v>
                </c:pt>
                <c:pt idx="11">
                  <c:v>RDP</c:v>
                </c:pt>
                <c:pt idx="12">
                  <c:v>BMP</c:v>
                </c:pt>
                <c:pt idx="13">
                  <c:v>BFC</c:v>
                </c:pt>
                <c:pt idx="14">
                  <c:v>HII</c:v>
                </c:pt>
                <c:pt idx="15">
                  <c:v>GVR</c:v>
                </c:pt>
                <c:pt idx="16">
                  <c:v>TRC</c:v>
                </c:pt>
                <c:pt idx="17">
                  <c:v>DPR</c:v>
                </c:pt>
                <c:pt idx="18">
                  <c:v>TPC</c:v>
                </c:pt>
                <c:pt idx="19">
                  <c:v>PHR</c:v>
                </c:pt>
              </c:strCache>
            </c:strRef>
          </c:cat>
          <c:val>
            <c:numRef>
              <c:f>'HÓA CHẤT -NHỰA'!$V$19:$V$39</c:f>
              <c:numCache>
                <c:formatCode>General</c:formatCode>
                <c:ptCount val="20"/>
                <c:pt idx="0">
                  <c:v>0.15383344803854096</c:v>
                </c:pt>
                <c:pt idx="1">
                  <c:v>0.92551426892183108</c:v>
                </c:pt>
                <c:pt idx="2">
                  <c:v>0.45757477292535309</c:v>
                </c:pt>
                <c:pt idx="3">
                  <c:v>0.39993449066491971</c:v>
                </c:pt>
                <c:pt idx="4">
                  <c:v>0.18396458435809152</c:v>
                </c:pt>
                <c:pt idx="5">
                  <c:v>0.38954928182268445</c:v>
                </c:pt>
                <c:pt idx="6">
                  <c:v>0.40556930492268944</c:v>
                </c:pt>
                <c:pt idx="7">
                  <c:v>0.33157908449052964</c:v>
                </c:pt>
                <c:pt idx="8">
                  <c:v>0.3994413407821229</c:v>
                </c:pt>
                <c:pt idx="9">
                  <c:v>0.46471678377827064</c:v>
                </c:pt>
                <c:pt idx="10">
                  <c:v>0.78530001054518606</c:v>
                </c:pt>
                <c:pt idx="11">
                  <c:v>0</c:v>
                </c:pt>
                <c:pt idx="12">
                  <c:v>0.68616222827597706</c:v>
                </c:pt>
                <c:pt idx="13">
                  <c:v>0.72517854774849866</c:v>
                </c:pt>
                <c:pt idx="14">
                  <c:v>0.19137199434229138</c:v>
                </c:pt>
                <c:pt idx="15">
                  <c:v>0.6304705897400551</c:v>
                </c:pt>
                <c:pt idx="16">
                  <c:v>0.19237410299871685</c:v>
                </c:pt>
                <c:pt idx="17">
                  <c:v>0.75463654742023378</c:v>
                </c:pt>
                <c:pt idx="18">
                  <c:v>1.3730496453900709</c:v>
                </c:pt>
                <c:pt idx="19">
                  <c:v>0.69809517938601906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0-4A08-94FF-5C037C47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048800"/>
        <c:axId val="568068600"/>
      </c:lineChart>
      <c:catAx>
        <c:axId val="56805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61040"/>
        <c:crosses val="autoZero"/>
        <c:auto val="1"/>
        <c:lblAlgn val="ctr"/>
        <c:lblOffset val="100"/>
        <c:noMultiLvlLbl val="0"/>
      </c:catAx>
      <c:valAx>
        <c:axId val="5680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58880"/>
        <c:crosses val="autoZero"/>
        <c:crossBetween val="between"/>
      </c:valAx>
      <c:valAx>
        <c:axId val="568068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48800"/>
        <c:crosses val="max"/>
        <c:crossBetween val="between"/>
      </c:valAx>
      <c:catAx>
        <c:axId val="56804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8068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428111013039747"/>
          <c:y val="0.917727570985445"/>
          <c:w val="0.41177626041439636"/>
          <c:h val="6.3447864471486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[THONG_KE_VNINDEX_VN30.xlsm]Y TẾ - DƯỢC!PivotTable2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Y tế - Dược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221953159032439E-2"/>
          <c:y val="0.14502443792766373"/>
          <c:w val="0.8668480103479167"/>
          <c:h val="0.72680536633800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'Y TẾ - DƯỢC'!$U$18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'Y TẾ - DƯỢC'!$T$19:$T$27</c:f>
              <c:strCache>
                <c:ptCount val="8"/>
                <c:pt idx="0">
                  <c:v>JVC</c:v>
                </c:pt>
                <c:pt idx="1">
                  <c:v>IMP</c:v>
                </c:pt>
                <c:pt idx="2">
                  <c:v>DCL</c:v>
                </c:pt>
                <c:pt idx="3">
                  <c:v>TNH</c:v>
                </c:pt>
                <c:pt idx="4">
                  <c:v>DBD</c:v>
                </c:pt>
                <c:pt idx="5">
                  <c:v>OPC</c:v>
                </c:pt>
                <c:pt idx="6">
                  <c:v>DBT</c:v>
                </c:pt>
                <c:pt idx="7">
                  <c:v>DHG</c:v>
                </c:pt>
              </c:strCache>
            </c:strRef>
          </c:cat>
          <c:val>
            <c:numRef>
              <c:f>'Y TẾ - DƯỢC'!$U$19:$U$27</c:f>
              <c:numCache>
                <c:formatCode>0.0%</c:formatCode>
                <c:ptCount val="8"/>
                <c:pt idx="0">
                  <c:v>-1.7391E-2</c:v>
                </c:pt>
                <c:pt idx="1">
                  <c:v>-7.3839999999999991E-3</c:v>
                </c:pt>
                <c:pt idx="2">
                  <c:v>-6.2370000000000004E-3</c:v>
                </c:pt>
                <c:pt idx="3">
                  <c:v>-5.2490000000000002E-3</c:v>
                </c:pt>
                <c:pt idx="4">
                  <c:v>-5.1370000000000001E-3</c:v>
                </c:pt>
                <c:pt idx="5">
                  <c:v>0</c:v>
                </c:pt>
                <c:pt idx="6">
                  <c:v>0</c:v>
                </c:pt>
                <c:pt idx="7">
                  <c:v>1.967E-3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1C6-418F-B144-3BF7E20C8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601031912"/>
        <c:axId val="601022552"/>
      </c:barChart>
      <c:lineChart>
        <c:grouping val="standard"/>
        <c:varyColors val="0"/>
        <c:ser>
          <c:idx val="1"/>
          <c:order val="1"/>
          <c:tx>
            <c:strRef>
              <c:f>'Y TẾ - DƯỢC'!$V$18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 TẾ - DƯỢC'!$T$19:$T$27</c:f>
              <c:strCache>
                <c:ptCount val="8"/>
                <c:pt idx="0">
                  <c:v>JVC</c:v>
                </c:pt>
                <c:pt idx="1">
                  <c:v>IMP</c:v>
                </c:pt>
                <c:pt idx="2">
                  <c:v>DCL</c:v>
                </c:pt>
                <c:pt idx="3">
                  <c:v>TNH</c:v>
                </c:pt>
                <c:pt idx="4">
                  <c:v>DBD</c:v>
                </c:pt>
                <c:pt idx="5">
                  <c:v>OPC</c:v>
                </c:pt>
                <c:pt idx="6">
                  <c:v>DBT</c:v>
                </c:pt>
                <c:pt idx="7">
                  <c:v>DHG</c:v>
                </c:pt>
              </c:strCache>
            </c:strRef>
          </c:cat>
          <c:val>
            <c:numRef>
              <c:f>'Y TẾ - DƯỢC'!$V$19:$V$27</c:f>
              <c:numCache>
                <c:formatCode>General</c:formatCode>
                <c:ptCount val="8"/>
                <c:pt idx="0">
                  <c:v>0.58036236479040582</c:v>
                </c:pt>
                <c:pt idx="1">
                  <c:v>0.44278005031591477</c:v>
                </c:pt>
                <c:pt idx="2">
                  <c:v>0.45536246868413727</c:v>
                </c:pt>
                <c:pt idx="3">
                  <c:v>0.29515406708811864</c:v>
                </c:pt>
                <c:pt idx="4">
                  <c:v>0.16999840441293795</c:v>
                </c:pt>
                <c:pt idx="5">
                  <c:v>0</c:v>
                </c:pt>
                <c:pt idx="6">
                  <c:v>0</c:v>
                </c:pt>
                <c:pt idx="7">
                  <c:v>0.14566424604869715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B-4138-9701-9DEF51AD5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190440"/>
        <c:axId val="1177195120"/>
      </c:lineChart>
      <c:catAx>
        <c:axId val="60103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22552"/>
        <c:crosses val="autoZero"/>
        <c:auto val="1"/>
        <c:lblAlgn val="ctr"/>
        <c:lblOffset val="100"/>
        <c:noMultiLvlLbl val="0"/>
      </c:catAx>
      <c:valAx>
        <c:axId val="60102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31912"/>
        <c:crosses val="autoZero"/>
        <c:crossBetween val="between"/>
      </c:valAx>
      <c:valAx>
        <c:axId val="1177195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177190440"/>
        <c:crosses val="max"/>
        <c:crossBetween val="between"/>
      </c:valAx>
      <c:catAx>
        <c:axId val="1177190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7195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9637440205643273"/>
          <c:y val="0.91605083088954053"/>
          <c:w val="0.40054248013518856"/>
          <c:h val="8.3949169110459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[THONG_KE_VNINDEX_VN30.xlsm]BĐS!PivotTable6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BĐS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526379982349923E-2"/>
          <c:y val="0.11999815812497122"/>
          <c:w val="0.87291688072429552"/>
          <c:h val="0.70932142254148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BĐS!$U$18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BĐS!$T$19:$T$64</c:f>
              <c:strCache>
                <c:ptCount val="45"/>
                <c:pt idx="0">
                  <c:v>HTN</c:v>
                </c:pt>
                <c:pt idx="1">
                  <c:v>SGR</c:v>
                </c:pt>
                <c:pt idx="2">
                  <c:v>KHG</c:v>
                </c:pt>
                <c:pt idx="3">
                  <c:v>TIP</c:v>
                </c:pt>
                <c:pt idx="4">
                  <c:v>TCH</c:v>
                </c:pt>
                <c:pt idx="5">
                  <c:v>SCR</c:v>
                </c:pt>
                <c:pt idx="6">
                  <c:v>HPX</c:v>
                </c:pt>
                <c:pt idx="7">
                  <c:v>SIP</c:v>
                </c:pt>
                <c:pt idx="8">
                  <c:v>AGG</c:v>
                </c:pt>
                <c:pt idx="9">
                  <c:v>HAR</c:v>
                </c:pt>
                <c:pt idx="10">
                  <c:v>CRE</c:v>
                </c:pt>
                <c:pt idx="11">
                  <c:v>CCL</c:v>
                </c:pt>
                <c:pt idx="12">
                  <c:v>TLD</c:v>
                </c:pt>
                <c:pt idx="13">
                  <c:v>TDH</c:v>
                </c:pt>
                <c:pt idx="14">
                  <c:v>HQC</c:v>
                </c:pt>
                <c:pt idx="15">
                  <c:v>NLG</c:v>
                </c:pt>
                <c:pt idx="16">
                  <c:v>CKG</c:v>
                </c:pt>
                <c:pt idx="17">
                  <c:v>LGL</c:v>
                </c:pt>
                <c:pt idx="18">
                  <c:v>VPI</c:v>
                </c:pt>
                <c:pt idx="19">
                  <c:v>ITC</c:v>
                </c:pt>
                <c:pt idx="20">
                  <c:v>BCM</c:v>
                </c:pt>
                <c:pt idx="21">
                  <c:v>IJC</c:v>
                </c:pt>
                <c:pt idx="22">
                  <c:v>SZC</c:v>
                </c:pt>
                <c:pt idx="23">
                  <c:v>DXG</c:v>
                </c:pt>
                <c:pt idx="24">
                  <c:v>VPH</c:v>
                </c:pt>
                <c:pt idx="25">
                  <c:v>KOS</c:v>
                </c:pt>
                <c:pt idx="26">
                  <c:v>PDR</c:v>
                </c:pt>
                <c:pt idx="27">
                  <c:v>LHG</c:v>
                </c:pt>
                <c:pt idx="28">
                  <c:v>NVL</c:v>
                </c:pt>
                <c:pt idx="29">
                  <c:v>ITA</c:v>
                </c:pt>
                <c:pt idx="30">
                  <c:v>PTL</c:v>
                </c:pt>
                <c:pt idx="31">
                  <c:v>NVT</c:v>
                </c:pt>
                <c:pt idx="32">
                  <c:v>HDG</c:v>
                </c:pt>
                <c:pt idx="33">
                  <c:v>VIC</c:v>
                </c:pt>
                <c:pt idx="34">
                  <c:v>DIG</c:v>
                </c:pt>
                <c:pt idx="35">
                  <c:v>D2D</c:v>
                </c:pt>
                <c:pt idx="36">
                  <c:v>SJS</c:v>
                </c:pt>
                <c:pt idx="37">
                  <c:v>KDH</c:v>
                </c:pt>
                <c:pt idx="38">
                  <c:v>NBB</c:v>
                </c:pt>
                <c:pt idx="39">
                  <c:v>NTL</c:v>
                </c:pt>
                <c:pt idx="40">
                  <c:v>VHM</c:v>
                </c:pt>
                <c:pt idx="41">
                  <c:v>FIR</c:v>
                </c:pt>
                <c:pt idx="42">
                  <c:v>KBC</c:v>
                </c:pt>
                <c:pt idx="43">
                  <c:v>HDC</c:v>
                </c:pt>
                <c:pt idx="44">
                  <c:v>QCG</c:v>
                </c:pt>
              </c:strCache>
            </c:strRef>
          </c:cat>
          <c:val>
            <c:numRef>
              <c:f>BĐS!$U$19:$U$64</c:f>
              <c:numCache>
                <c:formatCode>General</c:formatCode>
                <c:ptCount val="45"/>
                <c:pt idx="0">
                  <c:v>-2.8435999999999999E-2</c:v>
                </c:pt>
                <c:pt idx="1">
                  <c:v>-2.5000000000000001E-2</c:v>
                </c:pt>
                <c:pt idx="2">
                  <c:v>-2.1857999999999999E-2</c:v>
                </c:pt>
                <c:pt idx="3">
                  <c:v>-1.9823999999999998E-2</c:v>
                </c:pt>
                <c:pt idx="4">
                  <c:v>-1.9663E-2</c:v>
                </c:pt>
                <c:pt idx="5">
                  <c:v>-1.8721000000000002E-2</c:v>
                </c:pt>
                <c:pt idx="6">
                  <c:v>-1.7204000000000001E-2</c:v>
                </c:pt>
                <c:pt idx="7">
                  <c:v>-1.6268999999999999E-2</c:v>
                </c:pt>
                <c:pt idx="8">
                  <c:v>-1.4924999999999999E-2</c:v>
                </c:pt>
                <c:pt idx="9">
                  <c:v>-1.4451E-2</c:v>
                </c:pt>
                <c:pt idx="10">
                  <c:v>-1.2552000000000001E-2</c:v>
                </c:pt>
                <c:pt idx="11">
                  <c:v>-1.2048000000000001E-2</c:v>
                </c:pt>
                <c:pt idx="12">
                  <c:v>-1.1024000000000001E-2</c:v>
                </c:pt>
                <c:pt idx="13">
                  <c:v>-9.6769999999999998E-3</c:v>
                </c:pt>
                <c:pt idx="14">
                  <c:v>-9.2309999999999996E-3</c:v>
                </c:pt>
                <c:pt idx="15">
                  <c:v>-8.7080000000000005E-3</c:v>
                </c:pt>
                <c:pt idx="16">
                  <c:v>-7.463E-3</c:v>
                </c:pt>
                <c:pt idx="17">
                  <c:v>-6.4939999999999998E-3</c:v>
                </c:pt>
                <c:pt idx="18">
                  <c:v>-5.0849999999999992E-3</c:v>
                </c:pt>
                <c:pt idx="19">
                  <c:v>-4.7850000000000002E-3</c:v>
                </c:pt>
                <c:pt idx="20">
                  <c:v>-3.9680000000000002E-3</c:v>
                </c:pt>
                <c:pt idx="21">
                  <c:v>-3.4129999999999998E-3</c:v>
                </c:pt>
                <c:pt idx="22">
                  <c:v>-3.2640000000000004E-3</c:v>
                </c:pt>
                <c:pt idx="23">
                  <c:v>-3.0859999999999998E-3</c:v>
                </c:pt>
                <c:pt idx="24">
                  <c:v>-2.9989999999999999E-3</c:v>
                </c:pt>
                <c:pt idx="25">
                  <c:v>-2.5380000000000003E-3</c:v>
                </c:pt>
                <c:pt idx="26">
                  <c:v>-2.4879999999999998E-3</c:v>
                </c:pt>
                <c:pt idx="27">
                  <c:v>-1.351E-3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2.3779999999999999E-3</c:v>
                </c:pt>
                <c:pt idx="34">
                  <c:v>2.5000000000000001E-3</c:v>
                </c:pt>
                <c:pt idx="35">
                  <c:v>2.6879999999999999E-3</c:v>
                </c:pt>
                <c:pt idx="36">
                  <c:v>2.9039999999999999E-3</c:v>
                </c:pt>
                <c:pt idx="37">
                  <c:v>4.4640000000000001E-3</c:v>
                </c:pt>
                <c:pt idx="38">
                  <c:v>4.5659999999999997E-3</c:v>
                </c:pt>
                <c:pt idx="39">
                  <c:v>5.4790000000000004E-3</c:v>
                </c:pt>
                <c:pt idx="40">
                  <c:v>7.0509999999999991E-3</c:v>
                </c:pt>
                <c:pt idx="41">
                  <c:v>8.7339999999999987E-3</c:v>
                </c:pt>
                <c:pt idx="42">
                  <c:v>9.9670000000000002E-3</c:v>
                </c:pt>
                <c:pt idx="43">
                  <c:v>2.4145E-2</c:v>
                </c:pt>
                <c:pt idx="44">
                  <c:v>4.6692999999999998E-2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A34-43C9-924E-66DBE7B3F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57984296"/>
        <c:axId val="557984656"/>
      </c:barChart>
      <c:lineChart>
        <c:grouping val="standard"/>
        <c:varyColors val="0"/>
        <c:ser>
          <c:idx val="1"/>
          <c:order val="1"/>
          <c:tx>
            <c:strRef>
              <c:f>BĐS!$V$18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BĐS!$T$19:$T$64</c:f>
              <c:strCache>
                <c:ptCount val="45"/>
                <c:pt idx="0">
                  <c:v>HTN</c:v>
                </c:pt>
                <c:pt idx="1">
                  <c:v>SGR</c:v>
                </c:pt>
                <c:pt idx="2">
                  <c:v>KHG</c:v>
                </c:pt>
                <c:pt idx="3">
                  <c:v>TIP</c:v>
                </c:pt>
                <c:pt idx="4">
                  <c:v>TCH</c:v>
                </c:pt>
                <c:pt idx="5">
                  <c:v>SCR</c:v>
                </c:pt>
                <c:pt idx="6">
                  <c:v>HPX</c:v>
                </c:pt>
                <c:pt idx="7">
                  <c:v>SIP</c:v>
                </c:pt>
                <c:pt idx="8">
                  <c:v>AGG</c:v>
                </c:pt>
                <c:pt idx="9">
                  <c:v>HAR</c:v>
                </c:pt>
                <c:pt idx="10">
                  <c:v>CRE</c:v>
                </c:pt>
                <c:pt idx="11">
                  <c:v>CCL</c:v>
                </c:pt>
                <c:pt idx="12">
                  <c:v>TLD</c:v>
                </c:pt>
                <c:pt idx="13">
                  <c:v>TDH</c:v>
                </c:pt>
                <c:pt idx="14">
                  <c:v>HQC</c:v>
                </c:pt>
                <c:pt idx="15">
                  <c:v>NLG</c:v>
                </c:pt>
                <c:pt idx="16">
                  <c:v>CKG</c:v>
                </c:pt>
                <c:pt idx="17">
                  <c:v>LGL</c:v>
                </c:pt>
                <c:pt idx="18">
                  <c:v>VPI</c:v>
                </c:pt>
                <c:pt idx="19">
                  <c:v>ITC</c:v>
                </c:pt>
                <c:pt idx="20">
                  <c:v>BCM</c:v>
                </c:pt>
                <c:pt idx="21">
                  <c:v>IJC</c:v>
                </c:pt>
                <c:pt idx="22">
                  <c:v>SZC</c:v>
                </c:pt>
                <c:pt idx="23">
                  <c:v>DXG</c:v>
                </c:pt>
                <c:pt idx="24">
                  <c:v>VPH</c:v>
                </c:pt>
                <c:pt idx="25">
                  <c:v>KOS</c:v>
                </c:pt>
                <c:pt idx="26">
                  <c:v>PDR</c:v>
                </c:pt>
                <c:pt idx="27">
                  <c:v>LHG</c:v>
                </c:pt>
                <c:pt idx="28">
                  <c:v>NVL</c:v>
                </c:pt>
                <c:pt idx="29">
                  <c:v>ITA</c:v>
                </c:pt>
                <c:pt idx="30">
                  <c:v>PTL</c:v>
                </c:pt>
                <c:pt idx="31">
                  <c:v>NVT</c:v>
                </c:pt>
                <c:pt idx="32">
                  <c:v>HDG</c:v>
                </c:pt>
                <c:pt idx="33">
                  <c:v>VIC</c:v>
                </c:pt>
                <c:pt idx="34">
                  <c:v>DIG</c:v>
                </c:pt>
                <c:pt idx="35">
                  <c:v>D2D</c:v>
                </c:pt>
                <c:pt idx="36">
                  <c:v>SJS</c:v>
                </c:pt>
                <c:pt idx="37">
                  <c:v>KDH</c:v>
                </c:pt>
                <c:pt idx="38">
                  <c:v>NBB</c:v>
                </c:pt>
                <c:pt idx="39">
                  <c:v>NTL</c:v>
                </c:pt>
                <c:pt idx="40">
                  <c:v>VHM</c:v>
                </c:pt>
                <c:pt idx="41">
                  <c:v>FIR</c:v>
                </c:pt>
                <c:pt idx="42">
                  <c:v>KBC</c:v>
                </c:pt>
                <c:pt idx="43">
                  <c:v>HDC</c:v>
                </c:pt>
                <c:pt idx="44">
                  <c:v>QCG</c:v>
                </c:pt>
              </c:strCache>
            </c:strRef>
          </c:cat>
          <c:val>
            <c:numRef>
              <c:f>BĐS!$V$19:$V$64</c:f>
              <c:numCache>
                <c:formatCode>General</c:formatCode>
                <c:ptCount val="45"/>
                <c:pt idx="0">
                  <c:v>0.35831082501738665</c:v>
                </c:pt>
                <c:pt idx="1">
                  <c:v>0.4624471596502403</c:v>
                </c:pt>
                <c:pt idx="2">
                  <c:v>1.3848151105503346</c:v>
                </c:pt>
                <c:pt idx="3">
                  <c:v>0.9783926436023257</c:v>
                </c:pt>
                <c:pt idx="4">
                  <c:v>0.58909920622167944</c:v>
                </c:pt>
                <c:pt idx="5">
                  <c:v>0.79575579010335695</c:v>
                </c:pt>
                <c:pt idx="6">
                  <c:v>0.67280299505992336</c:v>
                </c:pt>
                <c:pt idx="7">
                  <c:v>0.41126872828266475</c:v>
                </c:pt>
                <c:pt idx="8">
                  <c:v>0.86471004766484527</c:v>
                </c:pt>
                <c:pt idx="9">
                  <c:v>0.44360083392973826</c:v>
                </c:pt>
                <c:pt idx="10">
                  <c:v>0.31548141644717592</c:v>
                </c:pt>
                <c:pt idx="11">
                  <c:v>0.93722343058576463</c:v>
                </c:pt>
                <c:pt idx="12">
                  <c:v>0.18013340256420499</c:v>
                </c:pt>
                <c:pt idx="13">
                  <c:v>0.42788444412780963</c:v>
                </c:pt>
                <c:pt idx="14">
                  <c:v>0.53792703929857522</c:v>
                </c:pt>
                <c:pt idx="15">
                  <c:v>0.60162568233066493</c:v>
                </c:pt>
                <c:pt idx="16">
                  <c:v>0.41501719171080759</c:v>
                </c:pt>
                <c:pt idx="17">
                  <c:v>0.14457494407158836</c:v>
                </c:pt>
                <c:pt idx="18">
                  <c:v>0.2939852061243024</c:v>
                </c:pt>
                <c:pt idx="19">
                  <c:v>0.28828774551150743</c:v>
                </c:pt>
                <c:pt idx="20">
                  <c:v>0.53794839521711768</c:v>
                </c:pt>
                <c:pt idx="21">
                  <c:v>0.39426766314816242</c:v>
                </c:pt>
                <c:pt idx="22">
                  <c:v>0.5501634331998333</c:v>
                </c:pt>
                <c:pt idx="23">
                  <c:v>0.81489856711095654</c:v>
                </c:pt>
                <c:pt idx="24">
                  <c:v>0.14203862600967049</c:v>
                </c:pt>
                <c:pt idx="25">
                  <c:v>0.42847888716523752</c:v>
                </c:pt>
                <c:pt idx="26">
                  <c:v>1.1601526673662723</c:v>
                </c:pt>
                <c:pt idx="27">
                  <c:v>0.83132530120481929</c:v>
                </c:pt>
                <c:pt idx="28">
                  <c:v>0.60386163355027922</c:v>
                </c:pt>
                <c:pt idx="29">
                  <c:v>0</c:v>
                </c:pt>
                <c:pt idx="30">
                  <c:v>9.8419325976737262E-2</c:v>
                </c:pt>
                <c:pt idx="31">
                  <c:v>0</c:v>
                </c:pt>
                <c:pt idx="32">
                  <c:v>0.78115038059496633</c:v>
                </c:pt>
                <c:pt idx="33">
                  <c:v>0.39647690267391561</c:v>
                </c:pt>
                <c:pt idx="34">
                  <c:v>0.76770815927715341</c:v>
                </c:pt>
                <c:pt idx="35">
                  <c:v>0.45719338970872714</c:v>
                </c:pt>
                <c:pt idx="36">
                  <c:v>3.0419753086419751E-2</c:v>
                </c:pt>
                <c:pt idx="37">
                  <c:v>0.54408339802595096</c:v>
                </c:pt>
                <c:pt idx="38">
                  <c:v>6.7197865416961733</c:v>
                </c:pt>
                <c:pt idx="39">
                  <c:v>1.2558423387216815</c:v>
                </c:pt>
                <c:pt idx="40">
                  <c:v>1.0907529227304218</c:v>
                </c:pt>
                <c:pt idx="41">
                  <c:v>0.64122264907299142</c:v>
                </c:pt>
                <c:pt idx="42">
                  <c:v>1.0202234194399307</c:v>
                </c:pt>
                <c:pt idx="43">
                  <c:v>2.2974668033152126</c:v>
                </c:pt>
                <c:pt idx="44">
                  <c:v>1.8750748951467944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4-43C9-924E-66DBE7B3F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50504"/>
        <c:axId val="510386600"/>
      </c:lineChart>
      <c:catAx>
        <c:axId val="55798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7984656"/>
        <c:crosses val="autoZero"/>
        <c:auto val="1"/>
        <c:lblAlgn val="ctr"/>
        <c:lblOffset val="100"/>
        <c:noMultiLvlLbl val="0"/>
      </c:catAx>
      <c:valAx>
        <c:axId val="55798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7984296"/>
        <c:crosses val="autoZero"/>
        <c:crossBetween val="between"/>
      </c:valAx>
      <c:valAx>
        <c:axId val="510386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50504"/>
        <c:crosses val="max"/>
        <c:crossBetween val="between"/>
      </c:valAx>
      <c:catAx>
        <c:axId val="483450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0386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819550538478356"/>
          <c:y val="0.92592500498841157"/>
          <c:w val="0.5970513084460497"/>
          <c:h val="5.65320562999800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[THONG_KE_VNINDEX_VN30.xlsm]KHAI KHOÁNG - TNCB!PivotTable7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Khai khoáng - TNCB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726476776775952E-2"/>
          <c:y val="0.11964830926746402"/>
          <c:w val="0.88186132537993045"/>
          <c:h val="0.745154304691505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'KHAI KHOÁNG - TNCB'!$U$18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'KHAI KHOÁNG - TNCB'!$T$19:$T$33</c:f>
              <c:strCache>
                <c:ptCount val="14"/>
                <c:pt idx="0">
                  <c:v>BMC</c:v>
                </c:pt>
                <c:pt idx="1">
                  <c:v>TNT</c:v>
                </c:pt>
                <c:pt idx="2">
                  <c:v>DHM</c:v>
                </c:pt>
                <c:pt idx="3">
                  <c:v>VPG</c:v>
                </c:pt>
                <c:pt idx="4">
                  <c:v>DLG</c:v>
                </c:pt>
                <c:pt idx="5">
                  <c:v>PTB</c:v>
                </c:pt>
                <c:pt idx="6">
                  <c:v>TTF</c:v>
                </c:pt>
                <c:pt idx="7">
                  <c:v>ACG</c:v>
                </c:pt>
                <c:pt idx="8">
                  <c:v>DHC</c:v>
                </c:pt>
                <c:pt idx="9">
                  <c:v>HHP</c:v>
                </c:pt>
                <c:pt idx="10">
                  <c:v>SAV</c:v>
                </c:pt>
                <c:pt idx="11">
                  <c:v>SVT</c:v>
                </c:pt>
                <c:pt idx="12">
                  <c:v>VID</c:v>
                </c:pt>
                <c:pt idx="13">
                  <c:v>KSB</c:v>
                </c:pt>
              </c:strCache>
            </c:strRef>
          </c:cat>
          <c:val>
            <c:numRef>
              <c:f>'KHAI KHOÁNG - TNCB'!$U$19:$U$33</c:f>
              <c:numCache>
                <c:formatCode>0.00%</c:formatCode>
                <c:ptCount val="14"/>
                <c:pt idx="0">
                  <c:v>-4.7358999999999998E-2</c:v>
                </c:pt>
                <c:pt idx="1">
                  <c:v>-2.9940000000000001E-2</c:v>
                </c:pt>
                <c:pt idx="2">
                  <c:v>-2.8313999999999999E-2</c:v>
                </c:pt>
                <c:pt idx="3">
                  <c:v>-1.9762999999999999E-2</c:v>
                </c:pt>
                <c:pt idx="4">
                  <c:v>-1.4851000000000001E-2</c:v>
                </c:pt>
                <c:pt idx="5">
                  <c:v>-1.1513000000000001E-2</c:v>
                </c:pt>
                <c:pt idx="6">
                  <c:v>-9.4339999999999997E-3</c:v>
                </c:pt>
                <c:pt idx="7">
                  <c:v>-7.7120000000000001E-3</c:v>
                </c:pt>
                <c:pt idx="8">
                  <c:v>-5.6020000000000002E-3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3.8309999999999998E-3</c:v>
                </c:pt>
                <c:pt idx="13">
                  <c:v>4.9630000000000004E-3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956-4FAE-8CD8-E6FF4CED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6"/>
        <c:axId val="629316752"/>
        <c:axId val="629317112"/>
      </c:barChart>
      <c:lineChart>
        <c:grouping val="standard"/>
        <c:varyColors val="0"/>
        <c:ser>
          <c:idx val="1"/>
          <c:order val="1"/>
          <c:tx>
            <c:strRef>
              <c:f>'KHAI KHOÁNG - TNCB'!$V$18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'KHAI KHOÁNG - TNCB'!$T$19:$T$33</c:f>
              <c:strCache>
                <c:ptCount val="14"/>
                <c:pt idx="0">
                  <c:v>BMC</c:v>
                </c:pt>
                <c:pt idx="1">
                  <c:v>TNT</c:v>
                </c:pt>
                <c:pt idx="2">
                  <c:v>DHM</c:v>
                </c:pt>
                <c:pt idx="3">
                  <c:v>VPG</c:v>
                </c:pt>
                <c:pt idx="4">
                  <c:v>DLG</c:v>
                </c:pt>
                <c:pt idx="5">
                  <c:v>PTB</c:v>
                </c:pt>
                <c:pt idx="6">
                  <c:v>TTF</c:v>
                </c:pt>
                <c:pt idx="7">
                  <c:v>ACG</c:v>
                </c:pt>
                <c:pt idx="8">
                  <c:v>DHC</c:v>
                </c:pt>
                <c:pt idx="9">
                  <c:v>HHP</c:v>
                </c:pt>
                <c:pt idx="10">
                  <c:v>SAV</c:v>
                </c:pt>
                <c:pt idx="11">
                  <c:v>SVT</c:v>
                </c:pt>
                <c:pt idx="12">
                  <c:v>VID</c:v>
                </c:pt>
                <c:pt idx="13">
                  <c:v>KSB</c:v>
                </c:pt>
              </c:strCache>
            </c:strRef>
          </c:cat>
          <c:val>
            <c:numRef>
              <c:f>'KHAI KHOÁNG - TNCB'!$V$19:$V$33</c:f>
              <c:numCache>
                <c:formatCode>General</c:formatCode>
                <c:ptCount val="14"/>
                <c:pt idx="0">
                  <c:v>0.34332682321797164</c:v>
                </c:pt>
                <c:pt idx="1">
                  <c:v>0.50307856744998269</c:v>
                </c:pt>
                <c:pt idx="2">
                  <c:v>0.32831283681083323</c:v>
                </c:pt>
                <c:pt idx="3">
                  <c:v>0.485521867405594</c:v>
                </c:pt>
                <c:pt idx="4">
                  <c:v>0.28121863722747753</c:v>
                </c:pt>
                <c:pt idx="5">
                  <c:v>0.59661827003150003</c:v>
                </c:pt>
                <c:pt idx="6">
                  <c:v>0.77042082515634902</c:v>
                </c:pt>
                <c:pt idx="7">
                  <c:v>0.42110708742886704</c:v>
                </c:pt>
                <c:pt idx="8">
                  <c:v>0.4197584776365072</c:v>
                </c:pt>
                <c:pt idx="9">
                  <c:v>0.98863074641621351</c:v>
                </c:pt>
                <c:pt idx="10">
                  <c:v>0.26566037735849057</c:v>
                </c:pt>
                <c:pt idx="11">
                  <c:v>2.1528150134048261</c:v>
                </c:pt>
                <c:pt idx="12">
                  <c:v>5.4428500742206828E-2</c:v>
                </c:pt>
                <c:pt idx="13">
                  <c:v>0.61448016701461383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56-4FAE-8CD8-E6FF4CED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79760"/>
        <c:axId val="618780840"/>
      </c:lineChart>
      <c:catAx>
        <c:axId val="62931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7112"/>
        <c:crosses val="autoZero"/>
        <c:auto val="1"/>
        <c:lblAlgn val="ctr"/>
        <c:lblOffset val="100"/>
        <c:noMultiLvlLbl val="0"/>
      </c:catAx>
      <c:valAx>
        <c:axId val="62931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6752"/>
        <c:crosses val="autoZero"/>
        <c:crossBetween val="between"/>
      </c:valAx>
      <c:valAx>
        <c:axId val="618780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18779760"/>
        <c:crosses val="max"/>
        <c:crossBetween val="between"/>
      </c:valAx>
      <c:catAx>
        <c:axId val="618779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80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928979817863516"/>
          <c:y val="0.92857035727676895"/>
          <c:w val="0.52258585421683779"/>
          <c:h val="6.0254509002701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[THONG_KE_VNINDEX_VN30.xlsm]THỰC PHẨM-THỦY SẢN!PivotTable9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Thực phẩm - Thủy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65961486685908E-2"/>
          <c:y val="0.1207040296433534"/>
          <c:w val="0.87477291859522044"/>
          <c:h val="0.71545468581133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'THỰC PHẨM-THỦY SẢN'!$U$18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'THỰC PHẨM-THỦY SẢN'!$T$19:$T$40</c:f>
              <c:strCache>
                <c:ptCount val="21"/>
                <c:pt idx="0">
                  <c:v>IDI</c:v>
                </c:pt>
                <c:pt idx="1">
                  <c:v>ASM</c:v>
                </c:pt>
                <c:pt idx="2">
                  <c:v>ANV</c:v>
                </c:pt>
                <c:pt idx="3">
                  <c:v>CMX</c:v>
                </c:pt>
                <c:pt idx="4">
                  <c:v>DBC</c:v>
                </c:pt>
                <c:pt idx="5">
                  <c:v>VHC</c:v>
                </c:pt>
                <c:pt idx="6">
                  <c:v>SBT</c:v>
                </c:pt>
                <c:pt idx="7">
                  <c:v>PAN</c:v>
                </c:pt>
                <c:pt idx="8">
                  <c:v>LSS</c:v>
                </c:pt>
                <c:pt idx="9">
                  <c:v>HAG</c:v>
                </c:pt>
                <c:pt idx="10">
                  <c:v>HSL</c:v>
                </c:pt>
                <c:pt idx="11">
                  <c:v>MSN</c:v>
                </c:pt>
                <c:pt idx="12">
                  <c:v>KDC</c:v>
                </c:pt>
                <c:pt idx="13">
                  <c:v>MCM</c:v>
                </c:pt>
                <c:pt idx="14">
                  <c:v>ABS</c:v>
                </c:pt>
                <c:pt idx="15">
                  <c:v>SAB</c:v>
                </c:pt>
                <c:pt idx="16">
                  <c:v>BAF</c:v>
                </c:pt>
                <c:pt idx="17">
                  <c:v>VNM</c:v>
                </c:pt>
                <c:pt idx="18">
                  <c:v>NAF</c:v>
                </c:pt>
                <c:pt idx="19">
                  <c:v>FMC</c:v>
                </c:pt>
                <c:pt idx="20">
                  <c:v>AGM</c:v>
                </c:pt>
              </c:strCache>
            </c:strRef>
          </c:cat>
          <c:val>
            <c:numRef>
              <c:f>'THỰC PHẨM-THỦY SẢN'!$U$19:$U$40</c:f>
              <c:numCache>
                <c:formatCode>0.00%</c:formatCode>
                <c:ptCount val="21"/>
                <c:pt idx="0">
                  <c:v>-0.02</c:v>
                </c:pt>
                <c:pt idx="1">
                  <c:v>-1.6726000000000001E-2</c:v>
                </c:pt>
                <c:pt idx="2">
                  <c:v>-1.4286E-2</c:v>
                </c:pt>
                <c:pt idx="3">
                  <c:v>-1.1976000000000001E-2</c:v>
                </c:pt>
                <c:pt idx="4">
                  <c:v>-1.1513000000000001E-2</c:v>
                </c:pt>
                <c:pt idx="5">
                  <c:v>-1.1065E-2</c:v>
                </c:pt>
                <c:pt idx="6">
                  <c:v>-1.0989000000000001E-2</c:v>
                </c:pt>
                <c:pt idx="7">
                  <c:v>-1.0810999999999999E-2</c:v>
                </c:pt>
                <c:pt idx="8">
                  <c:v>-9.2589999999999999E-3</c:v>
                </c:pt>
                <c:pt idx="9">
                  <c:v>-7.8739999999999991E-3</c:v>
                </c:pt>
                <c:pt idx="10">
                  <c:v>-7.0420000000000005E-3</c:v>
                </c:pt>
                <c:pt idx="11">
                  <c:v>-5.8819999999999992E-3</c:v>
                </c:pt>
                <c:pt idx="12">
                  <c:v>-5.1280000000000006E-3</c:v>
                </c:pt>
                <c:pt idx="13">
                  <c:v>-3.0490000000000001E-3</c:v>
                </c:pt>
                <c:pt idx="14">
                  <c:v>-2.1320000000000002E-3</c:v>
                </c:pt>
                <c:pt idx="15">
                  <c:v>0</c:v>
                </c:pt>
                <c:pt idx="16">
                  <c:v>1.5110000000000002E-3</c:v>
                </c:pt>
                <c:pt idx="17">
                  <c:v>1.5820000000000001E-3</c:v>
                </c:pt>
                <c:pt idx="18">
                  <c:v>4.9020000000000001E-3</c:v>
                </c:pt>
                <c:pt idx="19">
                  <c:v>5.2300000000000003E-3</c:v>
                </c:pt>
                <c:pt idx="20">
                  <c:v>6.8969999999999995E-3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F61-4B5C-A0BE-E12A22B9B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629313872"/>
        <c:axId val="629314232"/>
      </c:barChart>
      <c:lineChart>
        <c:grouping val="standard"/>
        <c:varyColors val="0"/>
        <c:ser>
          <c:idx val="1"/>
          <c:order val="1"/>
          <c:tx>
            <c:strRef>
              <c:f>'THỰC PHẨM-THỦY SẢN'!$V$18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'THỰC PHẨM-THỦY SẢN'!$T$19:$T$40</c:f>
              <c:strCache>
                <c:ptCount val="21"/>
                <c:pt idx="0">
                  <c:v>IDI</c:v>
                </c:pt>
                <c:pt idx="1">
                  <c:v>ASM</c:v>
                </c:pt>
                <c:pt idx="2">
                  <c:v>ANV</c:v>
                </c:pt>
                <c:pt idx="3">
                  <c:v>CMX</c:v>
                </c:pt>
                <c:pt idx="4">
                  <c:v>DBC</c:v>
                </c:pt>
                <c:pt idx="5">
                  <c:v>VHC</c:v>
                </c:pt>
                <c:pt idx="6">
                  <c:v>SBT</c:v>
                </c:pt>
                <c:pt idx="7">
                  <c:v>PAN</c:v>
                </c:pt>
                <c:pt idx="8">
                  <c:v>LSS</c:v>
                </c:pt>
                <c:pt idx="9">
                  <c:v>HAG</c:v>
                </c:pt>
                <c:pt idx="10">
                  <c:v>HSL</c:v>
                </c:pt>
                <c:pt idx="11">
                  <c:v>MSN</c:v>
                </c:pt>
                <c:pt idx="12">
                  <c:v>KDC</c:v>
                </c:pt>
                <c:pt idx="13">
                  <c:v>MCM</c:v>
                </c:pt>
                <c:pt idx="14">
                  <c:v>ABS</c:v>
                </c:pt>
                <c:pt idx="15">
                  <c:v>SAB</c:v>
                </c:pt>
                <c:pt idx="16">
                  <c:v>BAF</c:v>
                </c:pt>
                <c:pt idx="17">
                  <c:v>VNM</c:v>
                </c:pt>
                <c:pt idx="18">
                  <c:v>NAF</c:v>
                </c:pt>
                <c:pt idx="19">
                  <c:v>FMC</c:v>
                </c:pt>
                <c:pt idx="20">
                  <c:v>AGM</c:v>
                </c:pt>
              </c:strCache>
            </c:strRef>
          </c:cat>
          <c:val>
            <c:numRef>
              <c:f>'THỰC PHẨM-THỦY SẢN'!$V$19:$V$40</c:f>
              <c:numCache>
                <c:formatCode>General</c:formatCode>
                <c:ptCount val="21"/>
                <c:pt idx="0">
                  <c:v>0.98693260920506709</c:v>
                </c:pt>
                <c:pt idx="1">
                  <c:v>1.0063981835720897</c:v>
                </c:pt>
                <c:pt idx="2">
                  <c:v>0.61880938773060257</c:v>
                </c:pt>
                <c:pt idx="3">
                  <c:v>0.72212790039615171</c:v>
                </c:pt>
                <c:pt idx="4">
                  <c:v>0.72222676279912512</c:v>
                </c:pt>
                <c:pt idx="5">
                  <c:v>0.81474564095866253</c:v>
                </c:pt>
                <c:pt idx="6">
                  <c:v>0.29806512746804326</c:v>
                </c:pt>
                <c:pt idx="7">
                  <c:v>0.38774756575053082</c:v>
                </c:pt>
                <c:pt idx="8">
                  <c:v>0.30510367307518188</c:v>
                </c:pt>
                <c:pt idx="9">
                  <c:v>0.73981327085930548</c:v>
                </c:pt>
                <c:pt idx="10">
                  <c:v>0.43697729988052569</c:v>
                </c:pt>
                <c:pt idx="11">
                  <c:v>0.36134433316675779</c:v>
                </c:pt>
                <c:pt idx="12">
                  <c:v>0.52855443966290605</c:v>
                </c:pt>
                <c:pt idx="13">
                  <c:v>7.6751051077913954E-2</c:v>
                </c:pt>
                <c:pt idx="14">
                  <c:v>0.15443894981514128</c:v>
                </c:pt>
                <c:pt idx="15">
                  <c:v>0.48108340498710234</c:v>
                </c:pt>
                <c:pt idx="16">
                  <c:v>0.47086034465908716</c:v>
                </c:pt>
                <c:pt idx="17">
                  <c:v>0.64141607835557202</c:v>
                </c:pt>
                <c:pt idx="18">
                  <c:v>1.0075397933538117</c:v>
                </c:pt>
                <c:pt idx="19">
                  <c:v>0.97823612134199434</c:v>
                </c:pt>
                <c:pt idx="20">
                  <c:v>0.39346860231485414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61-4B5C-A0BE-E12A22B9B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37120"/>
        <c:axId val="358138560"/>
      </c:lineChart>
      <c:catAx>
        <c:axId val="62931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4232"/>
        <c:crosses val="autoZero"/>
        <c:auto val="1"/>
        <c:lblAlgn val="ctr"/>
        <c:lblOffset val="100"/>
        <c:noMultiLvlLbl val="0"/>
      </c:catAx>
      <c:valAx>
        <c:axId val="62931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3872"/>
        <c:crosses val="autoZero"/>
        <c:crossBetween val="between"/>
      </c:valAx>
      <c:valAx>
        <c:axId val="358138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7120"/>
        <c:crosses val="max"/>
        <c:crossBetween val="between"/>
      </c:valAx>
      <c:catAx>
        <c:axId val="35813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8138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60730485429276"/>
          <c:y val="0.91666574031187276"/>
          <c:w val="0.59525220770648524"/>
          <c:h val="7.2550872317430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[THONG_KE_VNINDEX_VN30.xlsm]VẬN TẢI!PivotTable4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Vận tải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176623986772285E-2"/>
          <c:y val="0.11826907803671514"/>
          <c:w val="0.92117960437352897"/>
          <c:h val="0.72457946688628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'VẬN TẢI'!$U$18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'VẬN TẢI'!$T$19:$T$34</c:f>
              <c:strCache>
                <c:ptCount val="15"/>
                <c:pt idx="0">
                  <c:v>MHC</c:v>
                </c:pt>
                <c:pt idx="1">
                  <c:v>VIP</c:v>
                </c:pt>
                <c:pt idx="2">
                  <c:v>VNL</c:v>
                </c:pt>
                <c:pt idx="3">
                  <c:v>VSC</c:v>
                </c:pt>
                <c:pt idx="4">
                  <c:v>TCO</c:v>
                </c:pt>
                <c:pt idx="5">
                  <c:v>HAH</c:v>
                </c:pt>
                <c:pt idx="6">
                  <c:v>GSP</c:v>
                </c:pt>
                <c:pt idx="7">
                  <c:v>PVT</c:v>
                </c:pt>
                <c:pt idx="8">
                  <c:v>VTP</c:v>
                </c:pt>
                <c:pt idx="9">
                  <c:v>NCT</c:v>
                </c:pt>
                <c:pt idx="10">
                  <c:v>PVP</c:v>
                </c:pt>
                <c:pt idx="11">
                  <c:v>TCL</c:v>
                </c:pt>
                <c:pt idx="12">
                  <c:v>VOS</c:v>
                </c:pt>
                <c:pt idx="13">
                  <c:v>GMD</c:v>
                </c:pt>
                <c:pt idx="14">
                  <c:v>VTO</c:v>
                </c:pt>
              </c:strCache>
            </c:strRef>
          </c:cat>
          <c:val>
            <c:numRef>
              <c:f>'VẬN TẢI'!$U$19:$U$34</c:f>
              <c:numCache>
                <c:formatCode>0.00%</c:formatCode>
                <c:ptCount val="15"/>
                <c:pt idx="0">
                  <c:v>-4.5401999999999998E-2</c:v>
                </c:pt>
                <c:pt idx="1">
                  <c:v>-2.2221999999999999E-2</c:v>
                </c:pt>
                <c:pt idx="2">
                  <c:v>-1.1736999999999999E-2</c:v>
                </c:pt>
                <c:pt idx="3">
                  <c:v>-1.0810999999999999E-2</c:v>
                </c:pt>
                <c:pt idx="4">
                  <c:v>-8.6210000000000002E-3</c:v>
                </c:pt>
                <c:pt idx="5">
                  <c:v>-7.6629999999999997E-3</c:v>
                </c:pt>
                <c:pt idx="6">
                  <c:v>-7.5190000000000005E-3</c:v>
                </c:pt>
                <c:pt idx="7">
                  <c:v>-7.5049999999999995E-3</c:v>
                </c:pt>
                <c:pt idx="8">
                  <c:v>-2.614E-3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6.1919999999999996E-3</c:v>
                </c:pt>
                <c:pt idx="13">
                  <c:v>6.5790000000000006E-3</c:v>
                </c:pt>
                <c:pt idx="14">
                  <c:v>9.3749999999999997E-3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C97-442D-8B04-4E048B369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358137480"/>
        <c:axId val="358138200"/>
      </c:barChart>
      <c:lineChart>
        <c:grouping val="standard"/>
        <c:varyColors val="0"/>
        <c:ser>
          <c:idx val="1"/>
          <c:order val="1"/>
          <c:tx>
            <c:strRef>
              <c:f>'VẬN TẢI'!$V$18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'VẬN TẢI'!$T$19:$T$34</c:f>
              <c:strCache>
                <c:ptCount val="15"/>
                <c:pt idx="0">
                  <c:v>MHC</c:v>
                </c:pt>
                <c:pt idx="1">
                  <c:v>VIP</c:v>
                </c:pt>
                <c:pt idx="2">
                  <c:v>VNL</c:v>
                </c:pt>
                <c:pt idx="3">
                  <c:v>VSC</c:v>
                </c:pt>
                <c:pt idx="4">
                  <c:v>TCO</c:v>
                </c:pt>
                <c:pt idx="5">
                  <c:v>HAH</c:v>
                </c:pt>
                <c:pt idx="6">
                  <c:v>GSP</c:v>
                </c:pt>
                <c:pt idx="7">
                  <c:v>PVT</c:v>
                </c:pt>
                <c:pt idx="8">
                  <c:v>VTP</c:v>
                </c:pt>
                <c:pt idx="9">
                  <c:v>NCT</c:v>
                </c:pt>
                <c:pt idx="10">
                  <c:v>PVP</c:v>
                </c:pt>
                <c:pt idx="11">
                  <c:v>TCL</c:v>
                </c:pt>
                <c:pt idx="12">
                  <c:v>VOS</c:v>
                </c:pt>
                <c:pt idx="13">
                  <c:v>GMD</c:v>
                </c:pt>
                <c:pt idx="14">
                  <c:v>VTO</c:v>
                </c:pt>
              </c:strCache>
            </c:strRef>
          </c:cat>
          <c:val>
            <c:numRef>
              <c:f>'VẬN TẢI'!$V$19:$V$34</c:f>
              <c:numCache>
                <c:formatCode>General</c:formatCode>
                <c:ptCount val="15"/>
                <c:pt idx="0">
                  <c:v>1.3356307168687513</c:v>
                </c:pt>
                <c:pt idx="1">
                  <c:v>0.25942273573066771</c:v>
                </c:pt>
                <c:pt idx="2">
                  <c:v>3.6883154748888404E-2</c:v>
                </c:pt>
                <c:pt idx="3">
                  <c:v>0.6389306547786634</c:v>
                </c:pt>
                <c:pt idx="4">
                  <c:v>0.73314958656978202</c:v>
                </c:pt>
                <c:pt idx="5">
                  <c:v>0.41250613911973272</c:v>
                </c:pt>
                <c:pt idx="6">
                  <c:v>0.2426011164430516</c:v>
                </c:pt>
                <c:pt idx="7">
                  <c:v>0.36025256409939332</c:v>
                </c:pt>
                <c:pt idx="8">
                  <c:v>0.3036802936079111</c:v>
                </c:pt>
                <c:pt idx="9">
                  <c:v>0.26993865030674846</c:v>
                </c:pt>
                <c:pt idx="10">
                  <c:v>0.30154859967051068</c:v>
                </c:pt>
                <c:pt idx="11">
                  <c:v>0.23442113002658219</c:v>
                </c:pt>
                <c:pt idx="12">
                  <c:v>0.36661902159692272</c:v>
                </c:pt>
                <c:pt idx="13">
                  <c:v>0.64811537060449564</c:v>
                </c:pt>
                <c:pt idx="14">
                  <c:v>0.54099534013043638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97-442D-8B04-4E048B369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54704"/>
        <c:axId val="478558664"/>
      </c:lineChart>
      <c:catAx>
        <c:axId val="35813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8200"/>
        <c:crosses val="autoZero"/>
        <c:auto val="1"/>
        <c:lblAlgn val="ctr"/>
        <c:lblOffset val="100"/>
        <c:noMultiLvlLbl val="0"/>
      </c:catAx>
      <c:valAx>
        <c:axId val="35813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7480"/>
        <c:crosses val="autoZero"/>
        <c:crossBetween val="between"/>
      </c:valAx>
      <c:valAx>
        <c:axId val="478558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4704"/>
        <c:crosses val="max"/>
        <c:crossBetween val="between"/>
      </c:valAx>
      <c:catAx>
        <c:axId val="478554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8558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57387860859933"/>
          <c:y val="0.92363006497386679"/>
          <c:w val="0.62575363992452593"/>
          <c:h val="7.1087310051661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[THONG_KE_VNINDEX_VN30.xlsm]VLXD-NỘI THẤT!PivotTable3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nhóm VLXD - Nội Thất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647680398712854E-2"/>
          <c:y val="0.10758885686839577"/>
          <c:w val="0.86904617388721617"/>
          <c:h val="0.701135340791334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'VLXD-NỘI THẤT'!$U$18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'VLXD-NỘI THẤT'!$T$19:$T$30</c:f>
              <c:strCache>
                <c:ptCount val="11"/>
                <c:pt idx="0">
                  <c:v>FCM</c:v>
                </c:pt>
                <c:pt idx="1">
                  <c:v>VGC</c:v>
                </c:pt>
                <c:pt idx="2">
                  <c:v>BCC</c:v>
                </c:pt>
                <c:pt idx="3">
                  <c:v>CRC</c:v>
                </c:pt>
                <c:pt idx="4">
                  <c:v>LBM</c:v>
                </c:pt>
                <c:pt idx="5">
                  <c:v>HVX</c:v>
                </c:pt>
                <c:pt idx="6">
                  <c:v>KPF</c:v>
                </c:pt>
                <c:pt idx="7">
                  <c:v>NNC</c:v>
                </c:pt>
                <c:pt idx="8">
                  <c:v>ACC</c:v>
                </c:pt>
                <c:pt idx="9">
                  <c:v>DHA</c:v>
                </c:pt>
                <c:pt idx="10">
                  <c:v>HT1</c:v>
                </c:pt>
              </c:strCache>
            </c:strRef>
          </c:cat>
          <c:val>
            <c:numRef>
              <c:f>'VLXD-NỘI THẤT'!$U$19:$U$30</c:f>
              <c:numCache>
                <c:formatCode>0.00%</c:formatCode>
                <c:ptCount val="11"/>
                <c:pt idx="0">
                  <c:v>-3.7777999999999999E-2</c:v>
                </c:pt>
                <c:pt idx="1">
                  <c:v>-2.6922999999999999E-2</c:v>
                </c:pt>
                <c:pt idx="2">
                  <c:v>-2.4691000000000001E-2</c:v>
                </c:pt>
                <c:pt idx="3">
                  <c:v>-5.7970000000000001E-3</c:v>
                </c:pt>
                <c:pt idx="4">
                  <c:v>-1.5240000000000002E-3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3.4599999999999995E-3</c:v>
                </c:pt>
                <c:pt idx="9">
                  <c:v>3.6900000000000001E-3</c:v>
                </c:pt>
                <c:pt idx="10">
                  <c:v>3.9839999999999997E-3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EB4-4A26-93A0-AD46BF038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4154392"/>
        <c:axId val="566401240"/>
      </c:barChart>
      <c:lineChart>
        <c:grouping val="standard"/>
        <c:varyColors val="0"/>
        <c:ser>
          <c:idx val="1"/>
          <c:order val="1"/>
          <c:tx>
            <c:strRef>
              <c:f>'VLXD-NỘI THẤT'!$V$18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'VLXD-NỘI THẤT'!$T$19:$T$30</c:f>
              <c:strCache>
                <c:ptCount val="11"/>
                <c:pt idx="0">
                  <c:v>FCM</c:v>
                </c:pt>
                <c:pt idx="1">
                  <c:v>VGC</c:v>
                </c:pt>
                <c:pt idx="2">
                  <c:v>BCC</c:v>
                </c:pt>
                <c:pt idx="3">
                  <c:v>CRC</c:v>
                </c:pt>
                <c:pt idx="4">
                  <c:v>LBM</c:v>
                </c:pt>
                <c:pt idx="5">
                  <c:v>HVX</c:v>
                </c:pt>
                <c:pt idx="6">
                  <c:v>KPF</c:v>
                </c:pt>
                <c:pt idx="7">
                  <c:v>NNC</c:v>
                </c:pt>
                <c:pt idx="8">
                  <c:v>ACC</c:v>
                </c:pt>
                <c:pt idx="9">
                  <c:v>DHA</c:v>
                </c:pt>
                <c:pt idx="10">
                  <c:v>HT1</c:v>
                </c:pt>
              </c:strCache>
            </c:strRef>
          </c:cat>
          <c:val>
            <c:numRef>
              <c:f>'VLXD-NỘI THẤT'!$V$19:$V$30</c:f>
              <c:numCache>
                <c:formatCode>General</c:formatCode>
                <c:ptCount val="11"/>
                <c:pt idx="0">
                  <c:v>0.26740242654582663</c:v>
                </c:pt>
                <c:pt idx="1">
                  <c:v>1.8950324715575857</c:v>
                </c:pt>
                <c:pt idx="2">
                  <c:v>0.87273688100649316</c:v>
                </c:pt>
                <c:pt idx="3">
                  <c:v>0.52338315820630454</c:v>
                </c:pt>
                <c:pt idx="4">
                  <c:v>0.17451205510907003</c:v>
                </c:pt>
                <c:pt idx="5">
                  <c:v>2.418113871180479E-2</c:v>
                </c:pt>
                <c:pt idx="6">
                  <c:v>0</c:v>
                </c:pt>
                <c:pt idx="7">
                  <c:v>0.23312776860939807</c:v>
                </c:pt>
                <c:pt idx="8">
                  <c:v>0.13603287712551371</c:v>
                </c:pt>
                <c:pt idx="9">
                  <c:v>0.81288058623180937</c:v>
                </c:pt>
                <c:pt idx="10">
                  <c:v>0.39984927010687626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B4-4A26-93A0-AD46BF038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12400"/>
        <c:axId val="566410240"/>
      </c:lineChart>
      <c:catAx>
        <c:axId val="71415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6401240"/>
        <c:crosses val="autoZero"/>
        <c:auto val="1"/>
        <c:lblAlgn val="ctr"/>
        <c:lblOffset val="100"/>
        <c:noMultiLvlLbl val="0"/>
      </c:catAx>
      <c:valAx>
        <c:axId val="56640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4154392"/>
        <c:crosses val="autoZero"/>
        <c:crossBetween val="between"/>
      </c:valAx>
      <c:valAx>
        <c:axId val="566410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6412400"/>
        <c:crosses val="max"/>
        <c:crossBetween val="between"/>
      </c:valAx>
      <c:catAx>
        <c:axId val="566412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6410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378245426793572"/>
          <c:y val="0.92405364315051397"/>
          <c:w val="0.48600724540337759"/>
          <c:h val="6.34023917039188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[THONG_KE_VNINDEX_VN30.xlsm]KCN - XÂY DỰNG - ĐTC!PivotTable1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11527167777087E-2"/>
          <c:y val="0.14334299516908214"/>
          <c:w val="0.86833839435567672"/>
          <c:h val="0.69519023165582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'KCN - XÂY DỰNG - ĐTC'!$U$18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'KCN - XÂY DỰNG - ĐTC'!$T$19:$T$49</c:f>
              <c:strCache>
                <c:ptCount val="30"/>
                <c:pt idx="0">
                  <c:v>TCD</c:v>
                </c:pt>
                <c:pt idx="1">
                  <c:v>PTC</c:v>
                </c:pt>
                <c:pt idx="2">
                  <c:v>LM8</c:v>
                </c:pt>
                <c:pt idx="3">
                  <c:v>DPG</c:v>
                </c:pt>
                <c:pt idx="4">
                  <c:v>VNE</c:v>
                </c:pt>
                <c:pt idx="5">
                  <c:v>EVG</c:v>
                </c:pt>
                <c:pt idx="6">
                  <c:v>NHA</c:v>
                </c:pt>
                <c:pt idx="7">
                  <c:v>FCN</c:v>
                </c:pt>
                <c:pt idx="8">
                  <c:v>HVH</c:v>
                </c:pt>
                <c:pt idx="9">
                  <c:v>THG</c:v>
                </c:pt>
                <c:pt idx="10">
                  <c:v>CDC</c:v>
                </c:pt>
                <c:pt idx="11">
                  <c:v>PC1</c:v>
                </c:pt>
                <c:pt idx="12">
                  <c:v>HTI</c:v>
                </c:pt>
                <c:pt idx="13">
                  <c:v>C47</c:v>
                </c:pt>
                <c:pt idx="14">
                  <c:v>CIG</c:v>
                </c:pt>
                <c:pt idx="15">
                  <c:v>DC4</c:v>
                </c:pt>
                <c:pt idx="16">
                  <c:v>CII</c:v>
                </c:pt>
                <c:pt idx="17">
                  <c:v>HUB</c:v>
                </c:pt>
                <c:pt idx="18">
                  <c:v>LGC</c:v>
                </c:pt>
                <c:pt idx="19">
                  <c:v>HAS</c:v>
                </c:pt>
                <c:pt idx="20">
                  <c:v>HU1</c:v>
                </c:pt>
                <c:pt idx="21">
                  <c:v>PHC</c:v>
                </c:pt>
                <c:pt idx="22">
                  <c:v>CTI</c:v>
                </c:pt>
                <c:pt idx="23">
                  <c:v>HID</c:v>
                </c:pt>
                <c:pt idx="24">
                  <c:v>BCE</c:v>
                </c:pt>
                <c:pt idx="25">
                  <c:v>SC5</c:v>
                </c:pt>
                <c:pt idx="26">
                  <c:v>VCG</c:v>
                </c:pt>
                <c:pt idx="27">
                  <c:v>HHV</c:v>
                </c:pt>
                <c:pt idx="28">
                  <c:v>LCG</c:v>
                </c:pt>
                <c:pt idx="29">
                  <c:v>CTD</c:v>
                </c:pt>
              </c:strCache>
            </c:strRef>
          </c:cat>
          <c:val>
            <c:numRef>
              <c:f>'KCN - XÂY DỰNG - ĐTC'!$U$19:$U$49</c:f>
              <c:numCache>
                <c:formatCode>0.0%</c:formatCode>
                <c:ptCount val="30"/>
                <c:pt idx="0">
                  <c:v>-7.0000000000000007E-2</c:v>
                </c:pt>
                <c:pt idx="1">
                  <c:v>-2.4778999999999999E-2</c:v>
                </c:pt>
                <c:pt idx="2">
                  <c:v>-2.0833000000000001E-2</c:v>
                </c:pt>
                <c:pt idx="3">
                  <c:v>-1.9408000000000002E-2</c:v>
                </c:pt>
                <c:pt idx="4">
                  <c:v>-1.7065E-2</c:v>
                </c:pt>
                <c:pt idx="5">
                  <c:v>-1.6417999999999999E-2</c:v>
                </c:pt>
                <c:pt idx="6">
                  <c:v>-1.4624999999999999E-2</c:v>
                </c:pt>
                <c:pt idx="7">
                  <c:v>-1.2862E-2</c:v>
                </c:pt>
                <c:pt idx="8">
                  <c:v>-1.0582000000000001E-2</c:v>
                </c:pt>
                <c:pt idx="9">
                  <c:v>-9.836000000000001E-3</c:v>
                </c:pt>
                <c:pt idx="10">
                  <c:v>-9.389999999999999E-3</c:v>
                </c:pt>
                <c:pt idx="11">
                  <c:v>-8.3330000000000001E-3</c:v>
                </c:pt>
                <c:pt idx="12">
                  <c:v>-8.3330000000000001E-3</c:v>
                </c:pt>
                <c:pt idx="13">
                  <c:v>-6.6669999999999993E-3</c:v>
                </c:pt>
                <c:pt idx="14">
                  <c:v>-5.0509999999999999E-3</c:v>
                </c:pt>
                <c:pt idx="15">
                  <c:v>-3.9369999999999995E-3</c:v>
                </c:pt>
                <c:pt idx="16">
                  <c:v>-3.509E-3</c:v>
                </c:pt>
                <c:pt idx="17">
                  <c:v>-2.8010000000000001E-3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2.2989999999999998E-3</c:v>
                </c:pt>
                <c:pt idx="27">
                  <c:v>3.9369999999999995E-3</c:v>
                </c:pt>
                <c:pt idx="28">
                  <c:v>4.6509999999999998E-3</c:v>
                </c:pt>
                <c:pt idx="29">
                  <c:v>1.4607000000000002E-2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C86-4EB6-A9CF-C2A06EB4C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648542856"/>
        <c:axId val="648542496"/>
      </c:barChart>
      <c:lineChart>
        <c:grouping val="standard"/>
        <c:varyColors val="0"/>
        <c:ser>
          <c:idx val="1"/>
          <c:order val="1"/>
          <c:tx>
            <c:strRef>
              <c:f>'KCN - XÂY DỰNG - ĐTC'!$V$18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'KCN - XÂY DỰNG - ĐTC'!$T$19:$T$49</c:f>
              <c:strCache>
                <c:ptCount val="30"/>
                <c:pt idx="0">
                  <c:v>TCD</c:v>
                </c:pt>
                <c:pt idx="1">
                  <c:v>PTC</c:v>
                </c:pt>
                <c:pt idx="2">
                  <c:v>LM8</c:v>
                </c:pt>
                <c:pt idx="3">
                  <c:v>DPG</c:v>
                </c:pt>
                <c:pt idx="4">
                  <c:v>VNE</c:v>
                </c:pt>
                <c:pt idx="5">
                  <c:v>EVG</c:v>
                </c:pt>
                <c:pt idx="6">
                  <c:v>NHA</c:v>
                </c:pt>
                <c:pt idx="7">
                  <c:v>FCN</c:v>
                </c:pt>
                <c:pt idx="8">
                  <c:v>HVH</c:v>
                </c:pt>
                <c:pt idx="9">
                  <c:v>THG</c:v>
                </c:pt>
                <c:pt idx="10">
                  <c:v>CDC</c:v>
                </c:pt>
                <c:pt idx="11">
                  <c:v>PC1</c:v>
                </c:pt>
                <c:pt idx="12">
                  <c:v>HTI</c:v>
                </c:pt>
                <c:pt idx="13">
                  <c:v>C47</c:v>
                </c:pt>
                <c:pt idx="14">
                  <c:v>CIG</c:v>
                </c:pt>
                <c:pt idx="15">
                  <c:v>DC4</c:v>
                </c:pt>
                <c:pt idx="16">
                  <c:v>CII</c:v>
                </c:pt>
                <c:pt idx="17">
                  <c:v>HUB</c:v>
                </c:pt>
                <c:pt idx="18">
                  <c:v>LGC</c:v>
                </c:pt>
                <c:pt idx="19">
                  <c:v>HAS</c:v>
                </c:pt>
                <c:pt idx="20">
                  <c:v>HU1</c:v>
                </c:pt>
                <c:pt idx="21">
                  <c:v>PHC</c:v>
                </c:pt>
                <c:pt idx="22">
                  <c:v>CTI</c:v>
                </c:pt>
                <c:pt idx="23">
                  <c:v>HID</c:v>
                </c:pt>
                <c:pt idx="24">
                  <c:v>BCE</c:v>
                </c:pt>
                <c:pt idx="25">
                  <c:v>SC5</c:v>
                </c:pt>
                <c:pt idx="26">
                  <c:v>VCG</c:v>
                </c:pt>
                <c:pt idx="27">
                  <c:v>HHV</c:v>
                </c:pt>
                <c:pt idx="28">
                  <c:v>LCG</c:v>
                </c:pt>
                <c:pt idx="29">
                  <c:v>CTD</c:v>
                </c:pt>
              </c:strCache>
            </c:strRef>
          </c:cat>
          <c:val>
            <c:numRef>
              <c:f>'KCN - XÂY DỰNG - ĐTC'!$V$19:$V$49</c:f>
              <c:numCache>
                <c:formatCode>0.00</c:formatCode>
                <c:ptCount val="30"/>
                <c:pt idx="0">
                  <c:v>0.62544589774078474</c:v>
                </c:pt>
                <c:pt idx="1">
                  <c:v>6.1518216958631466E-2</c:v>
                </c:pt>
                <c:pt idx="2">
                  <c:v>0.10954356846473029</c:v>
                </c:pt>
                <c:pt idx="3">
                  <c:v>0.83478851293122203</c:v>
                </c:pt>
                <c:pt idx="4">
                  <c:v>0.70950507552576625</c:v>
                </c:pt>
                <c:pt idx="5">
                  <c:v>0.60741800897461562</c:v>
                </c:pt>
                <c:pt idx="6">
                  <c:v>1.2253155491898666</c:v>
                </c:pt>
                <c:pt idx="7">
                  <c:v>0.56289978678038377</c:v>
                </c:pt>
                <c:pt idx="8">
                  <c:v>0.22111784631841686</c:v>
                </c:pt>
                <c:pt idx="9">
                  <c:v>0.29874120329071263</c:v>
                </c:pt>
                <c:pt idx="10">
                  <c:v>9.5203860139086674E-2</c:v>
                </c:pt>
                <c:pt idx="11">
                  <c:v>0.45213884945398874</c:v>
                </c:pt>
                <c:pt idx="12">
                  <c:v>5.9620596205962058E-2</c:v>
                </c:pt>
                <c:pt idx="13">
                  <c:v>0.5782745835869626</c:v>
                </c:pt>
                <c:pt idx="14">
                  <c:v>0.36173082629690573</c:v>
                </c:pt>
                <c:pt idx="15">
                  <c:v>0.55842653297338984</c:v>
                </c:pt>
                <c:pt idx="16">
                  <c:v>0.66541975998787928</c:v>
                </c:pt>
                <c:pt idx="17">
                  <c:v>0.17833605971339775</c:v>
                </c:pt>
                <c:pt idx="18">
                  <c:v>0</c:v>
                </c:pt>
                <c:pt idx="19">
                  <c:v>0</c:v>
                </c:pt>
                <c:pt idx="20">
                  <c:v>0.71159029649595695</c:v>
                </c:pt>
                <c:pt idx="21">
                  <c:v>0.81062553556126815</c:v>
                </c:pt>
                <c:pt idx="22">
                  <c:v>0.93901979909988531</c:v>
                </c:pt>
                <c:pt idx="23">
                  <c:v>0.34486893952372799</c:v>
                </c:pt>
                <c:pt idx="24">
                  <c:v>1.1587651006711408</c:v>
                </c:pt>
                <c:pt idx="25">
                  <c:v>0</c:v>
                </c:pt>
                <c:pt idx="26">
                  <c:v>0.90263076504069162</c:v>
                </c:pt>
                <c:pt idx="27">
                  <c:v>0.58026655225877533</c:v>
                </c:pt>
                <c:pt idx="28">
                  <c:v>0.65884154489573321</c:v>
                </c:pt>
                <c:pt idx="29">
                  <c:v>0.37269661244590363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86-4EB6-A9CF-C2A06EB4C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550416"/>
        <c:axId val="648558336"/>
      </c:lineChart>
      <c:catAx>
        <c:axId val="64854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42496"/>
        <c:crosses val="autoZero"/>
        <c:auto val="1"/>
        <c:lblAlgn val="ctr"/>
        <c:lblOffset val="100"/>
        <c:noMultiLvlLbl val="0"/>
      </c:catAx>
      <c:valAx>
        <c:axId val="6485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42856"/>
        <c:crosses val="autoZero"/>
        <c:crossBetween val="between"/>
      </c:valAx>
      <c:valAx>
        <c:axId val="64855833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50416"/>
        <c:crosses val="max"/>
        <c:crossBetween val="between"/>
      </c:valAx>
      <c:catAx>
        <c:axId val="64855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855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1568846197555219"/>
          <c:y val="0.91122705314009667"/>
          <c:w val="0.56608464584277385"/>
          <c:h val="7.14994103997869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498397</xdr:colOff>
      <xdr:row>0</xdr:row>
      <xdr:rowOff>66675</xdr:rowOff>
    </xdr:from>
    <xdr:to>
      <xdr:col>5</xdr:col>
      <xdr:colOff>369804</xdr:colOff>
      <xdr:row>4</xdr:row>
      <xdr:rowOff>54139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1E4DEA5-81A6-8393-C154-F0455EECA09E}"/>
            </a:ext>
          </a:extLst>
        </xdr:cNvPr>
        <xdr:cNvSpPr txBox="1"/>
      </xdr:nvSpPr>
      <xdr:spPr>
        <a:xfrm>
          <a:off x="1488997" y="66675"/>
          <a:ext cx="2757482" cy="3875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2000" b="1">
              <a:solidFill>
                <a:schemeClr val="bg1">
                  <a:lumMod val="95000"/>
                </a:schemeClr>
              </a:solidFill>
            </a:rPr>
            <a:t>Biểu</a:t>
          </a:r>
          <a:r>
            <a:rPr lang="en-US" sz="2000" b="1" baseline="0">
              <a:solidFill>
                <a:schemeClr val="bg1">
                  <a:lumMod val="95000"/>
                </a:schemeClr>
              </a:solidFill>
            </a:rPr>
            <a:t> đồ lãi suất</a:t>
          </a:r>
          <a:endParaRPr lang="en-US" sz="2000" b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451241</xdr:colOff>
      <xdr:row>16</xdr:row>
      <xdr:rowOff>14833</xdr:rowOff>
    </xdr:from>
    <xdr:to>
      <xdr:col>7</xdr:col>
      <xdr:colOff>666750</xdr:colOff>
      <xdr:row>25</xdr:row>
      <xdr:rowOff>111816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298C50-5269-39E4-C9B3-65A972FE73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122092</xdr:rowOff>
    </xdr:from>
    <xdr:to>
      <xdr:col>3</xdr:col>
      <xdr:colOff>453634</xdr:colOff>
      <xdr:row>35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7ECC46-43E8-105A-1D72-EDEE83B0DB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451240</xdr:colOff>
      <xdr:row>25</xdr:row>
      <xdr:rowOff>122092</xdr:rowOff>
    </xdr:from>
    <xdr:to>
      <xdr:col>7</xdr:col>
      <xdr:colOff>666749</xdr:colOff>
      <xdr:row>35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3FD9B1-B193-098A-EFC8-CE086B430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</xdr:row>
      <xdr:rowOff>0</xdr:rowOff>
    </xdr:from>
    <xdr:to>
      <xdr:col>7</xdr:col>
      <xdr:colOff>666749</xdr:colOff>
      <xdr:row>16</xdr:row>
      <xdr:rowOff>10667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F0587E9-B120-DABF-B9D4-2630E787A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17651</xdr:rowOff>
    </xdr:from>
    <xdr:to>
      <xdr:col>3</xdr:col>
      <xdr:colOff>453634</xdr:colOff>
      <xdr:row>25</xdr:row>
      <xdr:rowOff>114634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E3CB7E-38A7-B735-EC27-666DED8C4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9523</xdr:colOff>
      <xdr:row>3</xdr:row>
      <xdr:rowOff>0</xdr:rowOff>
    </xdr:from>
    <xdr:to>
      <xdr:col>21</xdr:col>
      <xdr:colOff>7273</xdr:colOff>
      <xdr:row>19</xdr:row>
      <xdr:rowOff>186675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CF4E204-7139-2D34-8AF2-DD509BD6C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671510</xdr:colOff>
      <xdr:row>2</xdr:row>
      <xdr:rowOff>200024</xdr:rowOff>
    </xdr:from>
    <xdr:to>
      <xdr:col>15</xdr:col>
      <xdr:colOff>1092860</xdr:colOff>
      <xdr:row>19</xdr:row>
      <xdr:rowOff>186674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3D2E4-71C9-148F-8CBD-2E89C349B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19049</xdr:rowOff>
    </xdr:from>
    <xdr:to>
      <xdr:col>12</xdr:col>
      <xdr:colOff>685800</xdr:colOff>
      <xdr:row>20</xdr:row>
      <xdr:rowOff>246524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ED784E-0A52-9BBE-1077-339570A136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47625</xdr:rowOff>
    </xdr:from>
    <xdr:to>
      <xdr:col>17</xdr:col>
      <xdr:colOff>466724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7D4B85-320D-DDD2-0360-70495BEE4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76199</xdr:rowOff>
    </xdr:from>
    <xdr:to>
      <xdr:col>17</xdr:col>
      <xdr:colOff>314324</xdr:colOff>
      <xdr:row>16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D11CA4-F0D1-2E5E-BE69-72FC6E5156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0</xdr:row>
      <xdr:rowOff>85725</xdr:rowOff>
    </xdr:from>
    <xdr:to>
      <xdr:col>17</xdr:col>
      <xdr:colOff>380999</xdr:colOff>
      <xdr:row>16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B1980F-BA06-42CA-D316-7AD097B52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66674</xdr:rowOff>
    </xdr:from>
    <xdr:to>
      <xdr:col>17</xdr:col>
      <xdr:colOff>381000</xdr:colOff>
      <xdr:row>16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E8021E-ADF9-FBC4-3AA3-D6503EF42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0</xdr:row>
      <xdr:rowOff>57150</xdr:rowOff>
    </xdr:from>
    <xdr:to>
      <xdr:col>16</xdr:col>
      <xdr:colOff>390525</xdr:colOff>
      <xdr:row>16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EBB192-11A2-B906-F754-E177F7BDF2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38099</xdr:colOff>
      <xdr:row>0</xdr:row>
      <xdr:rowOff>95250</xdr:rowOff>
    </xdr:from>
    <xdr:to>
      <xdr:col>17</xdr:col>
      <xdr:colOff>276224</xdr:colOff>
      <xdr:row>16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8A980B-4841-6C4B-45E1-4DCAD1F4E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28574</xdr:colOff>
      <xdr:row>0</xdr:row>
      <xdr:rowOff>95251</xdr:rowOff>
    </xdr:from>
    <xdr:to>
      <xdr:col>17</xdr:col>
      <xdr:colOff>304799</xdr:colOff>
      <xdr:row>16</xdr:row>
      <xdr:rowOff>114301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BE2F40-7415-385E-C59E-CCE5D38BB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47624</xdr:rowOff>
    </xdr:from>
    <xdr:to>
      <xdr:col>17</xdr:col>
      <xdr:colOff>285749</xdr:colOff>
      <xdr:row>16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0EE43-1FC0-623D-E7F7-06F80238A0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</xdr:colOff>
      <xdr:row>0</xdr:row>
      <xdr:rowOff>47625</xdr:rowOff>
    </xdr:from>
    <xdr:to>
      <xdr:col>16</xdr:col>
      <xdr:colOff>371474</xdr:colOff>
      <xdr:row>16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3F002C-AE50-15F3-8DDF-B8619FE10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57150</xdr:rowOff>
    </xdr:from>
    <xdr:to>
      <xdr:col>17</xdr:col>
      <xdr:colOff>276225</xdr:colOff>
      <xdr:row>16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C8F1A0-84C0-A1F0-0DBC-A9719552E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0</xdr:row>
      <xdr:rowOff>9525</xdr:rowOff>
    </xdr:from>
    <xdr:to>
      <xdr:col>16</xdr:col>
      <xdr:colOff>457200</xdr:colOff>
      <xdr:row>16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999FC2-4255-C58A-5A9D-281DA46B8B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0</xdr:row>
      <xdr:rowOff>76199</xdr:rowOff>
    </xdr:from>
    <xdr:to>
      <xdr:col>17</xdr:col>
      <xdr:colOff>295275</xdr:colOff>
      <xdr:row>16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B498C8-69F4-CCFC-4ACB-68B0CA5B88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57150</xdr:rowOff>
    </xdr:from>
    <xdr:to>
      <xdr:col>17</xdr:col>
      <xdr:colOff>342899</xdr:colOff>
      <xdr:row>16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F0D5B8-B42B-219E-4ADE-E014A3C83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38099</xdr:colOff>
      <xdr:row>0</xdr:row>
      <xdr:rowOff>57149</xdr:rowOff>
    </xdr:from>
    <xdr:to>
      <xdr:col>17</xdr:col>
      <xdr:colOff>295274</xdr:colOff>
      <xdr:row>16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DF9DFC-2498-EEAA-DCC3-22AEC6849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66675</xdr:rowOff>
    </xdr:from>
    <xdr:to>
      <xdr:col>17</xdr:col>
      <xdr:colOff>304799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2D3D78-2D3C-3EBC-9A0B-E0C6A964E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0</xdr:row>
      <xdr:rowOff>38099</xdr:rowOff>
    </xdr:from>
    <xdr:to>
      <xdr:col>17</xdr:col>
      <xdr:colOff>352426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927568-0FE3-8E9A-0408-EF53DDE19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0</xdr:row>
      <xdr:rowOff>47624</xdr:rowOff>
    </xdr:from>
    <xdr:to>
      <xdr:col>16</xdr:col>
      <xdr:colOff>390525</xdr:colOff>
      <xdr:row>16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CA58B0-03C1-8CE7-3B57-77799DC6E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47624</xdr:rowOff>
    </xdr:from>
    <xdr:to>
      <xdr:col>17</xdr:col>
      <xdr:colOff>419100</xdr:colOff>
      <xdr:row>16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11F178-D1A3-2FBF-2424-3D2E8B7B9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%20gia%20C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 gia CP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5798611" createdVersion="8" refreshedVersion="8" minRefreshableVersion="3" recordCount="31" xr:uid="{CBEDC6CA-70F9-41E5-A641-52D90D3768A3}">
  <cacheSource type="worksheet">
    <worksheetSource ref="E22:I53" sheet="VN30"/>
  </cacheSource>
  <cacheFields count="5">
    <cacheField name="Mã" numFmtId="0">
      <sharedItems containsBlank="1" count="32">
        <m/>
        <s v="ACB"/>
        <s v="BCM"/>
        <s v="BID"/>
        <s v="BVH"/>
        <s v="CTG"/>
        <s v="FPT"/>
        <s v="GAS"/>
        <s v="GVR"/>
        <s v="HDB"/>
        <s v="HPG"/>
        <s v="LPB"/>
        <s v="MBB"/>
        <s v="MSN"/>
        <s v="MWG"/>
        <s v="PLX"/>
        <s v="SAB"/>
        <s v="SHB"/>
        <s v="SSB"/>
        <s v="SSI"/>
        <s v="STB"/>
        <s v="TCB"/>
        <s v="TPB"/>
        <s v="VCB"/>
        <s v="VHM"/>
        <s v="VIB"/>
        <s v="VIC"/>
        <s v="VJC"/>
        <s v="VNM"/>
        <s v="VPB"/>
        <s v="VRE"/>
        <s v="POW" u="1"/>
      </sharedItems>
    </cacheField>
    <cacheField name="Giá đóng cửa" numFmtId="0">
      <sharedItems containsString="0" containsBlank="1" containsNumber="1" minValue="9.9499999999999993" maxValue="139.6"/>
    </cacheField>
    <cacheField name="KLGD/1000" numFmtId="0">
      <sharedItems containsString="0" containsBlank="1" containsNumber="1" minValue="213.7" maxValue="15677.1"/>
    </cacheField>
    <cacheField name="BĐ giá" numFmtId="0">
      <sharedItems containsString="0" containsBlank="1" containsNumber="1" minValue="-1.9498999999999999E-2" maxValue="7.5529999999999998E-3"/>
    </cacheField>
    <cacheField name="KL/KLTB21_x000a_phiên" numFmtId="0">
      <sharedItems containsString="0" containsBlank="1" containsNumber="1" minValue="0.20386581934226247" maxValue="1.29849690212943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5902778" createdVersion="8" refreshedVersion="8" minRefreshableVersion="3" recordCount="19" xr:uid="{472EA400-FAA4-4895-87A2-7686DAE2D8B0}">
  <cacheSource type="worksheet">
    <worksheetSource ref="C18:G37" sheet="NGÂN HÀNG"/>
  </cacheSource>
  <cacheFields count="5">
    <cacheField name="Mã" numFmtId="0">
      <sharedItems containsBlank="1" count="28">
        <m/>
        <s v="ACB"/>
        <s v="BID"/>
        <s v="CTG"/>
        <s v="EIB"/>
        <s v="HDB"/>
        <s v="LPB"/>
        <s v="MBB"/>
        <s v="MSB"/>
        <s v="NAB"/>
        <s v="OCB"/>
        <s v="SHB"/>
        <s v="SSB"/>
        <s v="STB"/>
        <s v="TCB"/>
        <s v="TPB"/>
        <s v="VCB"/>
        <s v="VIB"/>
        <s v="VPB"/>
        <s v="VAB" u="1"/>
        <s v="KLB" u="1"/>
        <s v="BVB" u="1"/>
        <s v="VBB" u="1"/>
        <s v="BAB" u="1"/>
        <s v="NVB" u="1"/>
        <s v="PGB" u="1"/>
        <s v="ABB" u="1"/>
        <s v="SGB" u="1"/>
      </sharedItems>
    </cacheField>
    <cacheField name="Giá đóng cửa" numFmtId="0">
      <sharedItems containsString="0" containsBlank="1" containsNumber="1" minValue="9.9499999999999993" maxValue="92.8"/>
    </cacheField>
    <cacheField name="KLGD/1000" numFmtId="0">
      <sharedItems containsString="0" containsBlank="1" containsNumber="1" minValue="833.8" maxValue="12728.1001"/>
    </cacheField>
    <cacheField name="BĐ giá" numFmtId="0">
      <sharedItems containsString="0" containsBlank="1" containsNumber="1" minValue="-1.9498999999999999E-2" maxValue="4.4640000000000001E-3"/>
    </cacheField>
    <cacheField name="KL/KLTB21_x000a_phiên" numFmtId="0">
      <sharedItems containsString="0" containsBlank="1" containsNumber="1" minValue="0.18991862150605565" maxValue="0.692274379282297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60995373" createdVersion="8" refreshedVersion="8" minRefreshableVersion="3" recordCount="18" xr:uid="{4AA14D24-1C73-4CCC-A53A-EE64453C1340}">
  <cacheSource type="worksheet">
    <worksheetSource ref="C18:G36" sheet="CHỨNG KHOÁN"/>
  </cacheSource>
  <cacheFields count="5">
    <cacheField name="Mã" numFmtId="0">
      <sharedItems containsBlank="1" count="30">
        <m/>
        <s v="AGR"/>
        <s v="APG"/>
        <s v="BVS"/>
        <s v="BSI"/>
        <s v="CTS"/>
        <s v="DSE"/>
        <s v="FTS"/>
        <s v="HCM"/>
        <s v="ORS"/>
        <s v="SSI"/>
        <s v="TCI"/>
        <s v="TVB"/>
        <s v="TVS"/>
        <s v="VCI"/>
        <s v="VDS"/>
        <s v="VIX"/>
        <s v="VND"/>
        <s v="FIT" u="1"/>
        <s v="HBS" u="1"/>
        <s v="VFS" u="1"/>
        <s v="TVC" u="1"/>
        <s v="MBS" u="1"/>
        <s v="OGC" u="1"/>
        <s v="APS" u="1"/>
        <s v="AAS" u="1"/>
        <s v="BCG" u="1"/>
        <s v="SBS" u="1"/>
        <s v="SHS" u="1"/>
        <s v="EVF" u="1"/>
      </sharedItems>
    </cacheField>
    <cacheField name="Giá đóng cửa" numFmtId="0">
      <sharedItems containsString="0" containsBlank="1" containsNumber="1" minValue="8.1199999999999992" maxValue="55"/>
    </cacheField>
    <cacheField name="KLGD/1000" numFmtId="0">
      <sharedItems containsString="0" containsBlank="1" containsNumber="1" minValue="15.9" maxValue="57881"/>
    </cacheField>
    <cacheField name="BĐ giá" numFmtId="0">
      <sharedItems containsString="0" containsBlank="1" containsNumber="1" minValue="-4.2373000000000001E-2" maxValue="0"/>
    </cacheField>
    <cacheField name="KL/KLTB21_x000a_phiên" numFmtId="0">
      <sharedItems containsString="0" containsBlank="1" containsNumber="1" minValue="0.19178683041833433" maxValue="1.656663317906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62731482" createdVersion="8" refreshedVersion="8" minRefreshableVersion="3" recordCount="13" xr:uid="{1879F459-3113-42BD-B384-87D01C8D90B6}">
  <cacheSource type="worksheet">
    <worksheetSource ref="B18:F31" sheet=" DẦU -KHÍ ĐỐT"/>
  </cacheSource>
  <cacheFields count="5">
    <cacheField name="Mã" numFmtId="0">
      <sharedItems containsBlank="1" count="20">
        <m/>
        <s v="BSR"/>
        <s v="CNG"/>
        <s v="GAS"/>
        <s v="OIL"/>
        <s v="PGC"/>
        <s v="PLX"/>
        <s v="PPT"/>
        <s v="PSH"/>
        <s v="PVB"/>
        <s v="PVC"/>
        <s v="PVD"/>
        <s v="PVS"/>
        <s v="ASP" u="1"/>
        <s v="PTV" u="1"/>
        <s v="DDG" u="1"/>
        <s v="POS" u="1"/>
        <s v="PCG" u="1"/>
        <s v="PMG" u="1"/>
        <s v="TDG" u="1"/>
      </sharedItems>
    </cacheField>
    <cacheField name="Giá đóng cửa" numFmtId="0">
      <sharedItems containsString="0" containsBlank="1" containsNumber="1" minValue="2.7" maxValue="68.7"/>
    </cacheField>
    <cacheField name="KLGD/1000" numFmtId="0">
      <sharedItems containsString="0" containsBlank="1" containsNumber="1" minValue="0" maxValue="1379.9"/>
    </cacheField>
    <cacheField name="BĐ giá" numFmtId="0">
      <sharedItems containsString="0" containsBlank="1" containsNumber="1" minValue="-1.5747999999999998E-2" maxValue="1.4580000000000001E-3"/>
    </cacheField>
    <cacheField name="KL/KLTB21_x000a_phiên" numFmtId="0">
      <sharedItems containsString="0" containsBlank="1" containsNumber="1" minValue="0" maxValue="1.29849690212943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63657406" createdVersion="8" refreshedVersion="8" minRefreshableVersion="3" recordCount="10" xr:uid="{CA1B3C0E-3A64-4252-8070-1A15CD25BA90}">
  <cacheSource type="worksheet">
    <worksheetSource ref="B18:F28" sheet="CÔNG NGHỆ"/>
  </cacheSource>
  <cacheFields count="5">
    <cacheField name="Mã" numFmtId="0">
      <sharedItems containsBlank="1" count="10">
        <m/>
        <s v="CTR"/>
        <s v="CMG"/>
        <s v="ELC"/>
        <s v="FPT"/>
        <s v="ICT"/>
        <s v="ITD"/>
        <s v="SAM"/>
        <s v="SGT"/>
        <s v="ST8"/>
      </sharedItems>
    </cacheField>
    <cacheField name="Giá đóng cửa" numFmtId="0">
      <sharedItems containsString="0" containsBlank="1" containsNumber="1" minValue="7.51" maxValue="139.6"/>
    </cacheField>
    <cacheField name="KLGD/1000" numFmtId="0">
      <sharedItems containsString="0" containsBlank="1" containsNumber="1" minValue="12.9" maxValue="1308.2"/>
    </cacheField>
    <cacheField name="BĐ giá" numFmtId="0">
      <sharedItems containsString="0" containsBlank="1" containsNumber="1" minValue="-2.7027000000000002E-2" maxValue="-6.4059999999999994E-3"/>
    </cacheField>
    <cacheField name="KL/KLTB21_x000a_phiên" numFmtId="0">
      <sharedItems containsString="0" containsBlank="1" containsNumber="1" minValue="0.15996843469928415" maxValue="0.741117767446615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66435185" createdVersion="8" refreshedVersion="8" minRefreshableVersion="3" recordCount="20" xr:uid="{85FDF940-0041-4D49-A09E-29E80CFDB192}">
  <cacheSource type="worksheet">
    <worksheetSource ref="B18:E38" sheet="BẢO HIỂM - DV TÀI CHÍNH"/>
  </cacheSource>
  <cacheFields count="4">
    <cacheField name="Mã" numFmtId="0">
      <sharedItems containsBlank="1" count="20">
        <m/>
        <s v="ABI"/>
        <s v="AIC"/>
        <s v="BCG"/>
        <s v="BHI"/>
        <s v="BIC"/>
        <s v="BLI"/>
        <s v="BMI"/>
        <s v="BVH"/>
        <s v="EVF"/>
        <s v="FIT"/>
        <s v="MIG"/>
        <s v="OGC"/>
        <s v="PGI"/>
        <s v="PRE"/>
        <s v="PTI"/>
        <s v="PVI"/>
        <s v="TIN"/>
        <s v="TVC"/>
        <s v="VNR"/>
      </sharedItems>
    </cacheField>
    <cacheField name="Giá đóng cửa" numFmtId="0">
      <sharedItems containsString="0" containsBlank="1" containsNumber="1" minValue="4.1900000000000004" maxValue="65.599999999999994"/>
    </cacheField>
    <cacheField name="KLGD/1000" numFmtId="0">
      <sharedItems containsString="0" containsBlank="1" containsNumber="1" minValue="0" maxValue="15928.7"/>
    </cacheField>
    <cacheField name="BĐ giá" numFmtId="0">
      <sharedItems containsString="0" containsBlank="1" containsNumber="1" minValue="-6.9029999999999994E-2" maxValue="5.8333000000000003E-2"/>
    </cacheField>
  </cacheFields>
  <extLst>
    <ext xmlns:x14="http://schemas.microsoft.com/office/spreadsheetml/2009/9/main" uri="{725AE2AE-9491-48be-B2B4-4EB974FC3084}">
      <x14:pivotCacheDefinition pivotCacheId="1804215619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67592593" createdVersion="8" refreshedVersion="8" minRefreshableVersion="3" recordCount="9" xr:uid="{984AF92E-13CD-45A5-9C66-82E19B5966D3}">
  <cacheSource type="worksheet">
    <worksheetSource ref="B18:F27" sheet="BÁN LẺ"/>
  </cacheSource>
  <cacheFields count="5">
    <cacheField name="Mã" numFmtId="0">
      <sharedItems containsBlank="1" count="14">
        <m/>
        <s v="AST"/>
        <s v="DGW"/>
        <s v="FRT"/>
        <s v="LIX"/>
        <s v="MWG"/>
        <s v="PET"/>
        <s v="PNJ"/>
        <s v="VRE"/>
        <s v="BTT" u="1"/>
        <s v="PIT" u="1"/>
        <s v="COM" u="1"/>
        <s v="CMV" u="1"/>
        <s v="SBV" u="1"/>
      </sharedItems>
    </cacheField>
    <cacheField name="Giá đóng cửa" numFmtId="0">
      <sharedItems containsString="0" containsBlank="1" containsNumber="1" minValue="17.7" maxValue="180.4"/>
    </cacheField>
    <cacheField name="KLGD/1000" numFmtId="0">
      <sharedItems containsString="0" containsBlank="1" containsNumber="1" minValue="14.5" maxValue="5095.3999999999996"/>
    </cacheField>
    <cacheField name="BĐ giá" numFmtId="0">
      <sharedItems containsString="0" containsBlank="1" containsNumber="1" minValue="-1.5038000000000001E-2" maxValue="0"/>
    </cacheField>
    <cacheField name="KL/KLTB21_x000a_phiên" numFmtId="0">
      <sharedItems containsString="0" containsBlank="1" containsNumber="1" minValue="0.17930787997451558" maxValue="0.894494205543999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70254626" createdVersion="8" refreshedVersion="8" minRefreshableVersion="3" recordCount="13" xr:uid="{39091279-0ED7-40DE-8DCF-D04999413B29}">
  <cacheSource type="worksheet">
    <worksheetSource ref="B18:F31" sheet="DỆT MAY"/>
  </cacheSource>
  <cacheFields count="5">
    <cacheField name="Mã" numFmtId="0">
      <sharedItems containsBlank="1" count="13">
        <m/>
        <s v="AAT"/>
        <s v="ADS"/>
        <s v="EVE"/>
        <s v="GIL"/>
        <s v="GMC"/>
        <s v="HTG"/>
        <s v="KMR"/>
        <s v="MSH"/>
        <s v="STK"/>
        <s v="SVD"/>
        <s v="TCM"/>
        <s v="TVT"/>
      </sharedItems>
    </cacheField>
    <cacheField name="Giá đóng cửa" numFmtId="0">
      <sharedItems containsString="0" containsBlank="1" containsNumber="1" minValue="3.19" maxValue="58.6"/>
    </cacheField>
    <cacheField name="KLGD/1000" numFmtId="0">
      <sharedItems containsString="0" containsBlank="1" containsNumber="1" minValue="0" maxValue="1149.0999999999999"/>
    </cacheField>
    <cacheField name="BĐ giá" numFmtId="0">
      <sharedItems containsString="0" containsBlank="1" containsNumber="1" minValue="-2.2831000000000001E-2" maxValue="2.9329999999999998E-3"/>
    </cacheField>
    <cacheField name="KL/KLTB21_x000a_phiên" numFmtId="0">
      <sharedItems containsString="0" containsBlank="1" containsNumber="1" minValue="0" maxValue="0.717481987106560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71759258" createdVersion="8" refreshedVersion="8" minRefreshableVersion="3" recordCount="13" xr:uid="{A5591B24-A165-4C06-9C13-51E325A6104E}">
  <cacheSource type="worksheet">
    <worksheetSource ref="B18:F31" sheet="THÉP"/>
  </cacheSource>
  <cacheFields count="5">
    <cacheField name="Mã" numFmtId="0">
      <sharedItems containsBlank="1" count="13">
        <m/>
        <s v="DTL"/>
        <s v="HMC"/>
        <s v="HPG"/>
        <s v="HSG"/>
        <s v="NKG"/>
        <s v="SHA"/>
        <s v="SHI"/>
        <s v="SMC"/>
        <s v="TLH"/>
        <s v="TNA"/>
        <s v="TNI"/>
        <s v="VCA"/>
      </sharedItems>
    </cacheField>
    <cacheField name="Giá đóng cửa" numFmtId="0">
      <sharedItems containsString="0" containsBlank="1" containsNumber="1" minValue="2.35" maxValue="27.85"/>
    </cacheField>
    <cacheField name="KLGD/1000" numFmtId="0">
      <sharedItems containsString="0" containsBlank="1" containsNumber="1" minValue="0" maxValue="15677.1"/>
    </cacheField>
    <cacheField name="BĐ giá" numFmtId="0">
      <sharedItems containsString="0" containsBlank="1" containsNumber="1" minValue="-4.9919000000000005E-2" maxValue="2.9801000000000001E-2"/>
    </cacheField>
    <cacheField name="KL/KLTB21_x000a_phiên" numFmtId="0">
      <sharedItems containsBlank="1" containsMixedTypes="1" containsNumber="1" minValue="0" maxValue="1.29472482444753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72916666" createdVersion="8" refreshedVersion="8" minRefreshableVersion="3" recordCount="29" xr:uid="{7E8904A3-5488-4A8C-ABBF-310D3D8D72CA}">
  <cacheSource type="worksheet">
    <worksheetSource ref="B18:F47" sheet="NĂNG LƯỢNG - TB ĐIỆN"/>
  </cacheSource>
  <cacheFields count="5">
    <cacheField name="Mã" numFmtId="0">
      <sharedItems containsBlank="1" count="29">
        <m/>
        <s v="BTP"/>
        <s v="CHP"/>
        <s v="DRL"/>
        <s v="GEE"/>
        <s v="GEG"/>
        <s v="GEX"/>
        <s v="HNA"/>
        <s v="KHP"/>
        <s v="NT2"/>
        <s v="PAC"/>
        <s v="PGV"/>
        <s v="POW"/>
        <s v="PPC"/>
        <s v="REE"/>
        <s v="S4A"/>
        <s v="SBA"/>
        <s v="SHP"/>
        <s v="SJD"/>
        <s v="SMA"/>
        <s v="TBC"/>
        <s v="TMP"/>
        <s v="TTA"/>
        <s v="TTE"/>
        <s v="TYA"/>
        <s v="UIC"/>
        <s v="VPD"/>
        <s v="VSH"/>
        <s v="VTB"/>
      </sharedItems>
    </cacheField>
    <cacheField name="Giá đóng cửa" numFmtId="0">
      <sharedItems containsString="0" containsBlank="1" containsNumber="1" minValue="10.050000000000001" maxValue="72.5"/>
    </cacheField>
    <cacheField name="KLGD/1000" numFmtId="0">
      <sharedItems containsString="0" containsBlank="1" containsNumber="1" minValue="0" maxValue="10785.4"/>
    </cacheField>
    <cacheField name="BĐ giá" numFmtId="0">
      <sharedItems containsString="0" containsBlank="1" containsNumber="1" minValue="-5.6910999999999996E-2" maxValue="2.5510000000000001E-2"/>
    </cacheField>
    <cacheField name="KL/KLTB21_x000a_phiên" numFmtId="0">
      <sharedItems containsString="0" containsBlank="1" containsNumber="1" minValue="0" maxValue="1.87812412243751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74768521" createdVersion="8" refreshedVersion="8" minRefreshableVersion="3" recordCount="9" xr:uid="{435910A1-BD9D-4D4E-BF19-FFE9BB051195}">
  <cacheSource type="worksheet">
    <worksheetSource ref="B18:F27" sheet="CÔNG NGHIỆP"/>
  </cacheSource>
  <cacheFields count="5">
    <cacheField name="Mã" numFmtId="0">
      <sharedItems containsBlank="1" count="29">
        <m/>
        <s v="APH"/>
        <s v="L10"/>
        <s v="NTC"/>
        <s v="NO1"/>
        <s v="SBG"/>
        <s v="SRF"/>
        <s v="SVI"/>
        <s v="TDP"/>
        <s v="MCP" u="1"/>
        <s v="QBS" u="1"/>
        <s v="CSV" u="1"/>
        <s v="GVR" u="1"/>
        <s v="VEA" u="1"/>
        <s v="AAA" u="1"/>
        <s v="BFC" u="1"/>
        <s v="HCD" u="1"/>
        <s v="LAS" u="1"/>
        <s v="RDP" u="1"/>
        <s v="NHH" u="1"/>
        <s v="DRI" u="1"/>
        <s v="DDV" u="1"/>
        <s v="DPM" u="1"/>
        <s v="DGC" u="1"/>
        <s v="TSC" u="1"/>
        <s v="VTZ" u="1"/>
        <s v="DPR" u="1"/>
        <s v="DCM" u="1"/>
        <s v="VHG" u="1"/>
      </sharedItems>
    </cacheField>
    <cacheField name="Giá đóng cửa" numFmtId="0">
      <sharedItems containsString="0" containsBlank="1" containsNumber="1" minValue="7.2" maxValue="235"/>
    </cacheField>
    <cacheField name="KLGD/1000" numFmtId="0">
      <sharedItems containsString="0" containsBlank="1" containsNumber="1" minValue="0" maxValue="351.7"/>
    </cacheField>
    <cacheField name="BĐ giá" numFmtId="0">
      <sharedItems containsString="0" containsBlank="1" containsNumber="1" minValue="-5.6235E-2" maxValue="5.0000000000000001E-3"/>
    </cacheField>
    <cacheField name="KL/KLTB21_x000a_phiên" numFmtId="0">
      <sharedItems containsString="0" containsBlank="1" containsNumber="1" minValue="0" maxValue="4.4000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75810184" createdVersion="8" refreshedVersion="8" minRefreshableVersion="3" recordCount="21" xr:uid="{707A8447-0A1F-4097-BD8D-4011E589B733}">
  <cacheSource type="worksheet">
    <worksheetSource ref="B18:F39" sheet="HÓA CHẤT -NHỰA"/>
  </cacheSource>
  <cacheFields count="5">
    <cacheField name="Mã" numFmtId="0">
      <sharedItems containsBlank="1" count="29">
        <m/>
        <s v="AAA"/>
        <s v="BFC"/>
        <s v="BMP"/>
        <s v="BRC"/>
        <s v="CSV"/>
        <s v="DCM"/>
        <s v="DGC"/>
        <s v="DPM"/>
        <s v="DPR"/>
        <s v="GVR"/>
        <s v="HCD"/>
        <s v="HII"/>
        <s v="NHH"/>
        <s v="PHR"/>
        <s v="PLP"/>
        <s v="RDP"/>
        <s v="TPC"/>
        <s v="TRC"/>
        <s v="TSC"/>
        <s v="VFG"/>
        <s v="TNC" u="1"/>
        <s v="HRC" u="1"/>
        <s v="VAF" u="1"/>
        <s v="VPS" u="1"/>
        <s v="SFG" u="1"/>
        <s v="DAG" u="1"/>
        <s v="SJF" u="1"/>
        <s v="DTT" u="1"/>
      </sharedItems>
    </cacheField>
    <cacheField name="Giá đóng cửa" numFmtId="0">
      <sharedItems containsString="0" containsBlank="1" containsNumber="1" minValue="1.31" maxValue="120"/>
    </cacheField>
    <cacheField name="KLGD/1000" numFmtId="0">
      <sharedItems containsString="0" containsBlank="1" containsNumber="1" minValue="0" maxValue="2016.5"/>
    </cacheField>
    <cacheField name="BĐ giá" numFmtId="0">
      <sharedItems containsString="0" containsBlank="1" containsNumber="1" minValue="-1.5842000000000002E-2" maxValue="3.4375000000000003E-2"/>
    </cacheField>
    <cacheField name="KL/KLTB21_x000a_phiên" numFmtId="0">
      <sharedItems containsBlank="1" containsMixedTypes="1" containsNumber="1" minValue="0.15383344803854096" maxValue="1.37304964539007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78356485" createdVersion="8" refreshedVersion="8" minRefreshableVersion="3" recordCount="9" xr:uid="{69324D5E-0282-43D9-98F0-E71DC909C68F}">
  <cacheSource type="worksheet">
    <worksheetSource ref="B18:F27" sheet="Y TẾ - DƯỢC"/>
  </cacheSource>
  <cacheFields count="5">
    <cacheField name="Mã" numFmtId="0">
      <sharedItems containsBlank="1" count="14">
        <m/>
        <s v="DBD"/>
        <s v="DBT"/>
        <s v="DCL"/>
        <s v="DHG"/>
        <s v="IMP"/>
        <s v="JVC"/>
        <s v="OPC"/>
        <s v="TNH"/>
        <s v="VDP" u="1"/>
        <s v="TRA" u="1"/>
        <s v="VMD" u="1"/>
        <s v="DMC" u="1"/>
        <s v="SPM" u="1"/>
      </sharedItems>
    </cacheField>
    <cacheField name="Giá đóng cửa" numFmtId="0">
      <sharedItems containsString="0" containsBlank="1" containsNumber="1" minValue="4.5199999999999996" maxValue="101.9"/>
    </cacheField>
    <cacheField name="KLGD/1000" numFmtId="0">
      <sharedItems containsString="0" containsBlank="1" containsNumber="1" minValue="0" maxValue="428.5"/>
    </cacheField>
    <cacheField name="BĐ giá" numFmtId="0">
      <sharedItems containsString="0" containsBlank="1" containsNumber="1" minValue="-1.7391E-2" maxValue="1.967E-3"/>
    </cacheField>
    <cacheField name="KL/KLTB21_x000a_phiên" numFmtId="0">
      <sharedItems containsString="0" containsBlank="1" containsNumber="1" minValue="0" maxValue="0.580362364790405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79513886" createdVersion="8" refreshedVersion="8" minRefreshableVersion="3" recordCount="46" xr:uid="{911C8C3E-D438-4A8F-A7E5-82F2C32CD57A}">
  <cacheSource type="worksheet">
    <worksheetSource ref="B18:F64" sheet="BĐS"/>
  </cacheSource>
  <cacheFields count="5">
    <cacheField name="Mã" numFmtId="0">
      <sharedItems containsBlank="1" count="56">
        <m/>
        <s v="AGG"/>
        <s v="BCM"/>
        <s v="CCL"/>
        <s v="CKG"/>
        <s v="CRE"/>
        <s v="D2D"/>
        <s v="DIG"/>
        <s v="DXG"/>
        <s v="FIR"/>
        <s v="HAR"/>
        <s v="HDC"/>
        <s v="HDG"/>
        <s v="HPX"/>
        <s v="HQC"/>
        <s v="HTN"/>
        <s v="IJC"/>
        <s v="ITA"/>
        <s v="ITC"/>
        <s v="KBC"/>
        <s v="KDH"/>
        <s v="KHG"/>
        <s v="KOS"/>
        <s v="LGL"/>
        <s v="LHG"/>
        <s v="NBB"/>
        <s v="NLG"/>
        <s v="NTL"/>
        <s v="NVL"/>
        <s v="NVT"/>
        <s v="PDR"/>
        <s v="PTL"/>
        <s v="QCG"/>
        <s v="SCR"/>
        <s v="SGR"/>
        <s v="SIP"/>
        <s v="SJS"/>
        <s v="SZC"/>
        <s v="TCH"/>
        <s v="TDH"/>
        <s v="TIP"/>
        <s v="TLD"/>
        <s v="VHM"/>
        <s v="VIC"/>
        <s v="VPH"/>
        <s v="VPI"/>
        <s v="VSI" u="1"/>
        <s v="TIX" u="1"/>
        <s v="VRC" u="1"/>
        <s v="TN1" u="1"/>
        <s v="FDC" u="1"/>
        <s v="DTA" u="1"/>
        <s v="TEG" u="1"/>
        <s v="LEC" u="1"/>
        <s v="DRH" u="1"/>
        <s v="SZL" u="1"/>
      </sharedItems>
    </cacheField>
    <cacheField name="Giá đóng cửa" numFmtId="0">
      <sharedItems containsString="0" containsBlank="1" containsNumber="1" minValue="2.2999999999999998" maxValue="103.6"/>
    </cacheField>
    <cacheField name="KLGD/1000" numFmtId="0">
      <sharedItems containsString="0" containsBlank="1" containsNumber="1" minValue="0" maxValue="9369.5"/>
    </cacheField>
    <cacheField name="BĐ giá" numFmtId="0">
      <sharedItems containsString="0" containsBlank="1" containsNumber="1" minValue="-2.8435999999999999E-2" maxValue="4.6692999999999998E-2"/>
    </cacheField>
    <cacheField name="KL/KLTB21_x000a_phiên" numFmtId="0">
      <sharedItems containsBlank="1" containsMixedTypes="1" containsNumber="1" minValue="0" maxValue="6.71978654169617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82060188" createdVersion="8" refreshedVersion="8" minRefreshableVersion="3" recordCount="15" xr:uid="{5F259773-A674-4188-B8B7-42A008F3BE6C}">
  <cacheSource type="worksheet">
    <worksheetSource ref="B18:F33" sheet="KHAI KHOÁNG - TNCB"/>
  </cacheSource>
  <cacheFields count="5">
    <cacheField name="Mã" numFmtId="0">
      <sharedItems containsBlank="1" count="31">
        <m/>
        <s v="ACG"/>
        <s v="BMC"/>
        <s v="DHC"/>
        <s v="DHM"/>
        <s v="DLG"/>
        <s v="HHP"/>
        <s v="KSB"/>
        <s v="PTB"/>
        <s v="SAV"/>
        <s v="SVT"/>
        <s v="TNT"/>
        <s v="TTF"/>
        <s v="VID"/>
        <s v="VPG"/>
        <s v="NTP" u="1"/>
        <s v="MSR" u="1"/>
        <s v="TDN" u="1"/>
        <s v="YBM" u="1"/>
        <s v="VGC" u="1"/>
        <s v="GKM" u="1"/>
        <s v="PNC" u="1"/>
        <s v="AAH" u="1"/>
        <s v="HTP" u="1"/>
        <s v="HAP" u="1"/>
        <s v="HT1" u="1"/>
        <s v="GTA" u="1"/>
        <s v="DNP" u="1"/>
        <s v="VLB" u="1"/>
        <s v="MBG" u="1"/>
        <s v="TC6" u="1"/>
      </sharedItems>
    </cacheField>
    <cacheField name="Giá đóng cửa" numFmtId="0">
      <sharedItems containsString="0" containsBlank="1" containsNumber="1" minValue="1.99" maxValue="60.1"/>
    </cacheField>
    <cacheField name="KLGD/1000" numFmtId="0">
      <sharedItems containsString="0" containsBlank="1" containsNumber="1" minValue="0.5" maxValue="1839.6"/>
    </cacheField>
    <cacheField name="BĐ giá" numFmtId="0">
      <sharedItems containsString="0" containsBlank="1" containsNumber="1" minValue="-4.7358999999999998E-2" maxValue="4.9630000000000004E-3"/>
    </cacheField>
    <cacheField name="KL/KLTB21_x000a_phiên" numFmtId="0">
      <sharedItems containsString="0" containsBlank="1" containsNumber="1" minValue="5.4428500742206828E-2" maxValue="2.15281501340482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8310185" createdVersion="8" refreshedVersion="8" minRefreshableVersion="3" recordCount="22" xr:uid="{9266F634-82E2-4276-9B57-CB3EE5429E8B}">
  <cacheSource type="worksheet">
    <worksheetSource ref="B18:F40" sheet="THỰC PHẨM-THỦY SẢN"/>
  </cacheSource>
  <cacheFields count="5">
    <cacheField name="Mã" numFmtId="0">
      <sharedItems containsBlank="1" count="33">
        <m/>
        <s v="ABS"/>
        <s v="AGM"/>
        <s v="ANV"/>
        <s v="ASM"/>
        <s v="BAF"/>
        <s v="CMX"/>
        <s v="DBC"/>
        <s v="FMC"/>
        <s v="HAG"/>
        <s v="HSL"/>
        <s v="IDI"/>
        <s v="KDC"/>
        <s v="LSS"/>
        <s v="MCM"/>
        <s v="MSN"/>
        <s v="NAF"/>
        <s v="PAN"/>
        <s v="SAB"/>
        <s v="SBT"/>
        <s v="VHC"/>
        <s v="VNM"/>
        <s v="LAF" u="1"/>
        <s v="DAT" u="1"/>
        <s v="SMB" u="1"/>
        <s v="NSC" u="1"/>
        <s v="BBC" u="1"/>
        <s v="SSC" u="1"/>
        <s v="ABT" u="1"/>
        <s v="VCF" u="1"/>
        <s v="AAM" u="1"/>
        <s v="ACL" u="1"/>
        <s v="BHN" u="1"/>
      </sharedItems>
    </cacheField>
    <cacheField name="Giá đóng cửa" numFmtId="0">
      <sharedItems containsString="0" containsBlank="1" containsNumber="1" minValue="2.92" maxValue="71.5"/>
    </cacheField>
    <cacheField name="KLGD/1000" numFmtId="0">
      <sharedItems containsString="0" containsBlank="1" containsNumber="1" minValue="3.9" maxValue="5338.2"/>
    </cacheField>
    <cacheField name="BĐ giá" numFmtId="0">
      <sharedItems containsString="0" containsBlank="1" containsNumber="1" minValue="-0.02" maxValue="6.8969999999999995E-3"/>
    </cacheField>
    <cacheField name="KL/KLTB21_x000a_phiên" numFmtId="0">
      <sharedItems containsString="0" containsBlank="1" containsNumber="1" minValue="7.6751051077913954E-2" maxValue="1.00753979335381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84837966" createdVersion="8" refreshedVersion="8" minRefreshableVersion="3" recordCount="16" xr:uid="{BA005115-46D6-4BEF-BEE7-57828E39C90B}">
  <cacheSource type="worksheet">
    <worksheetSource ref="B18:F34" sheet="VẬN TẢI"/>
  </cacheSource>
  <cacheFields count="5">
    <cacheField name="Mã" numFmtId="0">
      <sharedItems containsBlank="1" count="28">
        <m/>
        <s v="GMD"/>
        <s v="GSP"/>
        <s v="HAH"/>
        <s v="MHC"/>
        <s v="NCT"/>
        <s v="PVP"/>
        <s v="PVT"/>
        <s v="TCL"/>
        <s v="TCO"/>
        <s v="VIP"/>
        <s v="VNL"/>
        <s v="VOS"/>
        <s v="VSC"/>
        <s v="VTO"/>
        <s v="VTP"/>
        <s v="TMS" u="1"/>
        <s v="CLL" u="1"/>
        <s v="QNP" u="1"/>
        <s v="SGN" u="1"/>
        <s v="ILB" u="1"/>
        <s v="PDN" u="1"/>
        <s v="SFI" u="1"/>
        <s v="HTV" u="1"/>
        <s v="ASG" u="1"/>
        <s v="PJT" u="1"/>
        <s v="DVP" u="1"/>
        <s v="STG" u="1"/>
      </sharedItems>
    </cacheField>
    <cacheField name="Giá đóng cửa" numFmtId="0">
      <sharedItems containsString="0" containsBlank="1" containsNumber="1" minValue="8.1999999999999993" maxValue="152.6"/>
    </cacheField>
    <cacheField name="KLGD/1000" numFmtId="0">
      <sharedItems containsString="0" containsBlank="1" containsNumber="1" minValue="2.2999999999999998" maxValue="2424.1"/>
    </cacheField>
    <cacheField name="BĐ giá" numFmtId="0">
      <sharedItems containsString="0" containsBlank="1" containsNumber="1" minValue="-4.5401999999999998E-2" maxValue="9.3749999999999997E-3"/>
    </cacheField>
    <cacheField name="KL/KLTB21_x000a_phiên" numFmtId="0">
      <sharedItems containsString="0" containsBlank="1" containsNumber="1" minValue="3.6883154748888404E-2" maxValue="1.33563071686875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85995367" createdVersion="8" refreshedVersion="8" minRefreshableVersion="3" recordCount="12" xr:uid="{F6C08CBA-E7CB-43B6-8DB2-7C71041FD202}">
  <cacheSource type="worksheet">
    <worksheetSource ref="B18:F30" sheet="VLXD-NỘI THẤT"/>
  </cacheSource>
  <cacheFields count="5">
    <cacheField name="Mã" numFmtId="0">
      <sharedItems containsBlank="1" count="12">
        <m/>
        <s v="ACC"/>
        <s v="CRC"/>
        <s v="BCC"/>
        <s v="DHA"/>
        <s v="FCM"/>
        <s v="HT1"/>
        <s v="HVX"/>
        <s v="KPF"/>
        <s v="LBM"/>
        <s v="NNC"/>
        <s v="VGC"/>
      </sharedItems>
    </cacheField>
    <cacheField name="Giá đóng cửa" numFmtId="0">
      <sharedItems containsString="0" containsBlank="1" containsNumber="1" minValue="1.21" maxValue="50.6"/>
    </cacheField>
    <cacheField name="KLGD/1000" numFmtId="0">
      <sharedItems containsString="0" containsBlank="1" containsNumber="1" minValue="0" maxValue="1806.5"/>
    </cacheField>
    <cacheField name="BĐ giá" numFmtId="0">
      <sharedItems containsString="0" containsBlank="1" containsNumber="1" minValue="-3.7777999999999999E-2" maxValue="3.9839999999999997E-3"/>
    </cacheField>
    <cacheField name="KL/KLTB21_x000a_phiên" numFmtId="0">
      <sharedItems containsString="0" containsBlank="1" containsNumber="1" minValue="0" maxValue="1.89503247155758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533988541669" createdVersion="8" refreshedVersion="8" minRefreshableVersion="3" recordCount="31" xr:uid="{4DCBD9C8-AEA5-403E-AAC3-104762CEAA2C}">
  <cacheSource type="worksheet">
    <worksheetSource ref="B18:F49" sheet="KCN - XÂY DỰNG - ĐTC"/>
  </cacheSource>
  <cacheFields count="5">
    <cacheField name="Mã" numFmtId="0">
      <sharedItems containsBlank="1" count="47">
        <m/>
        <s v="BCE"/>
        <s v="C47"/>
        <s v="CDC"/>
        <s v="CIG"/>
        <s v="CII"/>
        <s v="CTD"/>
        <s v="CTI"/>
        <s v="DC4"/>
        <s v="DPG"/>
        <s v="EVG"/>
        <s v="FCN"/>
        <s v="HAS"/>
        <s v="HHV"/>
        <s v="HID"/>
        <s v="HTI"/>
        <s v="HU1"/>
        <s v="HUB"/>
        <s v="HVH"/>
        <s v="LCG"/>
        <s v="LGC"/>
        <s v="LM8"/>
        <s v="NHA"/>
        <s v="PC1"/>
        <s v="PHC"/>
        <s v="PTC"/>
        <s v="SC5"/>
        <s v="TCD"/>
        <s v="THG"/>
        <s v="VCG"/>
        <s v="VNE"/>
        <s v="C69" u="1"/>
        <s v="HUT" u="1"/>
        <s v="DGT" u="1"/>
        <s v="G36" u="1"/>
        <s v="PVX" u="1"/>
        <s v="BCR" u="1"/>
        <s v="LIG" u="1"/>
        <s v="MST" u="1"/>
        <s v="DFF" u="1"/>
        <s v="CTR" u="1"/>
        <s v="C4G" u="1"/>
        <s v="BOT" u="1"/>
        <s v="HBC" u="1"/>
        <s v="CMS" u="1"/>
        <s v="VC7" u="1"/>
        <s v="PSB" u="1"/>
      </sharedItems>
    </cacheField>
    <cacheField name="Giá đóng cửa" numFmtId="0">
      <sharedItems containsString="0" containsBlank="1" containsNumber="1" minValue="2.81" maxValue="90.3"/>
    </cacheField>
    <cacheField name="KLGD/1000" numFmtId="0">
      <sharedItems containsString="0" containsBlank="1" containsNumber="1" minValue="0" maxValue="7999.2"/>
    </cacheField>
    <cacheField name="BĐ giá" numFmtId="0">
      <sharedItems containsString="0" containsBlank="1" containsNumber="1" minValue="-7.0000000000000007E-2" maxValue="1.4607000000000002E-2"/>
    </cacheField>
    <cacheField name="KL/KLTB21_x000a_phiên" numFmtId="0">
      <sharedItems containsString="0" containsBlank="1" containsNumber="1" minValue="0" maxValue="1.22531554918986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m/>
    <m/>
    <m/>
    <m/>
  </r>
  <r>
    <x v="1"/>
    <n v="25.85"/>
    <n v="2738.1001000000001"/>
    <n v="-5.7689999999999998E-3"/>
    <n v="0.33423410466781567"/>
  </r>
  <r>
    <x v="2"/>
    <n v="75.3"/>
    <n v="213.7"/>
    <n v="-3.9680000000000002E-3"/>
    <n v="0.53794839521711768"/>
  </r>
  <r>
    <x v="3"/>
    <n v="40.549999999999997"/>
    <n v="1149.8"/>
    <n v="-9.7680000000000006E-3"/>
    <n v="0.31619776673045885"/>
  </r>
  <r>
    <x v="4"/>
    <n v="56.1"/>
    <n v="256.10000000000002"/>
    <n v="-1.406E-2"/>
    <n v="0.31132648888790654"/>
  </r>
  <r>
    <x v="5"/>
    <n v="41.05"/>
    <n v="2228.1999999999998"/>
    <n v="-4.8479999999999999E-3"/>
    <n v="0.29783865199642012"/>
  </r>
  <r>
    <x v="6"/>
    <n v="139.6"/>
    <n v="1308.2"/>
    <n v="-6.4059999999999994E-3"/>
    <n v="0.26698937236578363"/>
  </r>
  <r>
    <x v="7"/>
    <n v="68.7"/>
    <n v="959.3"/>
    <n v="1.4580000000000001E-3"/>
    <n v="1.2984969021294399"/>
  </r>
  <r>
    <x v="8"/>
    <n v="33.35"/>
    <n v="2016.5"/>
    <n v="7.5529999999999998E-3"/>
    <n v="0.6304705897400551"/>
  </r>
  <r>
    <x v="9"/>
    <n v="22.8"/>
    <n v="4639.5"/>
    <n v="-8.6960000000000006E-3"/>
    <n v="0.42296524457178236"/>
  </r>
  <r>
    <x v="10"/>
    <n v="27.85"/>
    <n v="15677.1"/>
    <n v="-7.1300000000000001E-3"/>
    <n v="0.61602626690640339"/>
  </r>
  <r>
    <x v="11"/>
    <n v="35.200000000000003"/>
    <n v="2449.6999999999998"/>
    <n v="-1.9498999999999999E-2"/>
    <n v="0.67114567014443227"/>
  </r>
  <r>
    <x v="12"/>
    <n v="22.95"/>
    <n v="7274.2004999999999"/>
    <n v="-6.4939999999999998E-3"/>
    <n v="0.53692170634408698"/>
  </r>
  <r>
    <x v="13"/>
    <n v="67.599999999999994"/>
    <n v="1686.1"/>
    <n v="-5.8819999999999992E-3"/>
    <n v="0.36134433316675779"/>
  </r>
  <r>
    <x v="14"/>
    <n v="58.8"/>
    <n v="1771.65"/>
    <n v="0"/>
    <n v="0.21988662183329397"/>
  </r>
  <r>
    <x v="15"/>
    <n v="43.85"/>
    <n v="766.9"/>
    <n v="-7.9190000000000007E-3"/>
    <n v="0.50335784715903154"/>
  </r>
  <r>
    <x v="16"/>
    <n v="51.7"/>
    <n v="335.7"/>
    <n v="0"/>
    <n v="0.48108340498710234"/>
  </r>
  <r>
    <x v="17"/>
    <n v="9.9499999999999993"/>
    <n v="12728.1001"/>
    <n v="3.0240000000000002E-3"/>
    <n v="0.69227437928229796"/>
  </r>
  <r>
    <x v="18"/>
    <n v="19.3"/>
    <n v="833.8"/>
    <n v="-7.7120000000000001E-3"/>
    <n v="0.23669289868013349"/>
  </r>
  <r>
    <x v="19"/>
    <n v="26.3"/>
    <n v="9245.5001999999986"/>
    <n v="-1.1278E-2"/>
    <n v="0.56023611408475327"/>
  </r>
  <r>
    <x v="20"/>
    <n v="38.75"/>
    <n v="1886.3"/>
    <n v="-2.5740000000000003E-3"/>
    <n v="0.20386581934226247"/>
  </r>
  <r>
    <x v="21"/>
    <n v="26.15"/>
    <n v="6790.6000999999997"/>
    <n v="1.916E-3"/>
    <n v="0.35407000054097193"/>
  </r>
  <r>
    <x v="22"/>
    <n v="16.2"/>
    <n v="8736.4002"/>
    <n v="0"/>
    <n v="0.55743428252464799"/>
  </r>
  <r>
    <x v="23"/>
    <n v="92.8"/>
    <n v="1006"/>
    <n v="-5.359E-3"/>
    <n v="0.58603752101786022"/>
  </r>
  <r>
    <x v="24"/>
    <n v="42.85"/>
    <n v="6526.1559999999999"/>
    <n v="7.0509999999999991E-3"/>
    <n v="1.0907529227304218"/>
  </r>
  <r>
    <x v="25"/>
    <n v="20.95"/>
    <n v="4790.4003000000002"/>
    <n v="-2.3809999999999999E-3"/>
    <n v="0.54028051912895292"/>
  </r>
  <r>
    <x v="26"/>
    <n v="42.15"/>
    <n v="1557.3"/>
    <n v="2.3779999999999999E-3"/>
    <n v="0.39647690267391561"/>
  </r>
  <r>
    <x v="27"/>
    <n v="96.6"/>
    <n v="340.8"/>
    <n v="-3.0959999999999998E-3"/>
    <n v="0.51227811257327927"/>
  </r>
  <r>
    <x v="28"/>
    <n v="63.3"/>
    <n v="2850.8"/>
    <n v="1.5820000000000001E-3"/>
    <n v="0.64141607835557202"/>
  </r>
  <r>
    <x v="29"/>
    <n v="19"/>
    <n v="5884.4000999999998"/>
    <n v="-1.0417000000000001E-2"/>
    <n v="0.35727883405183802"/>
  </r>
  <r>
    <x v="30"/>
    <n v="17.7"/>
    <n v="5095.3999999999996"/>
    <n v="0"/>
    <n v="0.6801022166351992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m/>
    <m/>
    <m/>
    <m/>
  </r>
  <r>
    <x v="1"/>
    <n v="25.85"/>
    <n v="2738.1001000000001"/>
    <n v="-5.7689999999999998E-3"/>
    <n v="0.33423410466781567"/>
  </r>
  <r>
    <x v="2"/>
    <n v="40.549999999999997"/>
    <n v="1149.8"/>
    <n v="-9.7680000000000006E-3"/>
    <n v="0.31619776673045885"/>
  </r>
  <r>
    <x v="3"/>
    <n v="41.05"/>
    <n v="2228.1999999999998"/>
    <n v="-4.8479999999999999E-3"/>
    <n v="0.29783865199642012"/>
  </r>
  <r>
    <x v="4"/>
    <n v="21.65"/>
    <n v="4986.9895999999999"/>
    <n v="0"/>
    <n v="0.41543791850490552"/>
  </r>
  <r>
    <x v="5"/>
    <n v="22.8"/>
    <n v="4639.5"/>
    <n v="-8.6960000000000006E-3"/>
    <n v="0.42296524457178236"/>
  </r>
  <r>
    <x v="6"/>
    <n v="35.200000000000003"/>
    <n v="2449.6999999999998"/>
    <n v="-1.9498999999999999E-2"/>
    <n v="0.67114567014443227"/>
  </r>
  <r>
    <x v="7"/>
    <n v="22.95"/>
    <n v="7274.2004999999999"/>
    <n v="-6.4939999999999998E-3"/>
    <n v="0.53692170634408698"/>
  </r>
  <r>
    <x v="8"/>
    <n v="11.3"/>
    <n v="3700.4"/>
    <n v="-4.4050000000000001E-3"/>
    <n v="0.33859185196747332"/>
  </r>
  <r>
    <x v="9"/>
    <n v="16.899999999999999"/>
    <n v="1781.3"/>
    <n v="0"/>
    <n v="0.49174086752261159"/>
  </r>
  <r>
    <x v="10"/>
    <n v="11.25"/>
    <n v="1121.2"/>
    <n v="4.4640000000000001E-3"/>
    <n v="0.18991862150605565"/>
  </r>
  <r>
    <x v="11"/>
    <n v="9.9499999999999993"/>
    <n v="12728.1001"/>
    <n v="3.0240000000000002E-3"/>
    <n v="0.69227437928229796"/>
  </r>
  <r>
    <x v="12"/>
    <n v="19.3"/>
    <n v="833.8"/>
    <n v="-7.7120000000000001E-3"/>
    <n v="0.23669289868013349"/>
  </r>
  <r>
    <x v="13"/>
    <n v="38.75"/>
    <n v="1886.3"/>
    <n v="-2.5740000000000003E-3"/>
    <n v="0.20386581934226247"/>
  </r>
  <r>
    <x v="14"/>
    <n v="26.15"/>
    <n v="6790.6000999999997"/>
    <n v="1.916E-3"/>
    <n v="0.35407000054097193"/>
  </r>
  <r>
    <x v="15"/>
    <n v="16.2"/>
    <n v="8736.4002"/>
    <n v="0"/>
    <n v="0.55743428252464799"/>
  </r>
  <r>
    <x v="16"/>
    <n v="92.8"/>
    <n v="1006"/>
    <n v="-5.359E-3"/>
    <n v="0.58603752101786022"/>
  </r>
  <r>
    <x v="17"/>
    <n v="20.95"/>
    <n v="4790.4003000000002"/>
    <n v="-2.3809999999999999E-3"/>
    <n v="0.54028051912895292"/>
  </r>
  <r>
    <x v="18"/>
    <n v="19"/>
    <n v="5884.4000999999998"/>
    <n v="-1.0417000000000001E-2"/>
    <n v="0.3572788340518380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m/>
    <m/>
    <m/>
    <m/>
  </r>
  <r>
    <x v="1"/>
    <n v="18"/>
    <n v="797.6"/>
    <n v="-1.3698999999999999E-2"/>
    <n v="0.98794013985384033"/>
  </r>
  <r>
    <x v="2"/>
    <n v="8.99"/>
    <n v="127.2"/>
    <n v="-1.2088000000000002E-2"/>
    <n v="0.25542401810896415"/>
  </r>
  <r>
    <x v="3"/>
    <n v="39.1"/>
    <n v="706.8"/>
    <n v="-1.7587999999999999E-2"/>
    <n v="1.1022877773840316"/>
  </r>
  <r>
    <x v="4"/>
    <n v="55"/>
    <n v="777.8"/>
    <n v="-7.2199999999999999E-3"/>
    <n v="1.2876417515106366"/>
  </r>
  <r>
    <x v="5"/>
    <n v="38.799999999999997"/>
    <n v="951.2"/>
    <n v="-7.6730000000000001E-3"/>
    <n v="0.87645070634897371"/>
  </r>
  <r>
    <x v="6"/>
    <n v="26.55"/>
    <n v="507.9"/>
    <n v="-3.9782999999999999E-2"/>
    <n v="0.45967204482438023"/>
  </r>
  <r>
    <x v="7"/>
    <n v="49.6"/>
    <n v="2073.1"/>
    <n v="0"/>
    <n v="0.84678696553862487"/>
  </r>
  <r>
    <x v="8"/>
    <n v="31.2"/>
    <n v="5387.9"/>
    <n v="-9.5239999999999995E-3"/>
    <n v="0.55079252009354762"/>
  </r>
  <r>
    <x v="9"/>
    <n v="14.25"/>
    <n v="12326.6"/>
    <n v="-2.3973000000000001E-2"/>
    <n v="1.1600597685828233"/>
  </r>
  <r>
    <x v="10"/>
    <n v="26.3"/>
    <n v="9245.5001999999986"/>
    <n v="-1.1278E-2"/>
    <n v="0.56023611408475327"/>
  </r>
  <r>
    <x v="11"/>
    <n v="9.77"/>
    <n v="77.2"/>
    <n v="-9.127999999999999E-3"/>
    <n v="0.22409880192114845"/>
  </r>
  <r>
    <x v="12"/>
    <n v="8.1199999999999992"/>
    <n v="15.9"/>
    <n v="-4.9020000000000001E-3"/>
    <n v="0.19178683041833433"/>
  </r>
  <r>
    <x v="13"/>
    <n v="19.8"/>
    <n v="63"/>
    <n v="-1.4924999999999999E-2"/>
    <n v="0.19281868644008848"/>
  </r>
  <r>
    <x v="14"/>
    <n v="37.1"/>
    <n v="3298.8"/>
    <n v="-5.3620000000000004E-3"/>
    <n v="0.37816653822043877"/>
  </r>
  <r>
    <x v="15"/>
    <n v="20.399999999999999"/>
    <n v="1138.3"/>
    <n v="-9.7090000000000006E-3"/>
    <n v="0.81641927775260248"/>
  </r>
  <r>
    <x v="16"/>
    <n v="11.3"/>
    <n v="57881"/>
    <n v="-4.2373000000000001E-2"/>
    <n v="1.6566633179061374"/>
  </r>
  <r>
    <x v="17"/>
    <n v="13.5"/>
    <n v="6476.8"/>
    <n v="-1.4598999999999999E-2"/>
    <n v="0.4569343973894153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20.45"/>
    <n v="1111.4000000000001"/>
    <n v="-7.2819999999999994E-3"/>
    <n v="0.45279930073038122"/>
  </r>
  <r>
    <x v="2"/>
    <n v="31"/>
    <n v="84.4"/>
    <n v="0"/>
    <n v="0.46150022369140531"/>
  </r>
  <r>
    <x v="3"/>
    <n v="68.7"/>
    <n v="959.3"/>
    <n v="1.4580000000000001E-3"/>
    <n v="1.2984969021294399"/>
  </r>
  <r>
    <x v="4"/>
    <n v="13.3"/>
    <n v="376.5"/>
    <n v="-7.463E-3"/>
    <n v="0.29591309822192774"/>
  </r>
  <r>
    <x v="5"/>
    <n v="15.65"/>
    <n v="18.8"/>
    <n v="0"/>
    <n v="0.44694186297817162"/>
  </r>
  <r>
    <x v="6"/>
    <n v="43.85"/>
    <n v="766.9"/>
    <n v="-7.9190000000000007E-3"/>
    <n v="0.50335784715903154"/>
  </r>
  <r>
    <x v="7"/>
    <n v="12.5"/>
    <n v="107"/>
    <n v="-1.5747999999999998E-2"/>
    <n v="0.57314836434802918"/>
  </r>
  <r>
    <x v="8"/>
    <n v="2.7"/>
    <n v="0"/>
    <n v="0"/>
    <n v="0"/>
  </r>
  <r>
    <x v="9"/>
    <n v="34.299999999999997"/>
    <n v="141.30000000000001"/>
    <n v="-1.1527000000000001E-2"/>
    <n v="0.42235535049339323"/>
  </r>
  <r>
    <x v="10"/>
    <n v="11.3"/>
    <n v="205.6"/>
    <n v="-8.7720000000000003E-3"/>
    <n v="0.21181696264628094"/>
  </r>
  <r>
    <x v="11"/>
    <n v="24.4"/>
    <n v="1379.9"/>
    <n v="-8.1300000000000001E-3"/>
    <n v="0.33996134283263418"/>
  </r>
  <r>
    <x v="12"/>
    <n v="35.1"/>
    <n v="1105"/>
    <n v="-5.666E-3"/>
    <n v="0.462781101207713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m/>
    <m/>
  </r>
  <r>
    <x v="1"/>
    <n v="119.5"/>
    <n v="147"/>
    <n v="-7.4750000000000007E-3"/>
    <n v="0.20581291008254154"/>
  </r>
  <r>
    <x v="2"/>
    <n v="43.9"/>
    <n v="696"/>
    <n v="-1.0147E-2"/>
    <n v="0.74111776744661506"/>
  </r>
  <r>
    <x v="3"/>
    <n v="25.9"/>
    <n v="170.9"/>
    <n v="-1.145E-2"/>
    <n v="0.19527776623592472"/>
  </r>
  <r>
    <x v="4"/>
    <n v="139.6"/>
    <n v="1308.2"/>
    <n v="-6.4059999999999994E-3"/>
    <n v="0.26698937236578363"/>
  </r>
  <r>
    <x v="5"/>
    <n v="13.65"/>
    <n v="20.8"/>
    <n v="-7.2729999999999991E-3"/>
    <n v="0.35588738528542541"/>
  </r>
  <r>
    <x v="6"/>
    <n v="14.4"/>
    <n v="18.399999999999999"/>
    <n v="-2.7027000000000002E-2"/>
    <n v="0.24116770926422401"/>
  </r>
  <r>
    <x v="7"/>
    <n v="7.51"/>
    <n v="589.9"/>
    <n v="-1.5727000000000001E-2"/>
    <n v="0.41694001535678832"/>
  </r>
  <r>
    <x v="8"/>
    <n v="20"/>
    <n v="12.9"/>
    <n v="-1.2345999999999999E-2"/>
    <n v="0.15996843469928415"/>
  </r>
  <r>
    <x v="9"/>
    <n v="8.15"/>
    <n v="346.6"/>
    <n v="-1.2121E-2"/>
    <n v="0.4988551166472581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m/>
    <m/>
    <m/>
  </r>
  <r>
    <x v="1"/>
    <n v="29.1"/>
    <n v="3.2"/>
    <n v="-1.0204E-2"/>
  </r>
  <r>
    <x v="2"/>
    <n v="12.7"/>
    <n v="1.1000000000000001"/>
    <n v="5.8333000000000003E-2"/>
  </r>
  <r>
    <x v="3"/>
    <n v="4.99"/>
    <n v="2424.6017000000002"/>
    <n v="-6.9029999999999994E-2"/>
  </r>
  <r>
    <x v="4"/>
    <n v="12"/>
    <n v="0.9"/>
    <n v="0"/>
  </r>
  <r>
    <x v="5"/>
    <n v="36.5"/>
    <n v="13.8"/>
    <n v="-9.4979999999999995E-3"/>
  </r>
  <r>
    <x v="6"/>
    <n v="10.4"/>
    <n v="0"/>
    <n v="0"/>
  </r>
  <r>
    <x v="7"/>
    <n v="21.3"/>
    <n v="69.900000000000006"/>
    <n v="-9.3019999999999995E-3"/>
  </r>
  <r>
    <x v="8"/>
    <n v="56.1"/>
    <n v="256.10000000000002"/>
    <n v="-1.406E-2"/>
  </r>
  <r>
    <x v="9"/>
    <n v="10.55"/>
    <n v="15928.7"/>
    <n v="-5.3811999999999999E-2"/>
  </r>
  <r>
    <x v="10"/>
    <n v="4.1900000000000004"/>
    <n v="441.4"/>
    <n v="-7.1089999999999999E-3"/>
  </r>
  <r>
    <x v="11"/>
    <n v="17.899999999999999"/>
    <n v="128.9"/>
    <n v="-1.3774E-2"/>
  </r>
  <r>
    <x v="12"/>
    <n v="5.29"/>
    <n v="230.6"/>
    <n v="-1.6729000000000001E-2"/>
  </r>
  <r>
    <x v="13"/>
    <n v="23.4"/>
    <n v="0"/>
    <n v="0"/>
  </r>
  <r>
    <x v="14"/>
    <n v="20.9"/>
    <n v="1"/>
    <n v="0"/>
  </r>
  <r>
    <x v="15"/>
    <n v="24.2"/>
    <n v="4.2"/>
    <n v="2.9786999999999998E-2"/>
  </r>
  <r>
    <x v="16"/>
    <n v="65.599999999999994"/>
    <n v="6.7"/>
    <n v="-6.0609999999999995E-3"/>
  </r>
  <r>
    <x v="17"/>
    <n v="15.1"/>
    <n v="2"/>
    <n v="6.6669999999999993E-3"/>
  </r>
  <r>
    <x v="18"/>
    <n v="9.4"/>
    <n v="174.4"/>
    <n v="-2.0833000000000001E-2"/>
  </r>
  <r>
    <x v="19"/>
    <n v="24.9"/>
    <n v="4.5999999999999996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56.9"/>
    <n v="14.5"/>
    <n v="0"/>
    <n v="0.62086414947450363"/>
  </r>
  <r>
    <x v="2"/>
    <n v="39.299999999999997"/>
    <n v="629"/>
    <n v="-1.5038000000000001E-2"/>
    <n v="0.56410486366174906"/>
  </r>
  <r>
    <x v="3"/>
    <n v="180.4"/>
    <n v="104.9"/>
    <n v="-6.0609999999999995E-3"/>
    <n v="0.17930787997451558"/>
  </r>
  <r>
    <x v="4"/>
    <n v="32.700000000000003"/>
    <n v="26.7"/>
    <n v="0"/>
    <n v="0.53192067372996465"/>
  </r>
  <r>
    <x v="5"/>
    <n v="58.8"/>
    <n v="1771.65"/>
    <n v="0"/>
    <n v="0.21988662183329397"/>
  </r>
  <r>
    <x v="6"/>
    <n v="24.15"/>
    <n v="478.9"/>
    <n v="-1.4286E-2"/>
    <n v="0.89449420554399961"/>
  </r>
  <r>
    <x v="7"/>
    <n v="94.1"/>
    <n v="114.6"/>
    <n v="0"/>
    <n v="0.23501775776727535"/>
  </r>
  <r>
    <x v="8"/>
    <n v="17.7"/>
    <n v="5095.3999999999996"/>
    <n v="0"/>
    <n v="0.6801022166351992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3.34"/>
    <n v="0"/>
    <n v="0"/>
    <n v="0"/>
  </r>
  <r>
    <x v="2"/>
    <n v="9.34"/>
    <n v="110.1"/>
    <n v="-6.3829999999999998E-3"/>
    <n v="0.32105081780346206"/>
  </r>
  <r>
    <x v="3"/>
    <n v="10.7"/>
    <n v="24.5"/>
    <n v="-2.2831000000000001E-2"/>
    <n v="0.71033210332103325"/>
  </r>
  <r>
    <x v="4"/>
    <n v="17.350000000000001"/>
    <n v="308.89999999999998"/>
    <n v="-8.5710000000000005E-3"/>
    <n v="0.5361112645056445"/>
  </r>
  <r>
    <x v="5"/>
    <n v="5.4"/>
    <n v="0"/>
    <n v="0"/>
    <n v="0"/>
  </r>
  <r>
    <x v="6"/>
    <n v="49.7"/>
    <n v="2.8"/>
    <n v="-9.9600000000000001E-3"/>
    <n v="6.0068259385665533E-2"/>
  </r>
  <r>
    <x v="7"/>
    <n v="3.38"/>
    <n v="25.8"/>
    <n v="-2.9499999999999999E-3"/>
    <n v="0.71748198710656041"/>
  </r>
  <r>
    <x v="8"/>
    <n v="58.6"/>
    <n v="208.6"/>
    <n v="-1.5125999999999999E-2"/>
    <n v="0.5061264102875167"/>
  </r>
  <r>
    <x v="9"/>
    <n v="26.8"/>
    <n v="16.600000000000001"/>
    <n v="-1.4705999999999999E-2"/>
    <n v="0.19569178008787913"/>
  </r>
  <r>
    <x v="10"/>
    <n v="3.19"/>
    <n v="1.4"/>
    <n v="-2.1472000000000002E-2"/>
    <n v="5.3094294087226337E-2"/>
  </r>
  <r>
    <x v="11"/>
    <n v="40.75"/>
    <n v="1149.0999999999999"/>
    <n v="1.2290000000000001E-3"/>
    <n v="0.68327819581387306"/>
  </r>
  <r>
    <x v="12"/>
    <n v="17.100000000000001"/>
    <n v="5.5"/>
    <n v="2.9329999999999998E-3"/>
    <n v="0.49855789039967036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9.8000000000000007"/>
    <n v="0"/>
    <n v="0"/>
    <n v="0"/>
  </r>
  <r>
    <x v="2"/>
    <n v="12.35"/>
    <n v="1.2"/>
    <n v="0"/>
    <n v="7.2229822161422708E-2"/>
  </r>
  <r>
    <x v="3"/>
    <n v="27.85"/>
    <n v="15677.1"/>
    <n v="-7.1300000000000001E-3"/>
    <n v="0.61602626690640339"/>
  </r>
  <r>
    <x v="4"/>
    <n v="18.7"/>
    <n v="5107.2"/>
    <n v="-1.0582000000000001E-2"/>
    <n v="0.72169509553796463"/>
  </r>
  <r>
    <x v="5"/>
    <n v="15.75"/>
    <n v="7285.3"/>
    <n v="-1.2539E-2"/>
    <n v="0.91748420357270022"/>
  </r>
  <r>
    <x v="6"/>
    <n v="4.2300000000000004"/>
    <n v="0.6"/>
    <n v="1.6827000000000002E-2"/>
    <n v="4.1548630783758263E-2"/>
  </r>
  <r>
    <x v="7"/>
    <n v="15.15"/>
    <n v="431.1"/>
    <n v="3.3110000000000001E-3"/>
    <n v="0.60635624916087538"/>
  </r>
  <r>
    <x v="8"/>
    <n v="5.9"/>
    <n v="1410"/>
    <n v="-4.9919000000000005E-2"/>
    <n v="1.1618369158510962"/>
  </r>
  <r>
    <x v="9"/>
    <n v="6.22"/>
    <n v="1128.9000000000001"/>
    <n v="2.9801000000000001E-2"/>
    <n v="1.2947248244475376"/>
  </r>
  <r>
    <x v="10"/>
    <n v="3.7"/>
    <n v="0"/>
    <n v="0"/>
    <s v=""/>
  </r>
  <r>
    <x v="11"/>
    <n v="2.35"/>
    <n v="81.900000000000006"/>
    <n v="-1.2605E-2"/>
    <n v="0.72355634085615617"/>
  </r>
  <r>
    <x v="12"/>
    <n v="12.4"/>
    <n v="17.7"/>
    <n v="-1.9762999999999999E-2"/>
    <n v="0.67981843575418999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m/>
    <m/>
    <m/>
    <m/>
  </r>
  <r>
    <x v="1"/>
    <n v="12.2"/>
    <n v="4.9000000000000004"/>
    <n v="-8.1300000000000001E-3"/>
    <n v="0.29919511518179293"/>
  </r>
  <r>
    <x v="2"/>
    <n v="35"/>
    <n v="1.3"/>
    <n v="1.431E-3"/>
    <n v="5.7291666666666664E-2"/>
  </r>
  <r>
    <x v="3"/>
    <n v="58.3"/>
    <n v="1.3"/>
    <n v="0"/>
    <n v="0.28260869565217389"/>
  </r>
  <r>
    <x v="4"/>
    <n v="58"/>
    <n v="671.5"/>
    <n v="-5.6910999999999996E-2"/>
    <n v="0.24541742392275823"/>
  </r>
  <r>
    <x v="5"/>
    <n v="12.8"/>
    <n v="705.6"/>
    <n v="-1.1583000000000001E-2"/>
    <n v="0.75968248686000639"/>
  </r>
  <r>
    <x v="6"/>
    <n v="22.7"/>
    <n v="10785.4"/>
    <n v="-2.3656E-2"/>
    <n v="1.0649010379337009"/>
  </r>
  <r>
    <x v="7"/>
    <n v="25"/>
    <n v="0"/>
    <n v="0"/>
    <n v="0"/>
  </r>
  <r>
    <x v="8"/>
    <n v="11.1"/>
    <n v="21.8"/>
    <n v="-4.4840000000000001E-3"/>
    <n v="6.6766900545717794E-2"/>
  </r>
  <r>
    <x v="9"/>
    <n v="20.6"/>
    <n v="242.4"/>
    <n v="-7.2290000000000002E-3"/>
    <n v="0.4779950881092806"/>
  </r>
  <r>
    <x v="10"/>
    <n v="39"/>
    <n v="140.1"/>
    <n v="-1.8867999999999999E-2"/>
    <n v="0.27704670477834104"/>
  </r>
  <r>
    <x v="11"/>
    <n v="20"/>
    <n v="1.8"/>
    <n v="0"/>
    <n v="0.1014344262295082"/>
  </r>
  <r>
    <x v="12"/>
    <n v="12.2"/>
    <n v="1902.1"/>
    <n v="-8.1300000000000001E-3"/>
    <n v="0.34847962479035194"/>
  </r>
  <r>
    <x v="13"/>
    <n v="11.55"/>
    <n v="178.4"/>
    <n v="-8.5840000000000014E-3"/>
    <n v="0.44267990074441688"/>
  </r>
  <r>
    <x v="14"/>
    <n v="72.5"/>
    <n v="427.5"/>
    <n v="-1.377E-3"/>
    <n v="0.51085811126440783"/>
  </r>
  <r>
    <x v="15"/>
    <n v="37.200000000000003"/>
    <n v="0"/>
    <n v="0"/>
    <n v="0"/>
  </r>
  <r>
    <x v="16"/>
    <n v="29.9"/>
    <n v="20.7"/>
    <n v="-1.6689999999999999E-3"/>
    <n v="0.98828125000000011"/>
  </r>
  <r>
    <x v="17"/>
    <n v="37"/>
    <n v="15.5"/>
    <n v="-5.3759999999999997E-3"/>
    <n v="1.6505324298160697"/>
  </r>
  <r>
    <x v="18"/>
    <n v="14.75"/>
    <n v="30.4"/>
    <n v="-6.7340000000000004E-3"/>
    <n v="0.22542047254710304"/>
  </r>
  <r>
    <x v="19"/>
    <n v="11.8"/>
    <n v="0"/>
    <n v="0"/>
    <n v="0"/>
  </r>
  <r>
    <x v="20"/>
    <n v="40"/>
    <n v="0.1"/>
    <n v="0"/>
    <n v="6.0773480662983423E-2"/>
  </r>
  <r>
    <x v="21"/>
    <n v="66.900000000000006"/>
    <n v="3.1"/>
    <n v="0"/>
    <n v="1.1758620689655173"/>
  </r>
  <r>
    <x v="22"/>
    <n v="12.65"/>
    <n v="266.8"/>
    <n v="0"/>
    <n v="0.35995020451716164"/>
  </r>
  <r>
    <x v="23"/>
    <n v="43.2"/>
    <n v="0"/>
    <n v="0"/>
    <n v="0"/>
  </r>
  <r>
    <x v="24"/>
    <n v="17.2"/>
    <n v="2.5"/>
    <n v="-5.7799999999999995E-3"/>
    <n v="0.12449071978270712"/>
  </r>
  <r>
    <x v="25"/>
    <n v="48.9"/>
    <n v="6.7"/>
    <n v="-7.1069999999999996E-3"/>
    <n v="1.077485380116959"/>
  </r>
  <r>
    <x v="26"/>
    <n v="26.3"/>
    <n v="30.4"/>
    <n v="-3.7880000000000001E-3"/>
    <n v="1.8781241224375176"/>
  </r>
  <r>
    <x v="27"/>
    <n v="53"/>
    <n v="0.7"/>
    <n v="0"/>
    <n v="7.8291814946619229E-2"/>
  </r>
  <r>
    <x v="28"/>
    <n v="10.050000000000001"/>
    <n v="0.8"/>
    <n v="2.5510000000000001E-2"/>
    <n v="0.3760683760683760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7.2"/>
    <n v="351.7"/>
    <n v="-9.6290000000000004E-3"/>
    <n v="0.65703149546122297"/>
  </r>
  <r>
    <x v="2"/>
    <n v="19.3"/>
    <n v="0.1"/>
    <n v="-5.6235E-2"/>
    <n v="4.4000000000000004"/>
  </r>
  <r>
    <x v="3"/>
    <n v="235"/>
    <n v="9.1"/>
    <n v="-2.3681000000000001E-2"/>
    <n v="0.18622736109689964"/>
  </r>
  <r>
    <x v="4"/>
    <n v="8.2100000000000009"/>
    <n v="22"/>
    <n v="-3.6409999999999997E-3"/>
    <n v="0.14620148013895182"/>
  </r>
  <r>
    <x v="5"/>
    <n v="12.1"/>
    <n v="187.9"/>
    <n v="-1.2244999999999999E-2"/>
    <n v="0.48757415991413378"/>
  </r>
  <r>
    <x v="6"/>
    <n v="10.050000000000001"/>
    <n v="2.4"/>
    <n v="5.0000000000000001E-3"/>
    <n v="0.20101956514290281"/>
  </r>
  <r>
    <x v="7"/>
    <n v="55.7"/>
    <n v="0"/>
    <n v="0"/>
    <n v="0"/>
  </r>
  <r>
    <x v="8"/>
    <n v="33"/>
    <n v="75.400000000000006"/>
    <n v="-1.4924999999999999E-2"/>
    <n v="0.6363845622650196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m/>
    <m/>
    <m/>
    <m/>
  </r>
  <r>
    <x v="1"/>
    <n v="8.7200000000000006"/>
    <n v="1610.5"/>
    <n v="-1.5800999999999999E-2"/>
    <n v="0.92551426892183108"/>
  </r>
  <r>
    <x v="2"/>
    <n v="43.4"/>
    <n v="522"/>
    <n v="3.4680000000000002E-3"/>
    <n v="0.72517854774849866"/>
  </r>
  <r>
    <x v="3"/>
    <n v="120"/>
    <n v="112.2"/>
    <n v="3.3439999999999998E-3"/>
    <n v="0.68616222827597706"/>
  </r>
  <r>
    <x v="4"/>
    <n v="14.15"/>
    <n v="7.8"/>
    <n v="-3.5210000000000003E-3"/>
    <n v="0.3994413407821229"/>
  </r>
  <r>
    <x v="5"/>
    <n v="43.95"/>
    <n v="829.4"/>
    <n v="-5.6559999999999996E-3"/>
    <n v="0.38954928182268445"/>
  </r>
  <r>
    <x v="6"/>
    <n v="35.450000000000003"/>
    <n v="973.4"/>
    <n v="-1.4080000000000002E-3"/>
    <n v="0.46471678377827064"/>
  </r>
  <r>
    <x v="7"/>
    <n v="112.1"/>
    <n v="684.9"/>
    <n v="-1.0591E-2"/>
    <n v="0.45757477292535309"/>
  </r>
  <r>
    <x v="8"/>
    <n v="36.65"/>
    <n v="1477.1"/>
    <n v="-5.4269999999999995E-3"/>
    <n v="0.40556930492268944"/>
  </r>
  <r>
    <x v="9"/>
    <n v="48.5"/>
    <n v="780.5"/>
    <n v="1.7838E-2"/>
    <n v="0.75463654742023378"/>
  </r>
  <r>
    <x v="10"/>
    <n v="33.35"/>
    <n v="2016.5"/>
    <n v="7.5529999999999998E-3"/>
    <n v="0.6304705897400551"/>
  </r>
  <r>
    <x v="11"/>
    <n v="8.08"/>
    <n v="22.2"/>
    <n v="-7.3709999999999999E-3"/>
    <n v="0.39993449066491971"/>
  </r>
  <r>
    <x v="12"/>
    <n v="4.63"/>
    <n v="12.3"/>
    <n v="6.522E-3"/>
    <n v="0.19137199434229138"/>
  </r>
  <r>
    <x v="13"/>
    <n v="13.15"/>
    <n v="67.7"/>
    <n v="0"/>
    <n v="0.78530001054518606"/>
  </r>
  <r>
    <x v="14"/>
    <n v="66.2"/>
    <n v="411.8"/>
    <n v="3.4375000000000003E-2"/>
    <n v="0.69809517938601906"/>
  </r>
  <r>
    <x v="15"/>
    <n v="4.97"/>
    <n v="25.4"/>
    <n v="-1.5842000000000002E-2"/>
    <n v="0.15383344803854096"/>
  </r>
  <r>
    <x v="16"/>
    <n v="1.31"/>
    <n v="0"/>
    <n v="0"/>
    <s v=""/>
  </r>
  <r>
    <x v="17"/>
    <n v="11.2"/>
    <n v="4.4000000000000004"/>
    <n v="1.8182E-2"/>
    <n v="1.3730496453900709"/>
  </r>
  <r>
    <x v="18"/>
    <n v="85.4"/>
    <n v="55.2"/>
    <n v="1.4252000000000001E-2"/>
    <n v="0.19237410299871685"/>
  </r>
  <r>
    <x v="19"/>
    <n v="2.62"/>
    <n v="115.7"/>
    <n v="-3.8019999999999998E-3"/>
    <n v="0.33157908449052964"/>
  </r>
  <r>
    <x v="20"/>
    <n v="72.099999999999994"/>
    <n v="6.8"/>
    <n v="-6.8869999999999999E-3"/>
    <n v="0.18396458435809152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58.1"/>
    <n v="67.8"/>
    <n v="-5.1370000000000001E-3"/>
    <n v="0.16999840441293795"/>
  </r>
  <r>
    <x v="2"/>
    <n v="12.3"/>
    <n v="0"/>
    <n v="0"/>
    <n v="0"/>
  </r>
  <r>
    <x v="3"/>
    <n v="23.9"/>
    <n v="208.2"/>
    <n v="-6.2370000000000004E-3"/>
    <n v="0.45536246868413727"/>
  </r>
  <r>
    <x v="4"/>
    <n v="101.9"/>
    <n v="3.1"/>
    <n v="1.967E-3"/>
    <n v="0.14566424604869715"/>
  </r>
  <r>
    <x v="5"/>
    <n v="47.05"/>
    <n v="104.8"/>
    <n v="-7.3839999999999991E-3"/>
    <n v="0.44278005031591477"/>
  </r>
  <r>
    <x v="6"/>
    <n v="4.5199999999999996"/>
    <n v="428.5"/>
    <n v="-1.7391E-2"/>
    <n v="0.58036236479040582"/>
  </r>
  <r>
    <x v="7"/>
    <n v="24"/>
    <n v="0"/>
    <n v="0"/>
    <n v="0"/>
  </r>
  <r>
    <x v="8"/>
    <n v="18.95"/>
    <n v="350.8"/>
    <n v="-5.2490000000000002E-3"/>
    <n v="0.29515406708811864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m/>
    <m/>
    <m/>
    <m/>
  </r>
  <r>
    <x v="1"/>
    <n v="16.5"/>
    <n v="371.9"/>
    <n v="-1.4924999999999999E-2"/>
    <n v="0.86471004766484527"/>
  </r>
  <r>
    <x v="2"/>
    <n v="75.3"/>
    <n v="213.7"/>
    <n v="-3.9680000000000002E-3"/>
    <n v="0.53794839521711768"/>
  </r>
  <r>
    <x v="3"/>
    <n v="8.1999999999999993"/>
    <n v="284"/>
    <n v="-1.2048000000000001E-2"/>
    <n v="0.93722343058576463"/>
  </r>
  <r>
    <x v="4"/>
    <n v="19.95"/>
    <n v="20.3"/>
    <n v="-7.463E-3"/>
    <n v="0.41501719171080759"/>
  </r>
  <r>
    <x v="5"/>
    <n v="7.08"/>
    <n v="29.4"/>
    <n v="-1.2552000000000001E-2"/>
    <n v="0.31548141644717592"/>
  </r>
  <r>
    <x v="6"/>
    <n v="37.299999999999997"/>
    <n v="37.6"/>
    <n v="2.6879999999999999E-3"/>
    <n v="0.45719338970872714"/>
  </r>
  <r>
    <x v="7"/>
    <n v="20.05"/>
    <n v="7810.6"/>
    <n v="2.5000000000000001E-3"/>
    <n v="0.76770815927715341"/>
  </r>
  <r>
    <x v="8"/>
    <n v="16.149999999999999"/>
    <n v="9369.5"/>
    <n v="-3.0859999999999998E-3"/>
    <n v="0.81489856711095654"/>
  </r>
  <r>
    <x v="9"/>
    <n v="6.93"/>
    <n v="139.6"/>
    <n v="8.7339999999999987E-3"/>
    <n v="0.64122264907299142"/>
  </r>
  <r>
    <x v="10"/>
    <n v="3.41"/>
    <n v="64.8"/>
    <n v="-1.4451E-2"/>
    <n v="0.44360083392973826"/>
  </r>
  <r>
    <x v="11"/>
    <n v="25.45"/>
    <n v="3749.8"/>
    <n v="2.4145E-2"/>
    <n v="2.2974668033152126"/>
  </r>
  <r>
    <x v="12"/>
    <n v="28.1"/>
    <n v="1772.1"/>
    <n v="0"/>
    <n v="0.78115038059496633"/>
  </r>
  <r>
    <x v="13"/>
    <n v="4.57"/>
    <n v="1104.4000000000001"/>
    <n v="-1.7204000000000001E-2"/>
    <n v="0.67280299505992336"/>
  </r>
  <r>
    <x v="14"/>
    <n v="3.22"/>
    <n v="1561.7"/>
    <n v="-9.2309999999999996E-3"/>
    <n v="0.53792703929857522"/>
  </r>
  <r>
    <x v="15"/>
    <n v="10.25"/>
    <n v="302.10000000000002"/>
    <n v="-2.8435999999999999E-2"/>
    <n v="0.35831082501738665"/>
  </r>
  <r>
    <x v="16"/>
    <n v="14.6"/>
    <n v="930.4"/>
    <n v="-3.4129999999999998E-3"/>
    <n v="0.39426766314816242"/>
  </r>
  <r>
    <x v="17"/>
    <n v="2.2999999999999998"/>
    <n v="0"/>
    <n v="0"/>
    <s v=""/>
  </r>
  <r>
    <x v="18"/>
    <n v="10.4"/>
    <n v="87"/>
    <n v="-4.7850000000000002E-3"/>
    <n v="0.28828774551150743"/>
  </r>
  <r>
    <x v="19"/>
    <n v="30.4"/>
    <n v="4897.8999999999996"/>
    <n v="9.9670000000000002E-3"/>
    <n v="1.0202234194399307"/>
  </r>
  <r>
    <x v="20"/>
    <n v="33.75"/>
    <n v="1025.8"/>
    <n v="4.4640000000000001E-3"/>
    <n v="0.54408339802595096"/>
  </r>
  <r>
    <x v="21"/>
    <n v="5.37"/>
    <n v="8111.8"/>
    <n v="-2.1857999999999999E-2"/>
    <n v="1.3848151105503346"/>
  </r>
  <r>
    <x v="22"/>
    <n v="39.299999999999997"/>
    <n v="228.5"/>
    <n v="-2.5380000000000003E-3"/>
    <n v="0.42847888716523752"/>
  </r>
  <r>
    <x v="23"/>
    <n v="3.06"/>
    <n v="23.5"/>
    <n v="-6.4939999999999998E-3"/>
    <n v="0.14457494407158836"/>
  </r>
  <r>
    <x v="24"/>
    <n v="36.950000000000003"/>
    <n v="75.900000000000006"/>
    <n v="-1.351E-3"/>
    <n v="0.83132530120481929"/>
  </r>
  <r>
    <x v="25"/>
    <n v="22"/>
    <n v="271.86609999999996"/>
    <n v="4.5659999999999997E-3"/>
    <n v="6.7197865416961733"/>
  </r>
  <r>
    <x v="26"/>
    <n v="34.15"/>
    <n v="1331.6"/>
    <n v="-8.7080000000000005E-3"/>
    <n v="0.60162568233066493"/>
  </r>
  <r>
    <x v="27"/>
    <n v="18.350000000000001"/>
    <n v="2301"/>
    <n v="5.4790000000000004E-3"/>
    <n v="1.2558423387216815"/>
  </r>
  <r>
    <x v="28"/>
    <n v="10.4"/>
    <n v="5788.1"/>
    <n v="0"/>
    <n v="0.60386163355027922"/>
  </r>
  <r>
    <x v="29"/>
    <n v="8.19"/>
    <n v="0"/>
    <n v="0"/>
    <n v="0"/>
  </r>
  <r>
    <x v="30"/>
    <n v="20.05"/>
    <n v="7336.7"/>
    <n v="-2.4879999999999998E-3"/>
    <n v="1.1601526673662723"/>
  </r>
  <r>
    <x v="31"/>
    <n v="2.73"/>
    <n v="6"/>
    <n v="0"/>
    <n v="9.8419325976737262E-2"/>
  </r>
  <r>
    <x v="32"/>
    <n v="13.45"/>
    <n v="2276"/>
    <n v="4.6692999999999998E-2"/>
    <n v="1.8750748951467944"/>
  </r>
  <r>
    <x v="33"/>
    <n v="6.29"/>
    <n v="2801.8"/>
    <n v="-1.8721000000000002E-2"/>
    <n v="0.79575579010335695"/>
  </r>
  <r>
    <x v="34"/>
    <n v="39"/>
    <n v="36.299999999999997"/>
    <n v="-2.5000000000000001E-2"/>
    <n v="0.4624471596502403"/>
  </r>
  <r>
    <x v="35"/>
    <n v="90.7"/>
    <n v="300.2"/>
    <n v="-1.6268999999999999E-2"/>
    <n v="0.41126872828266475"/>
  </r>
  <r>
    <x v="36"/>
    <n v="103.6"/>
    <n v="4.2"/>
    <n v="2.9039999999999999E-3"/>
    <n v="3.0419753086419751E-2"/>
  </r>
  <r>
    <x v="37"/>
    <n v="45.8"/>
    <n v="1338.1"/>
    <n v="-3.2640000000000004E-3"/>
    <n v="0.5501634331998333"/>
  </r>
  <r>
    <x v="38"/>
    <n v="17.45"/>
    <n v="3666.2"/>
    <n v="-1.9663E-2"/>
    <n v="0.58909920622167944"/>
  </r>
  <r>
    <x v="39"/>
    <n v="3.07"/>
    <n v="163.80000000000001"/>
    <n v="-9.6769999999999998E-3"/>
    <n v="0.42788444412780963"/>
  </r>
  <r>
    <x v="40"/>
    <n v="22.25"/>
    <n v="215.7"/>
    <n v="-1.9823999999999998E-2"/>
    <n v="0.9783926436023257"/>
  </r>
  <r>
    <x v="41"/>
    <n v="6.28"/>
    <n v="41"/>
    <n v="-1.1024000000000001E-2"/>
    <n v="0.18013340256420499"/>
  </r>
  <r>
    <x v="42"/>
    <n v="42.85"/>
    <n v="6526.1559999999999"/>
    <n v="7.0509999999999991E-3"/>
    <n v="1.0907529227304218"/>
  </r>
  <r>
    <x v="43"/>
    <n v="42.15"/>
    <n v="1557.3"/>
    <n v="2.3779999999999999E-3"/>
    <n v="0.39647690267391561"/>
  </r>
  <r>
    <x v="44"/>
    <n v="6.65"/>
    <n v="23.1"/>
    <n v="-2.9989999999999999E-3"/>
    <n v="0.14203862600967049"/>
  </r>
  <r>
    <x v="45"/>
    <n v="58.7"/>
    <n v="457.6"/>
    <n v="-5.0849999999999992E-3"/>
    <n v="0.2939852061243024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m/>
    <m/>
    <m/>
    <m/>
  </r>
  <r>
    <x v="1"/>
    <n v="38.6"/>
    <n v="3.7"/>
    <n v="-7.7120000000000001E-3"/>
    <n v="0.42110708742886704"/>
  </r>
  <r>
    <x v="2"/>
    <n v="26.15"/>
    <n v="168.6"/>
    <n v="-4.7358999999999998E-2"/>
    <n v="0.34332682321797164"/>
  </r>
  <r>
    <x v="3"/>
    <n v="35.5"/>
    <n v="113.6"/>
    <n v="-5.6020000000000002E-3"/>
    <n v="0.4197584776365072"/>
  </r>
  <r>
    <x v="4"/>
    <n v="7.55"/>
    <n v="10.8"/>
    <n v="-2.8313999999999999E-2"/>
    <n v="0.32831283681083323"/>
  </r>
  <r>
    <x v="5"/>
    <n v="1.99"/>
    <n v="478.9"/>
    <n v="-1.4851000000000001E-2"/>
    <n v="0.28121863722747753"/>
  </r>
  <r>
    <x v="6"/>
    <n v="9"/>
    <n v="200"/>
    <n v="0"/>
    <n v="0.98863074641621351"/>
  </r>
  <r>
    <x v="7"/>
    <n v="20.25"/>
    <n v="1839.6"/>
    <n v="4.9630000000000004E-3"/>
    <n v="0.61448016701461383"/>
  </r>
  <r>
    <x v="8"/>
    <n v="60.1"/>
    <n v="74.900000000000006"/>
    <n v="-1.1513000000000001E-2"/>
    <n v="0.59661827003150003"/>
  </r>
  <r>
    <x v="9"/>
    <n v="20.5"/>
    <n v="1.6"/>
    <n v="0"/>
    <n v="0.26566037735849057"/>
  </r>
  <r>
    <x v="10"/>
    <n v="12.3"/>
    <n v="21.9"/>
    <n v="0"/>
    <n v="2.1528150134048261"/>
  </r>
  <r>
    <x v="11"/>
    <n v="4.8600000000000003"/>
    <n v="151.9"/>
    <n v="-2.9940000000000001E-2"/>
    <n v="0.50307856744998269"/>
  </r>
  <r>
    <x v="12"/>
    <n v="3.15"/>
    <n v="917.2"/>
    <n v="-9.4339999999999997E-3"/>
    <n v="0.77042082515634902"/>
  </r>
  <r>
    <x v="13"/>
    <n v="5.24"/>
    <n v="0.5"/>
    <n v="3.8309999999999998E-3"/>
    <n v="5.4428500742206828E-2"/>
  </r>
  <r>
    <x v="14"/>
    <n v="12.4"/>
    <n v="246.1"/>
    <n v="-1.9762999999999999E-2"/>
    <n v="0.485521867405594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m/>
    <m/>
    <m/>
    <m/>
  </r>
  <r>
    <x v="1"/>
    <n v="4.68"/>
    <n v="45"/>
    <n v="-2.1320000000000002E-3"/>
    <n v="0.15443894981514128"/>
  </r>
  <r>
    <x v="2"/>
    <n v="2.92"/>
    <n v="63.2"/>
    <n v="6.8969999999999995E-3"/>
    <n v="0.39346860231485414"/>
  </r>
  <r>
    <x v="3"/>
    <n v="17.25"/>
    <n v="1077.8"/>
    <n v="-1.4286E-2"/>
    <n v="0.61880938773060257"/>
  </r>
  <r>
    <x v="4"/>
    <n v="8.23"/>
    <n v="697.1"/>
    <n v="-1.6726000000000001E-2"/>
    <n v="1.0063981835720897"/>
  </r>
  <r>
    <x v="5"/>
    <n v="33.15"/>
    <n v="1708.2"/>
    <n v="1.5110000000000002E-3"/>
    <n v="0.47086034465908716"/>
  </r>
  <r>
    <x v="6"/>
    <n v="8.25"/>
    <n v="197.2"/>
    <n v="-1.1976000000000001E-2"/>
    <n v="0.72212790039615171"/>
  </r>
  <r>
    <x v="7"/>
    <n v="30.05"/>
    <n v="4165.7"/>
    <n v="-1.1513000000000001E-2"/>
    <n v="0.72222676279912512"/>
  </r>
  <r>
    <x v="8"/>
    <n v="48.05"/>
    <n v="66.400000000000006"/>
    <n v="5.2300000000000003E-3"/>
    <n v="0.97823612134199434"/>
  </r>
  <r>
    <x v="9"/>
    <n v="12.6"/>
    <n v="5338.2"/>
    <n v="-7.8739999999999991E-3"/>
    <n v="0.73981327085930548"/>
  </r>
  <r>
    <x v="10"/>
    <n v="4.2300000000000004"/>
    <n v="26.6"/>
    <n v="-7.0420000000000005E-3"/>
    <n v="0.43697729988052569"/>
  </r>
  <r>
    <x v="11"/>
    <n v="7.84"/>
    <n v="650.9"/>
    <n v="-0.02"/>
    <n v="0.98693260920506709"/>
  </r>
  <r>
    <x v="12"/>
    <n v="58.2"/>
    <n v="266.47000000000003"/>
    <n v="-5.1280000000000006E-3"/>
    <n v="0.52855443966290605"/>
  </r>
  <r>
    <x v="13"/>
    <n v="10.7"/>
    <n v="183.8"/>
    <n v="-9.2589999999999999E-3"/>
    <n v="0.30510367307518188"/>
  </r>
  <r>
    <x v="14"/>
    <n v="32.700000000000003"/>
    <n v="3.9"/>
    <n v="-3.0490000000000001E-3"/>
    <n v="7.6751051077913954E-2"/>
  </r>
  <r>
    <x v="15"/>
    <n v="67.599999999999994"/>
    <n v="1686.1"/>
    <n v="-5.8819999999999992E-3"/>
    <n v="0.36134433316675779"/>
  </r>
  <r>
    <x v="16"/>
    <n v="20.5"/>
    <n v="262.39999999999998"/>
    <n v="4.9020000000000001E-3"/>
    <n v="1.0075397933538117"/>
  </r>
  <r>
    <x v="17"/>
    <n v="27.45"/>
    <n v="649.1"/>
    <n v="-1.0810999999999999E-2"/>
    <n v="0.38774756575053082"/>
  </r>
  <r>
    <x v="18"/>
    <n v="51.7"/>
    <n v="335.7"/>
    <n v="0"/>
    <n v="0.48108340498710234"/>
  </r>
  <r>
    <x v="19"/>
    <n v="13.5"/>
    <n v="849.3"/>
    <n v="-1.0989000000000001E-2"/>
    <n v="0.29806512746804326"/>
  </r>
  <r>
    <x v="20"/>
    <n v="71.5"/>
    <n v="567.1"/>
    <n v="-1.1065E-2"/>
    <n v="0.81474564095866253"/>
  </r>
  <r>
    <x v="21"/>
    <n v="63.3"/>
    <n v="2850.8"/>
    <n v="1.5820000000000001E-3"/>
    <n v="0.64141607835557202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m/>
    <m/>
    <m/>
    <m/>
  </r>
  <r>
    <x v="1"/>
    <n v="61.2"/>
    <n v="687.4"/>
    <n v="6.5790000000000006E-3"/>
    <n v="0.64811537060449564"/>
  </r>
  <r>
    <x v="2"/>
    <n v="13.2"/>
    <n v="56.3"/>
    <n v="-7.5190000000000005E-3"/>
    <n v="0.2426011164430516"/>
  </r>
  <r>
    <x v="3"/>
    <n v="51.8"/>
    <n v="965.9"/>
    <n v="-7.6629999999999997E-3"/>
    <n v="0.41250613911973272"/>
  </r>
  <r>
    <x v="4"/>
    <n v="8.1999999999999993"/>
    <n v="142.69999999999999"/>
    <n v="-4.5401999999999998E-2"/>
    <n v="1.3356307168687513"/>
  </r>
  <r>
    <x v="5"/>
    <n v="115.3"/>
    <n v="3.8"/>
    <n v="0"/>
    <n v="0.26993865030674846"/>
  </r>
  <r>
    <x v="6"/>
    <n v="16.75"/>
    <n v="104"/>
    <n v="0"/>
    <n v="0.30154859967051068"/>
  </r>
  <r>
    <x v="7"/>
    <n v="26.45"/>
    <n v="662.1"/>
    <n v="-7.5049999999999995E-3"/>
    <n v="0.36025256409939332"/>
  </r>
  <r>
    <x v="8"/>
    <n v="42.2"/>
    <n v="94.2"/>
    <n v="0"/>
    <n v="0.23442113002658219"/>
  </r>
  <r>
    <x v="9"/>
    <n v="11.5"/>
    <n v="172.9"/>
    <n v="-8.6210000000000002E-3"/>
    <n v="0.73314958656978202"/>
  </r>
  <r>
    <x v="10"/>
    <n v="15.4"/>
    <n v="272.5"/>
    <n v="-2.2221999999999999E-2"/>
    <n v="0.25942273573066771"/>
  </r>
  <r>
    <x v="11"/>
    <n v="21.05"/>
    <n v="2.2999999999999998"/>
    <n v="-1.1736999999999999E-2"/>
    <n v="3.6883154748888404E-2"/>
  </r>
  <r>
    <x v="12"/>
    <n v="16.25"/>
    <n v="936.2"/>
    <n v="6.1919999999999996E-3"/>
    <n v="0.36661902159692272"/>
  </r>
  <r>
    <x v="13"/>
    <n v="18.3"/>
    <n v="2424.1"/>
    <n v="-1.0810999999999999E-2"/>
    <n v="0.6389306547786634"/>
  </r>
  <r>
    <x v="14"/>
    <n v="16.149999999999999"/>
    <n v="491.3"/>
    <n v="9.3749999999999997E-3"/>
    <n v="0.54099534013043638"/>
  </r>
  <r>
    <x v="15"/>
    <n v="152.6"/>
    <n v="203.1"/>
    <n v="-2.614E-3"/>
    <n v="0.3036802936079111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m/>
    <m/>
    <m/>
    <m/>
  </r>
  <r>
    <x v="1"/>
    <n v="14.5"/>
    <n v="16.399999999999999"/>
    <n v="3.4599999999999995E-3"/>
    <n v="0.13603287712551371"/>
  </r>
  <r>
    <x v="2"/>
    <n v="6.86"/>
    <n v="128.6"/>
    <n v="-5.7970000000000001E-3"/>
    <n v="0.52338315820630454"/>
  </r>
  <r>
    <x v="3"/>
    <n v="7.9"/>
    <n v="111.1"/>
    <n v="-2.4691000000000001E-2"/>
    <n v="0.87273688100649316"/>
  </r>
  <r>
    <x v="4"/>
    <n v="40.799999999999997"/>
    <n v="35.799999999999997"/>
    <n v="3.6900000000000001E-3"/>
    <n v="0.81288058623180937"/>
  </r>
  <r>
    <x v="5"/>
    <n v="4.33"/>
    <n v="166.3"/>
    <n v="-3.7777999999999999E-2"/>
    <n v="0.26740242654582663"/>
  </r>
  <r>
    <x v="6"/>
    <n v="12.6"/>
    <n v="332.8"/>
    <n v="3.9839999999999997E-3"/>
    <n v="0.39984927010687626"/>
  </r>
  <r>
    <x v="7"/>
    <n v="2.7"/>
    <n v="0.5"/>
    <n v="0"/>
    <n v="2.418113871180479E-2"/>
  </r>
  <r>
    <x v="8"/>
    <n v="1.21"/>
    <n v="0"/>
    <n v="0"/>
    <n v="0"/>
  </r>
  <r>
    <x v="9"/>
    <n v="32.75"/>
    <n v="22.8"/>
    <n v="-1.5240000000000002E-3"/>
    <n v="0.17451205510907003"/>
  </r>
  <r>
    <x v="10"/>
    <n v="29.45"/>
    <n v="12.2"/>
    <n v="0"/>
    <n v="0.23312776860939807"/>
  </r>
  <r>
    <x v="11"/>
    <n v="50.6"/>
    <n v="1806.5"/>
    <n v="-2.6922999999999999E-2"/>
    <n v="1.8950324715575857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m/>
    <m/>
    <m/>
    <m/>
  </r>
  <r>
    <x v="1"/>
    <n v="10.050000000000001"/>
    <n v="196.2"/>
    <n v="0"/>
    <n v="1.1587651006711408"/>
  </r>
  <r>
    <x v="2"/>
    <n v="7.45"/>
    <n v="47.5"/>
    <n v="-6.6669999999999993E-3"/>
    <n v="0.5782745835869626"/>
  </r>
  <r>
    <x v="3"/>
    <n v="21.1"/>
    <n v="31.3"/>
    <n v="-9.389999999999999E-3"/>
    <n v="9.5203860139086674E-2"/>
  </r>
  <r>
    <x v="4"/>
    <n v="7.88"/>
    <n v="121.9"/>
    <n v="-5.0509999999999999E-3"/>
    <n v="0.36173082629690573"/>
  </r>
  <r>
    <x v="5"/>
    <n v="14.2"/>
    <n v="6368.3"/>
    <n v="-3.509E-3"/>
    <n v="0.66541975998787928"/>
  </r>
  <r>
    <x v="6"/>
    <n v="90.3"/>
    <n v="567.6"/>
    <n v="1.4607000000000002E-2"/>
    <n v="0.37269661244590363"/>
  </r>
  <r>
    <x v="7"/>
    <n v="21.7"/>
    <n v="997.7"/>
    <n v="0"/>
    <n v="0.93901979909988531"/>
  </r>
  <r>
    <x v="8"/>
    <n v="12.65"/>
    <n v="579.20000000000005"/>
    <n v="-3.9369999999999995E-3"/>
    <n v="0.55842653297338984"/>
  </r>
  <r>
    <x v="9"/>
    <n v="48"/>
    <n v="435.9"/>
    <n v="-1.9408000000000002E-2"/>
    <n v="0.83478851293122203"/>
  </r>
  <r>
    <x v="10"/>
    <n v="6.59"/>
    <n v="841.1"/>
    <n v="-1.6417999999999999E-2"/>
    <n v="0.60741800897461562"/>
  </r>
  <r>
    <x v="11"/>
    <n v="15.35"/>
    <n v="1221.5999999999999"/>
    <n v="-1.2862E-2"/>
    <n v="0.56289978678038377"/>
  </r>
  <r>
    <x v="12"/>
    <n v="7.7"/>
    <n v="0"/>
    <n v="0"/>
    <n v="0"/>
  </r>
  <r>
    <x v="13"/>
    <n v="12.75"/>
    <n v="5237.8999999999996"/>
    <n v="3.9369999999999995E-3"/>
    <n v="0.58026655225877533"/>
  </r>
  <r>
    <x v="14"/>
    <n v="2.81"/>
    <n v="18.3"/>
    <n v="0"/>
    <n v="0.34486893952372799"/>
  </r>
  <r>
    <x v="15"/>
    <n v="17.850000000000001"/>
    <n v="1.8"/>
    <n v="-8.3330000000000001E-3"/>
    <n v="5.9620596205962058E-2"/>
  </r>
  <r>
    <x v="16"/>
    <n v="5.8"/>
    <n v="1.2"/>
    <n v="0"/>
    <n v="0.71159029649595695"/>
  </r>
  <r>
    <x v="17"/>
    <n v="17.8"/>
    <n v="10"/>
    <n v="-2.8010000000000001E-3"/>
    <n v="0.17833605971339775"/>
  </r>
  <r>
    <x v="18"/>
    <n v="9.35"/>
    <n v="90.2"/>
    <n v="-1.0582000000000001E-2"/>
    <n v="0.22111784631841686"/>
  </r>
  <r>
    <x v="19"/>
    <n v="10.8"/>
    <n v="2073"/>
    <n v="4.6509999999999998E-3"/>
    <n v="0.65884154489573321"/>
  </r>
  <r>
    <x v="20"/>
    <n v="62"/>
    <n v="0"/>
    <n v="0"/>
    <n v="0"/>
  </r>
  <r>
    <x v="21"/>
    <n v="14.1"/>
    <n v="2.4"/>
    <n v="-2.0833000000000001E-2"/>
    <n v="0.10954356846473029"/>
  </r>
  <r>
    <x v="22"/>
    <n v="26.95"/>
    <n v="684.4"/>
    <n v="-1.4624999999999999E-2"/>
    <n v="1.2253155491898666"/>
  </r>
  <r>
    <x v="23"/>
    <n v="23.8"/>
    <n v="1211.4000000000001"/>
    <n v="-8.3330000000000001E-3"/>
    <n v="0.45213884945398874"/>
  </r>
  <r>
    <x v="24"/>
    <n v="5.48"/>
    <n v="68.8"/>
    <n v="0"/>
    <n v="0.81062553556126815"/>
  </r>
  <r>
    <x v="25"/>
    <n v="5.51"/>
    <n v="3.4"/>
    <n v="-2.4778999999999999E-2"/>
    <n v="6.1518216958631466E-2"/>
  </r>
  <r>
    <x v="26"/>
    <n v="21"/>
    <n v="0"/>
    <n v="0"/>
    <n v="0"/>
  </r>
  <r>
    <x v="27"/>
    <n v="3.72"/>
    <n v="920.5"/>
    <n v="-7.0000000000000007E-2"/>
    <n v="0.62544589774078474"/>
  </r>
  <r>
    <x v="28"/>
    <n v="60.4"/>
    <n v="27.4"/>
    <n v="-9.836000000000001E-3"/>
    <n v="0.29874120329071263"/>
  </r>
  <r>
    <x v="29"/>
    <n v="21.8"/>
    <n v="7999.2"/>
    <n v="2.2989999999999998E-3"/>
    <n v="0.90263076504069162"/>
  </r>
  <r>
    <x v="30"/>
    <n v="2.88"/>
    <n v="199.2"/>
    <n v="-1.7065E-2"/>
    <n v="0.709505075525766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BF465-5AB2-4D4E-8F62-CEB72D48098C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C33" firstHeaderRow="0" firstDataRow="1" firstDataCol="1"/>
  <pivotFields count="5">
    <pivotField axis="axisRow" showAll="0" sortType="ascending">
      <items count="33"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m="1" x="31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numFmtId="167" showAll="0"/>
    <pivotField dataField="1" numFmtId="164" showAll="0"/>
    <pivotField dataField="1" numFmtId="166" showAll="0"/>
  </pivotFields>
  <rowFields count="1">
    <field x="0"/>
  </rowFields>
  <rowItems count="30">
    <i>
      <x v="3"/>
    </i>
    <i>
      <x v="18"/>
    </i>
    <i>
      <x v="28"/>
    </i>
    <i>
      <x v="2"/>
    </i>
    <i>
      <x v="8"/>
    </i>
    <i>
      <x v="13"/>
    </i>
    <i>
      <x v="17"/>
    </i>
    <i>
      <x v="9"/>
    </i>
    <i>
      <x v="10"/>
    </i>
    <i>
      <x v="5"/>
    </i>
    <i>
      <x v="11"/>
    </i>
    <i>
      <x/>
    </i>
    <i>
      <x v="22"/>
    </i>
    <i>
      <x v="4"/>
    </i>
    <i>
      <x v="1"/>
    </i>
    <i>
      <x v="26"/>
    </i>
    <i>
      <x v="19"/>
    </i>
    <i>
      <x v="24"/>
    </i>
    <i>
      <x v="15"/>
    </i>
    <i>
      <x v="12"/>
    </i>
    <i>
      <x v="21"/>
    </i>
    <i>
      <x v="29"/>
    </i>
    <i>
      <x v="6"/>
    </i>
    <i>
      <x v="27"/>
    </i>
    <i>
      <x v="20"/>
    </i>
    <i>
      <x v="25"/>
    </i>
    <i>
      <x v="16"/>
    </i>
    <i>
      <x v="23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 BĐ giá" fld="3" baseField="0" baseItem="1" numFmtId="164"/>
    <dataField name="KL/KLTB21" fld="4" baseField="0" baseItem="1" numFmtId="166"/>
  </dataFields>
  <formats count="8">
    <format dxfId="13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38">
      <pivotArea type="all" dataOnly="0" outline="0" fieldPosition="0"/>
    </format>
    <format dxfId="1337">
      <pivotArea outline="0" collapsedLevelsAreSubtotals="1" fieldPosition="0"/>
    </format>
    <format dxfId="1336">
      <pivotArea field="0" type="button" dataOnly="0" labelOnly="1" outline="0" axis="axisRow" fieldPosition="0"/>
    </format>
    <format dxfId="1335">
      <pivotArea dataOnly="0" labelOnly="1" fieldPosition="0">
        <references count="1">
          <reference field="0" count="0"/>
        </references>
      </pivotArea>
    </format>
    <format dxfId="1334">
      <pivotArea dataOnly="0" labelOnly="1" grandRow="1" outline="0" fieldPosition="0"/>
    </format>
    <format dxfId="13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631B2-0252-47BE-8718-E65B3EB0B202}" name="PivotTable2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7" firstHeaderRow="0" firstDataRow="1" firstDataCol="1"/>
  <pivotFields count="5">
    <pivotField axis="axisRow" showAll="0" sortType="ascending">
      <items count="29">
        <item m="1" x="26"/>
        <item x="1"/>
        <item m="1" x="23"/>
        <item x="2"/>
        <item m="1" x="21"/>
        <item x="3"/>
        <item x="4"/>
        <item x="5"/>
        <item m="1" x="20"/>
        <item x="6"/>
        <item x="7"/>
        <item x="8"/>
        <item x="9"/>
        <item m="1" x="24"/>
        <item x="10"/>
        <item m="1" x="25"/>
        <item m="1" x="27"/>
        <item x="11"/>
        <item x="12"/>
        <item x="13"/>
        <item x="14"/>
        <item x="15"/>
        <item m="1" x="19"/>
        <item m="1" x="22"/>
        <item x="16"/>
        <item x="17"/>
        <item x="18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9">
    <i>
      <x v="9"/>
    </i>
    <i>
      <x v="26"/>
    </i>
    <i>
      <x v="3"/>
    </i>
    <i>
      <x v="7"/>
    </i>
    <i>
      <x v="18"/>
    </i>
    <i>
      <x v="10"/>
    </i>
    <i>
      <x v="1"/>
    </i>
    <i>
      <x v="24"/>
    </i>
    <i>
      <x v="5"/>
    </i>
    <i>
      <x v="11"/>
    </i>
    <i>
      <x v="19"/>
    </i>
    <i>
      <x v="25"/>
    </i>
    <i>
      <x v="12"/>
    </i>
    <i>
      <x v="21"/>
    </i>
    <i>
      <x v="6"/>
    </i>
    <i>
      <x v="20"/>
    </i>
    <i>
      <x v="17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_x000a_phiên" fld="4" baseField="0" baseItem="0" numFmtId="2"/>
  </dataFields>
  <formats count="13">
    <format dxfId="1288">
      <pivotArea collapsedLevelsAreSubtotals="1" fieldPosition="0">
        <references count="1">
          <reference field="0" count="1">
            <x v="8"/>
          </reference>
        </references>
      </pivotArea>
    </format>
    <format dxfId="1287">
      <pivotArea field="0" type="button" dataOnly="0" labelOnly="1" outline="0" axis="axisRow" fieldPosition="0"/>
    </format>
    <format dxfId="1286">
      <pivotArea dataOnly="0" labelOnly="1" fieldPosition="0">
        <references count="1">
          <reference field="0" count="1">
            <x v="8"/>
          </reference>
        </references>
      </pivotArea>
    </format>
    <format dxfId="128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8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28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28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81">
      <pivotArea type="all" dataOnly="0" outline="0" fieldPosition="0"/>
    </format>
    <format dxfId="1280">
      <pivotArea outline="0" collapsedLevelsAreSubtotals="1" fieldPosition="0"/>
    </format>
    <format dxfId="1279">
      <pivotArea field="0" type="button" dataOnly="0" labelOnly="1" outline="0" axis="axisRow" fieldPosition="0"/>
    </format>
    <format dxfId="1278">
      <pivotArea dataOnly="0" labelOnly="1" fieldPosition="0">
        <references count="1">
          <reference field="0" count="0"/>
        </references>
      </pivotArea>
    </format>
    <format dxfId="1277">
      <pivotArea dataOnly="0" labelOnly="1" grandRow="1" outline="0" fieldPosition="0"/>
    </format>
    <format dxfId="12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A0CA1C-C409-43EA-BAC2-2480E7BD87A1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6" firstHeaderRow="0" firstDataRow="1" firstDataCol="1"/>
  <pivotFields count="5">
    <pivotField axis="axisRow" showAll="0" sortType="ascending">
      <items count="31">
        <item x="1"/>
        <item x="2"/>
        <item m="1" x="24"/>
        <item x="4"/>
        <item x="3"/>
        <item x="5"/>
        <item x="7"/>
        <item x="8"/>
        <item m="1" x="22"/>
        <item x="9"/>
        <item m="1" x="28"/>
        <item x="10"/>
        <item x="12"/>
        <item x="13"/>
        <item x="14"/>
        <item x="15"/>
        <item m="1" x="20"/>
        <item x="16"/>
        <item x="17"/>
        <item h="1" x="0"/>
        <item m="1" x="26"/>
        <item m="1" x="29"/>
        <item m="1" x="18"/>
        <item m="1" x="23"/>
        <item m="1" x="19"/>
        <item m="1" x="21"/>
        <item m="1" x="25"/>
        <item m="1" x="27"/>
        <item x="6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8">
    <i>
      <x v="17"/>
    </i>
    <i>
      <x v="28"/>
    </i>
    <i>
      <x v="9"/>
    </i>
    <i>
      <x v="4"/>
    </i>
    <i>
      <x v="13"/>
    </i>
    <i>
      <x v="18"/>
    </i>
    <i>
      <x/>
    </i>
    <i>
      <x v="1"/>
    </i>
    <i>
      <x v="11"/>
    </i>
    <i>
      <x v="15"/>
    </i>
    <i>
      <x v="7"/>
    </i>
    <i>
      <x v="29"/>
    </i>
    <i>
      <x v="5"/>
    </i>
    <i>
      <x v="3"/>
    </i>
    <i>
      <x v="14"/>
    </i>
    <i>
      <x v="12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4">
    <format dxfId="120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04">
      <pivotArea outline="0" collapsedLevelsAreSubtotals="1" fieldPosition="0"/>
    </format>
    <format dxfId="1203">
      <pivotArea dataOnly="0" labelOnly="1" fieldPosition="0">
        <references count="1">
          <reference field="0" count="0"/>
        </references>
      </pivotArea>
    </format>
    <format dxfId="1202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CC4AFA-C3C7-4E6B-A737-1E8A68D6E8FA}" name="PivotTable2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21">
        <item x="1"/>
        <item x="4"/>
        <item x="6"/>
        <item x="8"/>
        <item x="10"/>
        <item x="11"/>
        <item x="12"/>
        <item h="1" x="0"/>
        <item x="2"/>
        <item m="1" x="15"/>
        <item x="3"/>
        <item x="7"/>
        <item m="1" x="13"/>
        <item m="1" x="17"/>
        <item x="5"/>
        <item m="1" x="18"/>
        <item m="1" x="16"/>
        <item m="1" x="14"/>
        <item x="9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11"/>
    </i>
    <i>
      <x v="18"/>
    </i>
    <i>
      <x v="4"/>
    </i>
    <i>
      <x v="5"/>
    </i>
    <i>
      <x v="2"/>
    </i>
    <i>
      <x v="1"/>
    </i>
    <i>
      <x/>
    </i>
    <i>
      <x v="6"/>
    </i>
    <i>
      <x v="8"/>
    </i>
    <i>
      <x v="14"/>
    </i>
    <i>
      <x v="3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4">
    <format dxfId="11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33">
      <pivotArea outline="0" collapsedLevelsAreSubtotals="1" fieldPosition="0"/>
    </format>
    <format dxfId="1132">
      <pivotArea dataOnly="0" labelOnly="1" fieldPosition="0">
        <references count="1">
          <reference field="0" count="0"/>
        </references>
      </pivotArea>
    </format>
    <format dxfId="1131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6BD704-8030-41FA-8CA6-143A788FF70A}" name="PivotTable3" cacheId="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8" firstHeaderRow="0" firstDataRow="1" firstDataCol="1"/>
  <pivotFields count="5">
    <pivotField axis="axisRow" showAll="0" sortType="ascending">
      <items count="11">
        <item x="2"/>
        <item x="1"/>
        <item x="3"/>
        <item x="4"/>
        <item h="1" x="0"/>
        <item x="7"/>
        <item x="9"/>
        <item x="5"/>
        <item x="6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0">
    <i>
      <x v="8"/>
    </i>
    <i>
      <x v="5"/>
    </i>
    <i>
      <x v="9"/>
    </i>
    <i>
      <x v="6"/>
    </i>
    <i>
      <x v="2"/>
    </i>
    <i>
      <x/>
    </i>
    <i>
      <x v="1"/>
    </i>
    <i>
      <x v="7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3">
    <format dxfId="10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44">
      <pivotArea field="0" dataOnly="0" grandRow="1" axis="axisRow" fieldPosition="0">
        <references count="1">
          <reference field="0" count="0"/>
        </references>
      </pivotArea>
    </format>
    <format dxfId="1043">
      <pivotArea dataOnly="0" fieldPosition="0">
        <references count="1">
          <reference field="0" count="0"/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FF04ED-EEFF-4E21-92B6-2E9A417ED3B7}" name="PivotTable1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S18:U38" firstHeaderRow="0" firstDataRow="1" firstDataCol="1"/>
  <pivotFields count="4">
    <pivotField axis="axisRow" showAll="0">
      <items count="21">
        <item x="5"/>
        <item x="7"/>
        <item x="8"/>
        <item x="9"/>
        <item x="11"/>
        <item x="13"/>
        <item h="1" x="0"/>
        <item x="1"/>
        <item x="2"/>
        <item x="3"/>
        <item x="4"/>
        <item x="6"/>
        <item x="10"/>
        <item x="12"/>
        <item x="14"/>
        <item x="15"/>
        <item x="16"/>
        <item x="17"/>
        <item x="18"/>
        <item x="19"/>
        <item t="default"/>
      </items>
    </pivotField>
    <pivotField showAll="0"/>
    <pivotField dataField="1" showAll="0"/>
    <pivotField dataField="1" showAl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GD/1000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F065C-74E9-4C34-ABF8-690E4E3CCEE8}" name="PivotTable8" cacheId="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7" firstHeaderRow="0" firstDataRow="1" firstDataCol="1"/>
  <pivotFields count="5">
    <pivotField axis="axisRow" showAll="0" sortType="ascending">
      <items count="15">
        <item x="2"/>
        <item x="3"/>
        <item x="5"/>
        <item x="6"/>
        <item x="7"/>
        <item x="8"/>
        <item h="1" x="0"/>
        <item x="1"/>
        <item m="1" x="9"/>
        <item m="1" x="12"/>
        <item m="1" x="11"/>
        <item x="4"/>
        <item m="1" x="10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9">
    <i>
      <x/>
    </i>
    <i>
      <x v="3"/>
    </i>
    <i>
      <x v="1"/>
    </i>
    <i>
      <x v="4"/>
    </i>
    <i>
      <x v="5"/>
    </i>
    <i>
      <x v="7"/>
    </i>
    <i>
      <x v="2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_x000a_phiên" fld="4" baseField="0" baseItem="0"/>
  </dataFields>
  <formats count="5">
    <format dxfId="90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903">
      <pivotArea outline="0" collapsedLevelsAreSubtotals="1" fieldPosition="0"/>
    </format>
    <format dxfId="902">
      <pivotArea dataOnly="0" labelOnly="1" fieldPosition="0">
        <references count="1">
          <reference field="0" count="0"/>
        </references>
      </pivotArea>
    </format>
    <format dxfId="901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8534CD-FA48-4F9D-B585-751C00B27F92}" name="PivotTable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14">
        <item x="2"/>
        <item x="4"/>
        <item x="8"/>
        <item x="9"/>
        <item x="10"/>
        <item x="11"/>
        <item h="1" x="0"/>
        <item x="1"/>
        <item x="3"/>
        <item x="5"/>
        <item x="6"/>
        <item x="7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8"/>
    </i>
    <i>
      <x v="4"/>
    </i>
    <i>
      <x v="2"/>
    </i>
    <i>
      <x v="3"/>
    </i>
    <i>
      <x v="10"/>
    </i>
    <i>
      <x v="1"/>
    </i>
    <i>
      <x/>
    </i>
    <i>
      <x v="11"/>
    </i>
    <i>
      <x v="9"/>
    </i>
    <i>
      <x v="7"/>
    </i>
    <i>
      <x v="5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83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5F1A7-3680-4D4F-9CF0-1AFE7C6E5A3D}" name="PivotTable10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14">
        <item x="3"/>
        <item x="4"/>
        <item x="5"/>
        <item x="7"/>
        <item x="8"/>
        <item x="9"/>
        <item h="1" x="0"/>
        <item x="1"/>
        <item x="2"/>
        <item x="6"/>
        <item x="10"/>
        <item x="11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4"/>
    </i>
    <i>
      <x v="12"/>
    </i>
    <i>
      <x v="11"/>
    </i>
    <i>
      <x v="2"/>
    </i>
    <i>
      <x v="1"/>
    </i>
    <i>
      <x/>
    </i>
    <i>
      <x v="8"/>
    </i>
    <i>
      <x v="7"/>
    </i>
    <i>
      <x v="10"/>
    </i>
    <i>
      <x v="3"/>
    </i>
    <i>
      <x v="9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7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73E0F5-CBA0-4635-A1BC-FAAFEFFA56A7}" name="PivotTable5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T18:V47" firstHeaderRow="0" firstDataRow="1" firstDataCol="1"/>
  <pivotFields count="5">
    <pivotField axis="axisRow" showAll="0" sortType="ascending">
      <items count="30">
        <item x="3"/>
        <item x="5"/>
        <item x="7"/>
        <item x="8"/>
        <item x="9"/>
        <item x="12"/>
        <item x="13"/>
        <item x="14"/>
        <item x="18"/>
        <item h="1" x="0"/>
        <item x="4"/>
        <item x="22"/>
        <item x="1"/>
        <item x="2"/>
        <item x="6"/>
        <item x="10"/>
        <item x="11"/>
        <item x="15"/>
        <item x="16"/>
        <item x="17"/>
        <item x="19"/>
        <item x="20"/>
        <item x="21"/>
        <item x="23"/>
        <item x="24"/>
        <item x="25"/>
        <item x="26"/>
        <item x="27"/>
        <item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9">
    <i>
      <x v="10"/>
    </i>
    <i>
      <x v="14"/>
    </i>
    <i>
      <x v="15"/>
    </i>
    <i>
      <x v="1"/>
    </i>
    <i>
      <x v="6"/>
    </i>
    <i>
      <x v="5"/>
    </i>
    <i>
      <x v="12"/>
    </i>
    <i>
      <x v="4"/>
    </i>
    <i>
      <x v="25"/>
    </i>
    <i>
      <x v="8"/>
    </i>
    <i>
      <x v="24"/>
    </i>
    <i>
      <x v="19"/>
    </i>
    <i>
      <x v="3"/>
    </i>
    <i>
      <x v="26"/>
    </i>
    <i>
      <x v="18"/>
    </i>
    <i>
      <x v="7"/>
    </i>
    <i>
      <x v="16"/>
    </i>
    <i>
      <x v="23"/>
    </i>
    <i>
      <x v="22"/>
    </i>
    <i>
      <x/>
    </i>
    <i>
      <x v="20"/>
    </i>
    <i>
      <x v="2"/>
    </i>
    <i>
      <x v="27"/>
    </i>
    <i>
      <x v="11"/>
    </i>
    <i>
      <x v="21"/>
    </i>
    <i>
      <x v="17"/>
    </i>
    <i>
      <x v="13"/>
    </i>
    <i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6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E5D960-F1CA-4FC4-8715-630D54A21F3E}" name="PivotTable1" cacheId="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6" firstHeaderRow="0" firstDataRow="1" firstDataCol="1"/>
  <pivotFields count="5">
    <pivotField axis="axisRow" showAll="0" sortType="ascending">
      <items count="30">
        <item m="1" x="11"/>
        <item m="1" x="27"/>
        <item m="1" x="21"/>
        <item m="1" x="23"/>
        <item m="1" x="22"/>
        <item m="1" x="15"/>
        <item m="1" x="17"/>
        <item m="1" x="24"/>
        <item h="1" x="0"/>
        <item m="1" x="14"/>
        <item x="1"/>
        <item m="1" x="26"/>
        <item m="1" x="20"/>
        <item m="1" x="12"/>
        <item m="1" x="16"/>
        <item m="1" x="19"/>
        <item x="4"/>
        <item m="1" x="10"/>
        <item m="1" x="18"/>
        <item x="5"/>
        <item m="1" x="13"/>
        <item m="1" x="28"/>
        <item m="1" x="25"/>
        <item x="2"/>
        <item m="1" x="9"/>
        <item x="6"/>
        <item x="7"/>
        <item x="8"/>
        <item h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8">
    <i>
      <x v="23"/>
    </i>
    <i>
      <x v="27"/>
    </i>
    <i>
      <x v="19"/>
    </i>
    <i>
      <x v="10"/>
    </i>
    <i>
      <x v="16"/>
    </i>
    <i>
      <x v="26"/>
    </i>
    <i>
      <x v="2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6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5B87B5-6866-4525-BA69-5E42C7390E8B}" name="PivotTable2" cacheId="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9" firstHeaderRow="0" firstDataRow="1" firstDataCol="1"/>
  <pivotFields count="5">
    <pivotField axis="axisRow" showAll="0" sortType="ascending">
      <items count="30">
        <item x="1"/>
        <item x="2"/>
        <item x="3"/>
        <item x="4"/>
        <item x="5"/>
        <item m="1" x="26"/>
        <item x="6"/>
        <item x="7"/>
        <item x="8"/>
        <item x="9"/>
        <item m="1" x="28"/>
        <item x="10"/>
        <item x="11"/>
        <item x="12"/>
        <item m="1" x="22"/>
        <item x="13"/>
        <item x="15"/>
        <item x="14"/>
        <item x="16"/>
        <item m="1" x="25"/>
        <item m="1" x="27"/>
        <item m="1" x="21"/>
        <item x="17"/>
        <item x="19"/>
        <item x="18"/>
        <item m="1" x="23"/>
        <item x="20"/>
        <item m="1" x="2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1">
    <i>
      <x v="16"/>
    </i>
    <i>
      <x/>
    </i>
    <i>
      <x v="7"/>
    </i>
    <i>
      <x v="12"/>
    </i>
    <i>
      <x v="26"/>
    </i>
    <i>
      <x v="4"/>
    </i>
    <i>
      <x v="8"/>
    </i>
    <i>
      <x v="23"/>
    </i>
    <i>
      <x v="3"/>
    </i>
    <i>
      <x v="6"/>
    </i>
    <i>
      <x v="15"/>
    </i>
    <i>
      <x v="18"/>
    </i>
    <i>
      <x v="2"/>
    </i>
    <i>
      <x v="1"/>
    </i>
    <i>
      <x v="13"/>
    </i>
    <i>
      <x v="11"/>
    </i>
    <i>
      <x v="24"/>
    </i>
    <i>
      <x v="9"/>
    </i>
    <i>
      <x v="22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" fld="4" baseField="0" baseItem="8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7207E8-4EF4-41F9-87D0-9A44DADFDB0E}" name="PivotTable2" cacheId="7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7" firstHeaderRow="0" firstDataRow="1" firstDataCol="1"/>
  <pivotFields count="5">
    <pivotField axis="axisRow" showAll="0" sortType="ascending">
      <items count="15">
        <item x="1"/>
        <item x="2"/>
        <item x="3"/>
        <item x="4"/>
        <item x="5"/>
        <item x="6"/>
        <item x="8"/>
        <item h="1" x="0"/>
        <item m="1" x="12"/>
        <item x="7"/>
        <item m="1" x="13"/>
        <item m="1" x="10"/>
        <item m="1" x="9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9">
    <i>
      <x v="5"/>
    </i>
    <i>
      <x v="4"/>
    </i>
    <i>
      <x v="2"/>
    </i>
    <i>
      <x v="6"/>
    </i>
    <i>
      <x/>
    </i>
    <i>
      <x v="9"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64"/>
    <dataField name="Sum of KL/KLTB21_x000a_phiên" fld="4" baseField="0" baseItem="0"/>
  </dataFields>
  <formats count="1">
    <format dxfId="46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3842B9-EDA6-4BA3-B37D-141693AEC101}" name="PivotTable6" cacheId="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64" firstHeaderRow="0" firstDataRow="1" firstDataCol="1"/>
  <pivotFields count="5">
    <pivotField axis="axisRow" showAll="0" sortType="ascending">
      <items count="57">
        <item x="1"/>
        <item x="2"/>
        <item x="3"/>
        <item x="4"/>
        <item x="5"/>
        <item x="7"/>
        <item x="8"/>
        <item x="11"/>
        <item x="12"/>
        <item x="13"/>
        <item x="15"/>
        <item x="16"/>
        <item x="17"/>
        <item x="18"/>
        <item x="19"/>
        <item x="20"/>
        <item x="22"/>
        <item x="21"/>
        <item x="26"/>
        <item x="27"/>
        <item x="28"/>
        <item x="30"/>
        <item x="34"/>
        <item x="35"/>
        <item x="37"/>
        <item x="38"/>
        <item x="40"/>
        <item x="42"/>
        <item x="43"/>
        <item x="45"/>
        <item x="44"/>
        <item h="1" x="0"/>
        <item m="1" x="54"/>
        <item x="9"/>
        <item x="10"/>
        <item x="14"/>
        <item x="32"/>
        <item x="33"/>
        <item x="36"/>
        <item m="1" x="52"/>
        <item x="6"/>
        <item m="1" x="51"/>
        <item m="1" x="50"/>
        <item m="1" x="53"/>
        <item x="23"/>
        <item x="24"/>
        <item x="25"/>
        <item x="29"/>
        <item x="31"/>
        <item m="1" x="55"/>
        <item x="39"/>
        <item m="1" x="47"/>
        <item x="41"/>
        <item m="1" x="49"/>
        <item m="1" x="48"/>
        <item m="1"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46">
    <i>
      <x v="10"/>
    </i>
    <i>
      <x v="22"/>
    </i>
    <i>
      <x v="17"/>
    </i>
    <i>
      <x v="26"/>
    </i>
    <i>
      <x v="25"/>
    </i>
    <i>
      <x v="37"/>
    </i>
    <i>
      <x v="9"/>
    </i>
    <i>
      <x v="23"/>
    </i>
    <i>
      <x/>
    </i>
    <i>
      <x v="34"/>
    </i>
    <i>
      <x v="4"/>
    </i>
    <i>
      <x v="2"/>
    </i>
    <i>
      <x v="52"/>
    </i>
    <i>
      <x v="50"/>
    </i>
    <i>
      <x v="35"/>
    </i>
    <i>
      <x v="18"/>
    </i>
    <i>
      <x v="3"/>
    </i>
    <i>
      <x v="44"/>
    </i>
    <i>
      <x v="29"/>
    </i>
    <i>
      <x v="13"/>
    </i>
    <i>
      <x v="1"/>
    </i>
    <i>
      <x v="11"/>
    </i>
    <i>
      <x v="24"/>
    </i>
    <i>
      <x v="6"/>
    </i>
    <i>
      <x v="30"/>
    </i>
    <i>
      <x v="16"/>
    </i>
    <i>
      <x v="21"/>
    </i>
    <i>
      <x v="45"/>
    </i>
    <i>
      <x v="20"/>
    </i>
    <i>
      <x v="12"/>
    </i>
    <i>
      <x v="48"/>
    </i>
    <i>
      <x v="47"/>
    </i>
    <i>
      <x v="8"/>
    </i>
    <i>
      <x v="28"/>
    </i>
    <i>
      <x v="5"/>
    </i>
    <i>
      <x v="40"/>
    </i>
    <i>
      <x v="38"/>
    </i>
    <i>
      <x v="15"/>
    </i>
    <i>
      <x v="46"/>
    </i>
    <i>
      <x v="19"/>
    </i>
    <i>
      <x v="27"/>
    </i>
    <i>
      <x v="33"/>
    </i>
    <i>
      <x v="14"/>
    </i>
    <i>
      <x v="7"/>
    </i>
    <i>
      <x v="3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5">
    <format dxfId="38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5">
      <pivotArea collapsedLevelsAreSubtotals="1" fieldPosition="0">
        <references count="2">
          <reference field="4294967294" count="1" selected="0">
            <x v="0"/>
          </reference>
          <reference field="0" count="8">
            <x v="6"/>
            <x v="7"/>
            <x v="12"/>
            <x v="13"/>
            <x v="17"/>
            <x v="19"/>
            <x v="21"/>
            <x v="25"/>
          </reference>
        </references>
      </pivotArea>
    </format>
    <format dxfId="38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83">
      <pivotArea collapsedLevelsAreSubtotals="1" fieldPosition="0">
        <references count="2">
          <reference field="4294967294" count="1" selected="0">
            <x v="1"/>
          </reference>
          <reference field="0" count="9">
            <x v="2"/>
            <x v="6"/>
            <x v="7"/>
            <x v="12"/>
            <x v="13"/>
            <x v="17"/>
            <x v="19"/>
            <x v="21"/>
            <x v="25"/>
          </reference>
        </references>
      </pivotArea>
    </format>
    <format dxfId="382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702F56-39FC-4A73-9626-67AD3644E0F1}" name="PivotTable7" cacheId="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3" firstHeaderRow="0" firstDataRow="1" firstDataCol="1"/>
  <pivotFields count="5">
    <pivotField axis="axisRow" showAll="0" sortType="ascending">
      <items count="32">
        <item m="1" x="20"/>
        <item m="1" x="25"/>
        <item x="7"/>
        <item m="1" x="16"/>
        <item m="1" x="15"/>
        <item m="1" x="19"/>
        <item x="14"/>
        <item h="1" x="0"/>
        <item m="1" x="22"/>
        <item x="5"/>
        <item m="1" x="27"/>
        <item x="6"/>
        <item m="1" x="23"/>
        <item m="1" x="29"/>
        <item m="1" x="21"/>
        <item m="1" x="30"/>
        <item m="1" x="17"/>
        <item x="11"/>
        <item x="12"/>
        <item m="1" x="28"/>
        <item x="1"/>
        <item x="2"/>
        <item x="3"/>
        <item x="4"/>
        <item m="1" x="26"/>
        <item m="1" x="24"/>
        <item x="8"/>
        <item x="9"/>
        <item x="10"/>
        <item x="13"/>
        <item m="1"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5">
    <i>
      <x v="21"/>
    </i>
    <i>
      <x v="17"/>
    </i>
    <i>
      <x v="23"/>
    </i>
    <i>
      <x v="6"/>
    </i>
    <i>
      <x v="9"/>
    </i>
    <i>
      <x v="26"/>
    </i>
    <i>
      <x v="18"/>
    </i>
    <i>
      <x v="20"/>
    </i>
    <i>
      <x v="22"/>
    </i>
    <i>
      <x v="11"/>
    </i>
    <i>
      <x v="27"/>
    </i>
    <i>
      <x v="28"/>
    </i>
    <i>
      <x v="29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30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2D60F-B036-4156-BC7A-BFAC407B314B}" name="PivotTable9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40" firstHeaderRow="0" firstDataRow="1" firstDataCol="1"/>
  <pivotFields count="5">
    <pivotField axis="axisRow" showAll="0" sortType="ascending">
      <items count="34">
        <item x="3"/>
        <item x="4"/>
        <item x="5"/>
        <item x="6"/>
        <item x="7"/>
        <item x="9"/>
        <item x="11"/>
        <item x="12"/>
        <item x="13"/>
        <item x="15"/>
        <item x="17"/>
        <item x="19"/>
        <item x="20"/>
        <item x="21"/>
        <item h="1" x="0"/>
        <item x="1"/>
        <item m="1" x="30"/>
        <item m="1" x="28"/>
        <item m="1" x="31"/>
        <item x="2"/>
        <item m="1" x="26"/>
        <item m="1" x="32"/>
        <item m="1" x="23"/>
        <item x="8"/>
        <item x="10"/>
        <item m="1" x="22"/>
        <item x="14"/>
        <item x="16"/>
        <item m="1" x="25"/>
        <item x="18"/>
        <item m="1" x="24"/>
        <item m="1" x="27"/>
        <item m="1"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2">
    <i>
      <x v="6"/>
    </i>
    <i>
      <x v="1"/>
    </i>
    <i>
      <x/>
    </i>
    <i>
      <x v="3"/>
    </i>
    <i>
      <x v="4"/>
    </i>
    <i>
      <x v="12"/>
    </i>
    <i>
      <x v="11"/>
    </i>
    <i>
      <x v="10"/>
    </i>
    <i>
      <x v="8"/>
    </i>
    <i>
      <x v="5"/>
    </i>
    <i>
      <x v="24"/>
    </i>
    <i>
      <x v="9"/>
    </i>
    <i>
      <x v="7"/>
    </i>
    <i>
      <x v="26"/>
    </i>
    <i>
      <x v="15"/>
    </i>
    <i>
      <x v="29"/>
    </i>
    <i>
      <x v="2"/>
    </i>
    <i>
      <x v="13"/>
    </i>
    <i>
      <x v="27"/>
    </i>
    <i>
      <x v="23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22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B2B1F-D790-4CCA-A8C7-96EC4384AE42}" name="PivotTable4" cacheId="8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4" firstHeaderRow="0" firstDataRow="1" firstDataCol="1"/>
  <pivotFields count="5">
    <pivotField axis="axisRow" showAll="0" sortType="ascending">
      <items count="29">
        <item x="1"/>
        <item x="2"/>
        <item x="3"/>
        <item x="6"/>
        <item x="7"/>
        <item x="9"/>
        <item x="10"/>
        <item x="12"/>
        <item x="13"/>
        <item x="14"/>
        <item x="15"/>
        <item h="1" x="0"/>
        <item m="1" x="24"/>
        <item m="1" x="17"/>
        <item m="1" x="26"/>
        <item m="1" x="23"/>
        <item m="1" x="20"/>
        <item x="4"/>
        <item x="5"/>
        <item m="1" x="21"/>
        <item m="1" x="25"/>
        <item m="1" x="18"/>
        <item m="1" x="22"/>
        <item m="1" x="19"/>
        <item m="1" x="27"/>
        <item x="8"/>
        <item m="1" x="16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6">
    <i>
      <x v="17"/>
    </i>
    <i>
      <x v="6"/>
    </i>
    <i>
      <x v="27"/>
    </i>
    <i>
      <x v="8"/>
    </i>
    <i>
      <x v="5"/>
    </i>
    <i>
      <x v="2"/>
    </i>
    <i>
      <x v="1"/>
    </i>
    <i>
      <x v="4"/>
    </i>
    <i>
      <x v="10"/>
    </i>
    <i>
      <x v="18"/>
    </i>
    <i>
      <x v="3"/>
    </i>
    <i>
      <x v="25"/>
    </i>
    <i>
      <x v="7"/>
    </i>
    <i>
      <x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4">
    <format dxfId="16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0">
      <pivotArea outline="0" collapsedLevelsAreSubtotals="1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CB759-2131-486F-AFC3-642C6BDE7B44}" name="PivotTable3" cacheId="9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0" firstHeaderRow="0" firstDataRow="1" firstDataCol="1"/>
  <pivotFields count="5">
    <pivotField axis="axisRow" showAll="0" sortType="ascending">
      <items count="13">
        <item x="1"/>
        <item x="3"/>
        <item x="2"/>
        <item x="4"/>
        <item x="5"/>
        <item x="6"/>
        <item x="7"/>
        <item x="8"/>
        <item x="9"/>
        <item x="10"/>
        <item x="11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2">
    <i>
      <x v="4"/>
    </i>
    <i>
      <x v="10"/>
    </i>
    <i>
      <x v="1"/>
    </i>
    <i>
      <x v="2"/>
    </i>
    <i>
      <x v="8"/>
    </i>
    <i>
      <x v="6"/>
    </i>
    <i>
      <x v="7"/>
    </i>
    <i>
      <x v="9"/>
    </i>
    <i>
      <x/>
    </i>
    <i>
      <x v="3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8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42090-54E0-4128-8BF4-62AE2B0A6EF7}" name="PivotTable1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49" firstHeaderRow="0" firstDataRow="1" firstDataCol="1"/>
  <pivotFields count="5">
    <pivotField axis="axisRow" showAll="0" sortType="ascending">
      <items count="48">
        <item m="1" x="36"/>
        <item m="1" x="41"/>
        <item m="1" x="31"/>
        <item x="3"/>
        <item x="5"/>
        <item x="6"/>
        <item x="7"/>
        <item m="1" x="40"/>
        <item x="8"/>
        <item m="1" x="33"/>
        <item x="9"/>
        <item x="10"/>
        <item x="11"/>
        <item m="1" x="34"/>
        <item m="1" x="43"/>
        <item x="13"/>
        <item m="1" x="32"/>
        <item x="18"/>
        <item x="19"/>
        <item x="22"/>
        <item x="23"/>
        <item x="27"/>
        <item m="1" x="45"/>
        <item x="29"/>
        <item h="1" x="0"/>
        <item m="1" x="42"/>
        <item m="1" x="44"/>
        <item m="1" x="39"/>
        <item m="1" x="37"/>
        <item m="1" x="38"/>
        <item m="1" x="46"/>
        <item m="1" x="35"/>
        <item x="30"/>
        <item x="1"/>
        <item x="2"/>
        <item x="4"/>
        <item x="12"/>
        <item x="14"/>
        <item x="15"/>
        <item x="16"/>
        <item x="17"/>
        <item x="20"/>
        <item x="21"/>
        <item x="24"/>
        <item x="25"/>
        <item x="26"/>
        <item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31">
    <i>
      <x v="21"/>
    </i>
    <i>
      <x v="44"/>
    </i>
    <i>
      <x v="42"/>
    </i>
    <i>
      <x v="10"/>
    </i>
    <i>
      <x v="32"/>
    </i>
    <i>
      <x v="11"/>
    </i>
    <i>
      <x v="19"/>
    </i>
    <i>
      <x v="12"/>
    </i>
    <i>
      <x v="17"/>
    </i>
    <i>
      <x v="46"/>
    </i>
    <i>
      <x v="3"/>
    </i>
    <i>
      <x v="20"/>
    </i>
    <i>
      <x v="38"/>
    </i>
    <i>
      <x v="34"/>
    </i>
    <i>
      <x v="35"/>
    </i>
    <i>
      <x v="8"/>
    </i>
    <i>
      <x v="4"/>
    </i>
    <i>
      <x v="40"/>
    </i>
    <i>
      <x v="41"/>
    </i>
    <i>
      <x v="36"/>
    </i>
    <i>
      <x v="39"/>
    </i>
    <i>
      <x v="43"/>
    </i>
    <i>
      <x v="6"/>
    </i>
    <i>
      <x v="37"/>
    </i>
    <i>
      <x v="33"/>
    </i>
    <i>
      <x v="45"/>
    </i>
    <i>
      <x v="23"/>
    </i>
    <i>
      <x v="15"/>
    </i>
    <i>
      <x v="18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64"/>
    <dataField name="Sum of KL/KLTB21_x000a_phiên" fld="4" baseField="0" baseItem="0" numFmtId="2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D991F1-0516-496F-9996-5C93ADC1BAAC}" name="Table1" displayName="Table1" ref="A10:I43" headerRowCount="0" totalsRowShown="0" headerRowDxfId="1456" dataDxfId="1454" headerRowBorderDxfId="1455" tableBorderDxfId="1453">
  <tableColumns count="9">
    <tableColumn id="1" xr3:uid="{2B26B0B1-2224-4668-94A7-CF551E775D84}" name="TÊN CHỈ TIÊU" headerRowDxfId="1452" dataDxfId="1451"/>
    <tableColumn id="2" xr3:uid="{4A32C32A-6613-4B1D-B414-FC93553E83CA}" name="0" headerRowDxfId="1450" dataDxfId="1449"/>
    <tableColumn id="3" xr3:uid="{E2A9791C-173C-49F5-A63A-64C30A16E410}" name="2022-06-30" headerRowDxfId="1448" dataDxfId="1447"/>
    <tableColumn id="4" xr3:uid="{59125F14-554F-4644-93F2-1A7985ED2111}" name="2022-09-30" headerRowDxfId="1446" dataDxfId="1445"/>
    <tableColumn id="5" xr3:uid="{5E87E5E7-6B4C-4CE4-8F69-FD6E8CDF12F7}" name="2022-12-31" headerRowDxfId="1444" dataDxfId="1443"/>
    <tableColumn id="6" xr3:uid="{49588834-0CA8-42F4-9BCA-581D953D05F4}" name="2023-03-31" headerRowDxfId="1442" dataDxfId="1441"/>
    <tableColumn id="7" xr3:uid="{C1FD81CC-6F29-49C3-BDBE-AEB762FBBD06}" name="2023-06-30" headerRowDxfId="1440" dataDxfId="1439"/>
    <tableColumn id="8" xr3:uid="{4D2D4493-8A4B-404F-A5FB-92D33AB98695}" name="2023-09-30" headerRowDxfId="1438" dataDxfId="1437"/>
    <tableColumn id="9" xr3:uid="{B1C78639-F063-4E20-B67B-AD86937B942E}" name="2023-12-31" headerRowDxfId="1436" dataDxfId="1435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0ADE-C853-4670-B388-E66E22C5494D}">
  <sheetPr codeName="Sheet1">
    <tabColor theme="9"/>
  </sheetPr>
  <dimension ref="A1:U43"/>
  <sheetViews>
    <sheetView zoomScaleNormal="100" zoomScaleSheetLayoutView="100" workbookViewId="0">
      <selection activeCell="C5" sqref="C5"/>
    </sheetView>
  </sheetViews>
  <sheetFormatPr defaultColWidth="9" defaultRowHeight="15" x14ac:dyDescent="0.25"/>
  <cols>
    <col min="1" max="1" width="44.6640625" style="29" customWidth="1"/>
    <col min="2" max="2" width="16.88671875" style="26" bestFit="1" customWidth="1"/>
    <col min="3" max="3" width="16.88671875" style="26" customWidth="1"/>
    <col min="4" max="8" width="16.88671875" style="26" bestFit="1" customWidth="1"/>
    <col min="9" max="9" width="16.88671875" style="26" customWidth="1"/>
    <col min="10" max="15" width="8.88671875" style="50" customWidth="1"/>
    <col min="16" max="17" width="9" style="50"/>
    <col min="18" max="18" width="14.88671875" style="50" bestFit="1" customWidth="1"/>
    <col min="19" max="19" width="16" style="50" bestFit="1" customWidth="1"/>
    <col min="20" max="20" width="15" style="50" bestFit="1" customWidth="1"/>
    <col min="21" max="21" width="15.33203125" style="50" bestFit="1" customWidth="1"/>
    <col min="22" max="16384" width="9" style="25"/>
  </cols>
  <sheetData>
    <row r="1" spans="1:21" ht="15.75" x14ac:dyDescent="0.25">
      <c r="A1" s="244" t="str">
        <f>VLOOKUP(E1,LIST_COMPANY!A2:D1609,2,FALSE)</f>
        <v>CÔNG TY CỔ PHẦN NHỰA AN PHÁT XANH</v>
      </c>
      <c r="B1" s="243"/>
      <c r="C1" s="243"/>
      <c r="D1" s="148" t="s">
        <v>3016</v>
      </c>
      <c r="E1" s="60" t="s">
        <v>140</v>
      </c>
      <c r="F1" s="57"/>
      <c r="G1" s="58"/>
      <c r="H1" s="163">
        <f ca="1">I1-9</f>
        <v>45711</v>
      </c>
      <c r="I1" s="61">
        <f ca="1">TODAY()</f>
        <v>45720</v>
      </c>
      <c r="K1" t="s">
        <v>3206</v>
      </c>
      <c r="L1" t="s">
        <v>3207</v>
      </c>
      <c r="M1" s="50" t="s">
        <v>3208</v>
      </c>
      <c r="N1" t="s">
        <v>3209</v>
      </c>
      <c r="O1"/>
      <c r="P1"/>
      <c r="Q1"/>
      <c r="R1"/>
      <c r="S1"/>
      <c r="T1"/>
      <c r="U1"/>
    </row>
    <row r="2" spans="1:21" ht="15.75" x14ac:dyDescent="0.25">
      <c r="A2" s="53" t="s">
        <v>3012</v>
      </c>
      <c r="B2" s="243" t="str">
        <f>VLOOKUP(E1,LIST_COMPANY!A:D,3,FALSE)</f>
        <v>NHỰA, CAO SU &amp; SỢI</v>
      </c>
      <c r="C2" s="243"/>
      <c r="D2" s="63" t="s">
        <v>3191</v>
      </c>
      <c r="E2" s="56">
        <v>2024</v>
      </c>
      <c r="F2" s="59"/>
      <c r="G2" s="59"/>
      <c r="H2" s="55"/>
      <c r="I2" s="62"/>
      <c r="K2" t="s">
        <v>1003</v>
      </c>
      <c r="L2"/>
      <c r="M2" s="50">
        <v>16</v>
      </c>
      <c r="N2"/>
      <c r="O2"/>
      <c r="P2"/>
      <c r="Q2"/>
      <c r="R2"/>
      <c r="S2"/>
      <c r="T2"/>
      <c r="U2"/>
    </row>
    <row r="3" spans="1:21" s="50" customFormat="1" ht="15.75" x14ac:dyDescent="0.25">
      <c r="A3" s="75" t="s">
        <v>3013</v>
      </c>
      <c r="B3" s="111">
        <f>AVERAGE(B11:I11)</f>
        <v>0.12700048302065792</v>
      </c>
      <c r="C3" s="136" t="s">
        <v>3107</v>
      </c>
      <c r="D3" s="71" t="s">
        <v>3022</v>
      </c>
      <c r="E3" s="72"/>
      <c r="F3" s="70">
        <f>VLOOKUP(D3,INFO!$P:$Q,2,FALSE)</f>
        <v>12400</v>
      </c>
      <c r="G3" s="81" t="s">
        <v>3029</v>
      </c>
      <c r="H3" s="83" t="s">
        <v>3024</v>
      </c>
      <c r="I3" s="84" t="s">
        <v>3026</v>
      </c>
      <c r="K3" t="s">
        <v>530</v>
      </c>
      <c r="L3"/>
      <c r="M3" s="50">
        <v>44</v>
      </c>
      <c r="N3"/>
      <c r="O3"/>
      <c r="P3"/>
      <c r="Q3"/>
      <c r="R3"/>
      <c r="S3"/>
      <c r="T3"/>
      <c r="U3"/>
    </row>
    <row r="4" spans="1:21" s="50" customFormat="1" ht="15.75" x14ac:dyDescent="0.25">
      <c r="A4" s="76" t="s">
        <v>3014</v>
      </c>
      <c r="B4" s="111">
        <f>AVERAGE(B12:I12)</f>
        <v>5.7954866247076499E-2</v>
      </c>
      <c r="C4" s="135">
        <f ca="1">'Tổng Quan'!AC7+0.2</f>
        <v>0.2586</v>
      </c>
      <c r="D4" s="71" t="s">
        <v>3023</v>
      </c>
      <c r="E4" s="72"/>
      <c r="F4" s="70">
        <f>VLOOKUP(D4,INFO!$P:$Q,2,FALSE)</f>
        <v>8160</v>
      </c>
      <c r="G4" s="82">
        <f ca="1">F5</f>
        <v>8700</v>
      </c>
      <c r="H4" s="78">
        <v>0.2</v>
      </c>
      <c r="I4" s="80">
        <v>-0.02</v>
      </c>
      <c r="K4" t="s">
        <v>1634</v>
      </c>
      <c r="L4"/>
      <c r="M4" s="50">
        <v>20</v>
      </c>
      <c r="N4"/>
      <c r="O4"/>
      <c r="P4"/>
      <c r="Q4"/>
      <c r="R4"/>
      <c r="S4"/>
      <c r="T4"/>
      <c r="U4"/>
    </row>
    <row r="5" spans="1:21" s="50" customFormat="1" ht="15.75" x14ac:dyDescent="0.25">
      <c r="A5" s="75" t="s">
        <v>3015</v>
      </c>
      <c r="B5" s="64">
        <f>AVERAGE(B10:I10)</f>
        <v>755.50086877297178</v>
      </c>
      <c r="C5" s="136" t="s">
        <v>3106</v>
      </c>
      <c r="D5" s="71" t="s">
        <v>3019</v>
      </c>
      <c r="E5" s="72"/>
      <c r="F5" s="70">
        <f ca="1">INFO!$G$2*1000</f>
        <v>8700</v>
      </c>
      <c r="G5" s="164" t="s">
        <v>3143</v>
      </c>
      <c r="H5" s="77" t="s">
        <v>3025</v>
      </c>
      <c r="I5" s="79" t="s">
        <v>3027</v>
      </c>
      <c r="K5" t="s">
        <v>106</v>
      </c>
      <c r="L5"/>
      <c r="M5" s="50">
        <v>22</v>
      </c>
      <c r="N5"/>
      <c r="O5"/>
      <c r="P5"/>
      <c r="Q5"/>
      <c r="R5"/>
      <c r="S5"/>
      <c r="T5"/>
      <c r="U5"/>
    </row>
    <row r="6" spans="1:21" s="50" customFormat="1" ht="15.75" x14ac:dyDescent="0.25">
      <c r="A6" s="76" t="s">
        <v>3017</v>
      </c>
      <c r="B6" s="112">
        <f ca="1">F5/B5</f>
        <v>11.515539372085557</v>
      </c>
      <c r="C6" s="214">
        <f ca="1">(B10*(1+C4)^(1)+C10*(1+C4)^(2)+D10*(1+C4)^(3)+E10*(1+C4)^(4)+F10*(1+C4)^(5)+G10*(1+C4)^(6)+H10*(1+C4)^(7)+I10*(1+C4)^(8))</f>
        <v>19218.011464052215</v>
      </c>
      <c r="D6" s="71" t="s">
        <v>3020</v>
      </c>
      <c r="E6" s="72"/>
      <c r="F6" s="70">
        <f>VLOOKUP(D6,INFO!$P:$Q,2,FALSE)</f>
        <v>13926.463795167752</v>
      </c>
      <c r="G6" s="165">
        <v>5000</v>
      </c>
      <c r="H6" s="104">
        <f ca="1">G4*(1+H4)-B5</f>
        <v>9684.4991312270286</v>
      </c>
      <c r="I6" s="104">
        <f ca="1">G4*(1+I4)-B5</f>
        <v>7770.4991312270286</v>
      </c>
      <c r="K6"/>
      <c r="L6"/>
      <c r="N6"/>
      <c r="O6"/>
      <c r="P6"/>
      <c r="Q6"/>
      <c r="R6"/>
      <c r="S6"/>
      <c r="T6"/>
      <c r="U6"/>
    </row>
    <row r="7" spans="1:21" s="50" customFormat="1" x14ac:dyDescent="0.25">
      <c r="A7" s="76" t="s">
        <v>3018</v>
      </c>
      <c r="B7" s="112">
        <f ca="1">F5/F6</f>
        <v>0.6247099140141199</v>
      </c>
      <c r="C7" s="138"/>
      <c r="D7" s="71" t="s">
        <v>3021</v>
      </c>
      <c r="E7" s="72"/>
      <c r="F7" s="70">
        <f>VLOOKUP(D7,INFO!P:Q,2,FALSE)</f>
        <v>382274496</v>
      </c>
      <c r="G7" s="82">
        <f ca="1">G6*G4</f>
        <v>43500000</v>
      </c>
      <c r="H7" s="166">
        <f ca="1">(H6-G4)*G6</f>
        <v>4922495.6561351428</v>
      </c>
      <c r="I7" s="166">
        <f ca="1">(G4-I6)*G6</f>
        <v>4647504.3438648572</v>
      </c>
      <c r="J7" s="221"/>
    </row>
    <row r="8" spans="1:21" s="36" customFormat="1" ht="16.5" x14ac:dyDescent="0.25">
      <c r="A8" s="48" t="s">
        <v>112</v>
      </c>
      <c r="B8" s="49">
        <v>2</v>
      </c>
      <c r="C8" s="49">
        <v>3</v>
      </c>
      <c r="D8" s="49">
        <v>4</v>
      </c>
      <c r="E8" s="49">
        <v>5</v>
      </c>
      <c r="F8" s="49">
        <v>6</v>
      </c>
      <c r="G8" s="49">
        <v>7</v>
      </c>
      <c r="H8" s="73">
        <v>8</v>
      </c>
      <c r="I8" s="74">
        <v>9</v>
      </c>
      <c r="K8" s="50"/>
      <c r="L8" s="204"/>
      <c r="M8" s="50"/>
      <c r="N8" s="50"/>
      <c r="O8" s="50"/>
      <c r="P8" s="50"/>
      <c r="Q8" s="50"/>
      <c r="R8" s="50"/>
      <c r="S8" s="50"/>
      <c r="T8" s="50"/>
      <c r="U8" s="50"/>
    </row>
    <row r="9" spans="1:21" ht="15.75" x14ac:dyDescent="0.25">
      <c r="A9" s="133" t="s">
        <v>3105</v>
      </c>
      <c r="B9" s="134" t="str">
        <f>BS_BCTC!C3</f>
        <v>31-12-2017</v>
      </c>
      <c r="C9" s="134" t="str">
        <f>BS_BCTC!D3</f>
        <v>31-12-2018</v>
      </c>
      <c r="D9" s="134" t="str">
        <f>BS_BCTC!E3</f>
        <v>31-12-2019</v>
      </c>
      <c r="E9" s="134" t="str">
        <f>BS_BCTC!F3</f>
        <v>31-12-2020</v>
      </c>
      <c r="F9" s="134" t="str">
        <f>BS_BCTC!G3</f>
        <v>31-12-2021</v>
      </c>
      <c r="G9" s="134" t="str">
        <f>BS_BCTC!H3</f>
        <v>31-12-2022</v>
      </c>
      <c r="H9" s="134" t="str">
        <f>BS_BCTC!I3</f>
        <v>31-12-2023</v>
      </c>
      <c r="I9" s="134" t="str">
        <f>BS_BCTC!J3</f>
        <v>31-12-2024</v>
      </c>
    </row>
    <row r="10" spans="1:21" s="52" customFormat="1" x14ac:dyDescent="0.25">
      <c r="A10" s="51" t="s">
        <v>3015</v>
      </c>
      <c r="B10" s="65">
        <f>IFERROR(B28/$F$7,"-")</f>
        <v>688.9397768141979</v>
      </c>
      <c r="C10" s="65">
        <f t="shared" ref="C10:I10" si="0">IFERROR(C28/$F$7,"-")</f>
        <v>554.96486368005048</v>
      </c>
      <c r="D10" s="65">
        <f t="shared" si="0"/>
        <v>1284.4928913829501</v>
      </c>
      <c r="E10" s="65">
        <f t="shared" si="0"/>
        <v>740.7577896041488</v>
      </c>
      <c r="F10" s="65">
        <f t="shared" si="0"/>
        <v>847.93264476372497</v>
      </c>
      <c r="G10" s="65">
        <f t="shared" si="0"/>
        <v>306.8247271641161</v>
      </c>
      <c r="H10" s="65">
        <f t="shared" si="0"/>
        <v>808.82671056873221</v>
      </c>
      <c r="I10" s="65">
        <f t="shared" si="0"/>
        <v>811.26754620585518</v>
      </c>
      <c r="J10" s="50"/>
      <c r="K10" s="50"/>
      <c r="L10" s="50"/>
      <c r="M10" s="50"/>
      <c r="N10" s="50"/>
      <c r="O10" s="25"/>
      <c r="P10" s="25"/>
      <c r="Q10" s="25"/>
      <c r="R10" s="25"/>
      <c r="S10" s="25"/>
      <c r="T10" s="25"/>
      <c r="U10" s="25"/>
    </row>
    <row r="11" spans="1:21" s="52" customFormat="1" x14ac:dyDescent="0.25">
      <c r="A11" s="54" t="s">
        <v>3013</v>
      </c>
      <c r="B11" s="66">
        <f>IFERROR(B26/B18,"-")</f>
        <v>0.17463062388706257</v>
      </c>
      <c r="C11" s="67">
        <f t="shared" ref="C11:I11" si="1">IFERROR(C26/C18,"-")</f>
        <v>8.9207322003078293E-2</v>
      </c>
      <c r="D11" s="67">
        <f t="shared" si="1"/>
        <v>0.18514340795722092</v>
      </c>
      <c r="E11" s="67">
        <f t="shared" si="1"/>
        <v>0.14133251640296302</v>
      </c>
      <c r="F11" s="67">
        <f t="shared" si="1"/>
        <v>0.12952770157633059</v>
      </c>
      <c r="G11" s="67">
        <f t="shared" si="1"/>
        <v>0.1169447977895072</v>
      </c>
      <c r="H11" s="67">
        <f t="shared" si="1"/>
        <v>9.4338477717511124E-2</v>
      </c>
      <c r="I11" s="68">
        <f t="shared" si="1"/>
        <v>8.4879016831589646E-2</v>
      </c>
      <c r="J11" s="50"/>
      <c r="K11" s="50"/>
      <c r="L11" s="50"/>
      <c r="M11" s="50"/>
      <c r="N11" s="50"/>
      <c r="O11" s="25"/>
      <c r="P11" s="25"/>
      <c r="Q11" s="25"/>
      <c r="R11" s="25"/>
      <c r="S11" s="25"/>
      <c r="T11" s="25"/>
      <c r="U11" s="25"/>
    </row>
    <row r="12" spans="1:21" x14ac:dyDescent="0.25">
      <c r="A12" s="140" t="s">
        <v>3014</v>
      </c>
      <c r="B12" s="141">
        <f>IFERROR(B26/B16,"-")</f>
        <v>6.2010452725532732E-2</v>
      </c>
      <c r="C12" s="142">
        <f t="shared" ref="C12:I12" si="2">IFERROR(C26/C16,"-")</f>
        <v>3.5310698310469658E-2</v>
      </c>
      <c r="D12" s="142">
        <f t="shared" si="2"/>
        <v>7.5454065943189347E-2</v>
      </c>
      <c r="E12" s="142">
        <f t="shared" si="2"/>
        <v>6.6365881443513783E-2</v>
      </c>
      <c r="F12" s="142">
        <f t="shared" si="2"/>
        <v>7.0582111988102089E-2</v>
      </c>
      <c r="G12" s="142">
        <f t="shared" si="2"/>
        <v>6.6848760261867535E-2</v>
      </c>
      <c r="H12" s="142">
        <f t="shared" si="2"/>
        <v>4.8571256757555636E-2</v>
      </c>
      <c r="I12" s="143">
        <f t="shared" si="2"/>
        <v>3.8495702546381204E-2</v>
      </c>
      <c r="O12" s="25"/>
      <c r="P12" s="25"/>
      <c r="Q12" s="25"/>
      <c r="R12" s="25"/>
      <c r="S12" s="25"/>
      <c r="T12" s="25"/>
      <c r="U12" s="25"/>
    </row>
    <row r="13" spans="1:21" x14ac:dyDescent="0.25">
      <c r="A13" s="147" t="s">
        <v>3110</v>
      </c>
      <c r="B13" s="144">
        <f>IFERROR(B20/B18,"-")</f>
        <v>1.8161481848875232</v>
      </c>
      <c r="C13" s="145">
        <f t="shared" ref="C13:I13" si="3">IFERROR(C20/C18,"-")</f>
        <v>1.5263539457283468</v>
      </c>
      <c r="D13" s="145">
        <f t="shared" si="3"/>
        <v>1.4537234096386344</v>
      </c>
      <c r="E13" s="145">
        <f t="shared" si="3"/>
        <v>1.1295960112163335</v>
      </c>
      <c r="F13" s="145">
        <f t="shared" si="3"/>
        <v>0.83513496448172109</v>
      </c>
      <c r="G13" s="145">
        <f t="shared" si="3"/>
        <v>0.74939366611135028</v>
      </c>
      <c r="H13" s="145">
        <f t="shared" si="3"/>
        <v>0.94226964701373606</v>
      </c>
      <c r="I13" s="146">
        <f t="shared" si="3"/>
        <v>1.2048959031030524</v>
      </c>
      <c r="O13" s="25"/>
      <c r="P13" s="25"/>
      <c r="Q13" s="25"/>
      <c r="R13" s="25"/>
      <c r="S13" s="25"/>
      <c r="T13" s="25"/>
      <c r="U13" s="25"/>
    </row>
    <row r="14" spans="1:21" x14ac:dyDescent="0.25">
      <c r="A14" s="44" t="s">
        <v>104</v>
      </c>
      <c r="B14" s="32">
        <f>IFERROR(VLOOKUP($A$14,BS_BCTC!$B:$J,CANSLIM!B8,FALSE), "-")</f>
        <v>2142716548893</v>
      </c>
      <c r="C14" s="33">
        <f>IFERROR(VLOOKUP($A$14,BS_BCTC!$B:$J,CANSLIM!C8,FALSE), "-")</f>
        <v>3989369447153</v>
      </c>
      <c r="D14" s="33">
        <f>IFERROR(VLOOKUP($A$14,BS_BCTC!$B:$J,CANSLIM!D8,FALSE), "-")</f>
        <v>4971363590401</v>
      </c>
      <c r="E14" s="33">
        <f>IFERROR(VLOOKUP($A$14,BS_BCTC!$B:$J,CANSLIM!E8,FALSE), "-")</f>
        <v>4496050828524</v>
      </c>
      <c r="F14" s="33">
        <f>IFERROR(VLOOKUP($A$14,BS_BCTC!$B:$J,CANSLIM!F8,FALSE), "-")</f>
        <v>5354610509760</v>
      </c>
      <c r="G14" s="33">
        <f>IFERROR(VLOOKUP($A$14,BS_BCTC!$B:$J,CANSLIM!G8,FALSE), "-")</f>
        <v>5658759199548</v>
      </c>
      <c r="H14" s="33">
        <f>IFERROR(VLOOKUP($A$14,BS_BCTC!$B:$J,CANSLIM!H8,FALSE), "-")</f>
        <v>5681580248153</v>
      </c>
      <c r="I14" s="46">
        <f>IFERROR(VLOOKUP($A$14,BS_BCTC!$B:$J,CANSLIM!I8,FALSE), "-")</f>
        <v>6441856215121</v>
      </c>
    </row>
    <row r="15" spans="1:21" x14ac:dyDescent="0.25">
      <c r="A15" s="42"/>
      <c r="B15" s="35"/>
      <c r="C15" s="34">
        <f t="shared" ref="C15:E43" si="4">IFERROR(IF((C14-B14)/B14=-100%,"-",(C14-B14)/B14),"-")</f>
        <v>0.86182789749490829</v>
      </c>
      <c r="D15" s="34">
        <f t="shared" si="4"/>
        <v>0.24615272068842778</v>
      </c>
      <c r="E15" s="34">
        <f t="shared" si="4"/>
        <v>-9.561013859351622E-2</v>
      </c>
      <c r="F15" s="34">
        <f>IFERROR(IF((F14-E14)/E14=-100%,"-",(F14-E14)/E14),"-")</f>
        <v>0.19095862435297578</v>
      </c>
      <c r="G15" s="34">
        <f>IFERROR(IF((G14-F14)/F14=-100%,"-",(G14-F14)/F14),"-")</f>
        <v>5.6801272330381375E-2</v>
      </c>
      <c r="H15" s="34">
        <f t="shared" ref="H15:I15" si="5">IFERROR(IF((H14-G14)/G14=-100%,"-",(H14-G14)/G14),"-")</f>
        <v>4.0328714829962822E-3</v>
      </c>
      <c r="I15" s="34">
        <f t="shared" si="5"/>
        <v>0.13381417383221064</v>
      </c>
    </row>
    <row r="16" spans="1:21" s="36" customFormat="1" x14ac:dyDescent="0.25">
      <c r="A16" s="41" t="s">
        <v>107</v>
      </c>
      <c r="B16" s="30">
        <f>IFERROR(VLOOKUP($A$16,BS_BCTC!$B:$J,CANSLIM!B8,FALSE), "-")</f>
        <v>4576157128799</v>
      </c>
      <c r="C16" s="31">
        <f>IFERROR(VLOOKUP($A$16,BS_BCTC!$B:$J,CANSLIM!C8,FALSE), "-")</f>
        <v>7529166722403</v>
      </c>
      <c r="D16" s="31">
        <f>IFERROR(VLOOKUP($A$16,BS_BCTC!$B:$J,CANSLIM!D8,FALSE), "-")</f>
        <v>7987454158531</v>
      </c>
      <c r="E16" s="31">
        <f>IFERROR(VLOOKUP($A$16,BS_BCTC!$B:$J,CANSLIM!E8,FALSE), "-")</f>
        <v>8569414400908</v>
      </c>
      <c r="F16" s="31">
        <f>IFERROR(VLOOKUP($A$16,BS_BCTC!$B:$J,CANSLIM!F8,FALSE), "-")</f>
        <v>10009526635291</v>
      </c>
      <c r="G16" s="31">
        <f>IFERROR(VLOOKUP($A$16,BS_BCTC!$B:$J,CANSLIM!G8,FALSE), "-")</f>
        <v>10795832681712</v>
      </c>
      <c r="H16" s="31">
        <f>IFERROR(VLOOKUP($A$16,BS_BCTC!$B:$J,CANSLIM!H8,FALSE), "-")</f>
        <v>11583445505916</v>
      </c>
      <c r="I16" s="45">
        <f>IFERROR(VLOOKUP($A$16,BS_BCTC!$B:$J,CANSLIM!I8,FALSE), "-")</f>
        <v>13747883594730</v>
      </c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</row>
    <row r="17" spans="1:21" x14ac:dyDescent="0.25">
      <c r="A17" s="42"/>
      <c r="B17" s="35"/>
      <c r="C17" s="34">
        <f t="shared" si="4"/>
        <v>0.64530336491723772</v>
      </c>
      <c r="D17" s="34">
        <f t="shared" ref="D17" si="6">IFERROR(IF((D16-C16)/C16=-100%,"-",(D16-C16)/C16),"-")</f>
        <v>6.0868281049530737E-2</v>
      </c>
      <c r="E17" s="34">
        <f t="shared" ref="E17" si="7">IFERROR(IF((E16-D16)/D16=-100%,"-",(E16-D16)/D16),"-")</f>
        <v>7.2859290435543525E-2</v>
      </c>
      <c r="F17" s="34">
        <f t="shared" ref="F17" si="8">IFERROR(IF((F16-E16)/E16=-100%,"-",(F16-E16)/E16),"-")</f>
        <v>0.1680525841101124</v>
      </c>
      <c r="G17" s="34">
        <f t="shared" ref="G17" si="9">IFERROR(IF((G16-F16)/F16=-100%,"-",(G16-F16)/F16),"-")</f>
        <v>7.855576742747139E-2</v>
      </c>
      <c r="H17" s="34">
        <f t="shared" ref="H17" si="10">IFERROR(IF((H16-G16)/G16=-100%,"-",(H16-G16)/G16),"-")</f>
        <v>7.2955264075017193E-2</v>
      </c>
      <c r="I17" s="34">
        <f t="shared" ref="I17" si="11">IFERROR(IF((I16-H16)/H16=-100%,"-",(I16-H16)/H16),"-")</f>
        <v>0.18685615499365529</v>
      </c>
    </row>
    <row r="18" spans="1:21" s="36" customFormat="1" x14ac:dyDescent="0.25">
      <c r="A18" s="41" t="s">
        <v>108</v>
      </c>
      <c r="B18" s="30">
        <f>VLOOKUP($A$18,BS_BCTC!$B:$J,CANSLIM!B8,FALSE)</f>
        <v>1624970288622</v>
      </c>
      <c r="C18" s="31">
        <f>VLOOKUP($A$18,BS_BCTC!$B:$J,CANSLIM!C8,FALSE)</f>
        <v>2980250148691</v>
      </c>
      <c r="D18" s="31">
        <f>VLOOKUP($A$18,BS_BCTC!$B:$J,CANSLIM!D8,FALSE)</f>
        <v>3255238193170</v>
      </c>
      <c r="E18" s="31">
        <f>VLOOKUP($A$18,BS_BCTC!$B:$J,CANSLIM!E8,FALSE)</f>
        <v>4023962458501</v>
      </c>
      <c r="F18" s="31">
        <f>VLOOKUP($A$18,BS_BCTC!$B:$J,CANSLIM!F8,FALSE)</f>
        <v>5454381737050</v>
      </c>
      <c r="G18" s="31">
        <f>VLOOKUP($A$18,BS_BCTC!$B:$J,CANSLIM!G8,FALSE)</f>
        <v>6171185417465</v>
      </c>
      <c r="H18" s="31">
        <f>VLOOKUP($A$18,BS_BCTC!$B:$J,CANSLIM!H8,FALSE)</f>
        <v>5963870940230</v>
      </c>
      <c r="I18" s="45">
        <f>VLOOKUP($A$18,BS_BCTC!$B:$J,CANSLIM!I8,FALSE)</f>
        <v>6235162202162</v>
      </c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</row>
    <row r="19" spans="1:21" x14ac:dyDescent="0.25">
      <c r="A19" s="43"/>
      <c r="B19" s="37"/>
      <c r="C19" s="34">
        <f t="shared" si="4"/>
        <v>0.83403362483525678</v>
      </c>
      <c r="D19" s="34">
        <f t="shared" ref="D19" si="12">IFERROR(IF((D18-C18)/C18=-100%,"-",(D18-C18)/C18),"-")</f>
        <v>9.2270121888856069E-2</v>
      </c>
      <c r="E19" s="34">
        <f t="shared" ref="E19" si="13">IFERROR(IF((E18-D18)/D18=-100%,"-",(E18-D18)/D18),"-")</f>
        <v>0.2361499281201308</v>
      </c>
      <c r="F19" s="34">
        <f t="shared" ref="F19" si="14">IFERROR(IF((F18-E18)/E18=-100%,"-",(F18-E18)/E18),"-")</f>
        <v>0.35547530408170297</v>
      </c>
      <c r="G19" s="34">
        <f t="shared" ref="G19" si="15">IFERROR(IF((G18-F18)/F18=-100%,"-",(G18-F18)/F18),"-")</f>
        <v>0.13141795256939295</v>
      </c>
      <c r="H19" s="34">
        <f t="shared" ref="H19" si="16">IFERROR(IF((H18-G18)/G18=-100%,"-",(H18-G18)/G18),"-")</f>
        <v>-3.3593947225808787E-2</v>
      </c>
      <c r="I19" s="34">
        <f t="shared" ref="I19" si="17">IFERROR(IF((I18-H18)/H18=-100%,"-",(I18-H18)/H18),"-")</f>
        <v>4.5489123532498427E-2</v>
      </c>
    </row>
    <row r="20" spans="1:21" s="36" customFormat="1" x14ac:dyDescent="0.25">
      <c r="A20" s="41" t="s">
        <v>105</v>
      </c>
      <c r="B20" s="30">
        <f>IFERROR(VLOOKUP($A$20,BS_BCTC!$B:$J,CANSLIM!B8,FALSE), "-")</f>
        <v>2951186840177</v>
      </c>
      <c r="C20" s="31">
        <f>IFERROR(VLOOKUP($A$20,BS_BCTC!$B:$J,CANSLIM!C8,FALSE), "-")</f>
        <v>4548916573712</v>
      </c>
      <c r="D20" s="31">
        <f>IFERROR(VLOOKUP($A$20,BS_BCTC!$B:$J,CANSLIM!D8,FALSE), "-")</f>
        <v>4732215965361</v>
      </c>
      <c r="E20" s="31">
        <f>IFERROR(VLOOKUP($A$20,BS_BCTC!$B:$J,CANSLIM!E8,FALSE), "-")</f>
        <v>4545451942407</v>
      </c>
      <c r="F20" s="31">
        <f>IFERROR(VLOOKUP($A$20,BS_BCTC!$B:$J,CANSLIM!F8,FALSE), "-")</f>
        <v>4555144898241</v>
      </c>
      <c r="G20" s="31">
        <f>IFERROR(VLOOKUP($A$20,BS_BCTC!$B:$J,CANSLIM!G8,FALSE), "-")</f>
        <v>4624647264247</v>
      </c>
      <c r="H20" s="31">
        <f>IFERROR(VLOOKUP($A$20,BS_BCTC!$B:$J,CANSLIM!H8,FALSE), "-")</f>
        <v>5619574565686</v>
      </c>
      <c r="I20" s="45">
        <f>IFERROR(VLOOKUP($A$20,BS_BCTC!$B:$J,CANSLIM!I8,FALSE), "-")</f>
        <v>7512721392568</v>
      </c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</row>
    <row r="21" spans="1:21" x14ac:dyDescent="0.25">
      <c r="A21" s="43"/>
      <c r="B21" s="37"/>
      <c r="C21" s="34">
        <f t="shared" si="4"/>
        <v>0.54138548999465408</v>
      </c>
      <c r="D21" s="34">
        <f t="shared" ref="D21" si="18">IFERROR(IF((D20-C20)/C20=-100%,"-",(D20-C20)/C20),"-")</f>
        <v>4.0295175494815531E-2</v>
      </c>
      <c r="E21" s="34">
        <f t="shared" ref="E21" si="19">IFERROR(IF((E20-D20)/D20=-100%,"-",(E20-D20)/D20),"-")</f>
        <v>-3.9466504555388054E-2</v>
      </c>
      <c r="F21" s="34">
        <f t="shared" ref="F21" si="20">IFERROR(IF((F20-E20)/E20=-100%,"-",(F20-E20)/E20),"-")</f>
        <v>2.1324515046719839E-3</v>
      </c>
      <c r="G21" s="34">
        <f t="shared" ref="G21" si="21">IFERROR(IF((G20-F20)/F20=-100%,"-",(G20-F20)/F20),"-")</f>
        <v>1.5257992349011512E-2</v>
      </c>
      <c r="H21" s="34">
        <f t="shared" ref="H21" si="22">IFERROR(IF((H20-G20)/G20=-100%,"-",(H20-G20)/G20),"-")</f>
        <v>0.2151358243321066</v>
      </c>
      <c r="I21" s="34">
        <f t="shared" ref="I21" si="23">IFERROR(IF((I20-H20)/H20=-100%,"-",(I20-H20)/H20),"-")</f>
        <v>0.33688436815873041</v>
      </c>
    </row>
    <row r="22" spans="1:21" s="36" customFormat="1" x14ac:dyDescent="0.25">
      <c r="A22" s="41" t="s">
        <v>113</v>
      </c>
      <c r="B22" s="30">
        <f>IFERROR(VLOOKUP($A$22,BS_BCTC!$B:$J,CANSLIM!B8,FALSE), "-")</f>
        <v>1417686392234</v>
      </c>
      <c r="C22" s="31">
        <f>IFERROR(VLOOKUP($A$22,BS_BCTC!$B:$J,CANSLIM!C8,FALSE), "-")</f>
        <v>2492406692801</v>
      </c>
      <c r="D22" s="31">
        <f>IFERROR(VLOOKUP($A$22,BS_BCTC!$B:$J,CANSLIM!D8,FALSE), "-")</f>
        <v>2400086574603</v>
      </c>
      <c r="E22" s="31">
        <f>IFERROR(VLOOKUP($A$22,BS_BCTC!$B:$J,CANSLIM!E8,FALSE), "-")</f>
        <v>2943359269628</v>
      </c>
      <c r="F22" s="31">
        <f>IFERROR(VLOOKUP($A$22,BS_BCTC!$B:$J,CANSLIM!F8,FALSE), "-")</f>
        <v>2183181098128</v>
      </c>
      <c r="G22" s="31">
        <f>IFERROR(VLOOKUP($A$22,BS_BCTC!$B:$J,CANSLIM!G8,FALSE), "-")</f>
        <v>1887821444978</v>
      </c>
      <c r="H22" s="31">
        <f>IFERROR(VLOOKUP($A$22,BS_BCTC!$B:$J,CANSLIM!H8,FALSE), "-")</f>
        <v>2625493361179</v>
      </c>
      <c r="I22" s="45">
        <f>IFERROR(VLOOKUP($A$22,BS_BCTC!$B:$J,CANSLIM!I8,FALSE), "-")</f>
        <v>2463850484024</v>
      </c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</row>
    <row r="23" spans="1:21" x14ac:dyDescent="0.25">
      <c r="A23" s="43"/>
      <c r="B23" s="37"/>
      <c r="C23" s="34">
        <f t="shared" si="4"/>
        <v>0.75808042346618587</v>
      </c>
      <c r="D23" s="34">
        <f t="shared" ref="D23" si="24">IFERROR(IF((D22-C22)/C22=-100%,"-",(D22-C22)/C22),"-")</f>
        <v>-3.7040551393420232E-2</v>
      </c>
      <c r="E23" s="34">
        <f t="shared" ref="E23" si="25">IFERROR(IF((E22-D22)/D22=-100%,"-",(E22-D22)/D22),"-")</f>
        <v>0.22635545766296497</v>
      </c>
      <c r="F23" s="34">
        <f t="shared" ref="F23" si="26">IFERROR(IF((F22-E22)/E22=-100%,"-",(F22-E22)/E22),"-")</f>
        <v>-0.25826890361096694</v>
      </c>
      <c r="G23" s="34">
        <f t="shared" ref="G23" si="27">IFERROR(IF((G22-F22)/F22=-100%,"-",(G22-F22)/F22),"-")</f>
        <v>-0.13528866359426636</v>
      </c>
      <c r="H23" s="34">
        <f t="shared" ref="H23" si="28">IFERROR(IF((H22-G22)/G22=-100%,"-",(H22-G22)/G22),"-")</f>
        <v>0.39075301224242454</v>
      </c>
      <c r="I23" s="34">
        <f t="shared" ref="I23" si="29">IFERROR(IF((I22-H22)/H22=-100%,"-",(I22-H22)/H22),"-")</f>
        <v>-6.15666676385778E-2</v>
      </c>
    </row>
    <row r="24" spans="1:21" s="36" customFormat="1" x14ac:dyDescent="0.25">
      <c r="A24" s="41" t="s">
        <v>115</v>
      </c>
      <c r="B24" s="30">
        <f>IFERROR(VLOOKUP($A$24,BS_BCTC!$B:$J,CANSLIM!B8,FALSE), "-")</f>
        <v>6422195946</v>
      </c>
      <c r="C24" s="31">
        <f>IFERROR(VLOOKUP($A$24,BS_BCTC!$B:$J,CANSLIM!C8,FALSE), "-")</f>
        <v>8985258785</v>
      </c>
      <c r="D24" s="31">
        <f>IFERROR(VLOOKUP($A$24,BS_BCTC!$B:$J,CANSLIM!D8,FALSE), "-")</f>
        <v>36452750488</v>
      </c>
      <c r="E24" s="31">
        <f>IFERROR(VLOOKUP($A$24,BS_BCTC!$B:$J,CANSLIM!E8,FALSE), "-")</f>
        <v>23311616663</v>
      </c>
      <c r="F24" s="31">
        <f>IFERROR(VLOOKUP($A$24,BS_BCTC!$B:$J,CANSLIM!F8,FALSE), "-")</f>
        <v>21534971150</v>
      </c>
      <c r="G24" s="31">
        <f>IFERROR(VLOOKUP($A$24,BS_BCTC!$B:$J,CANSLIM!G8,FALSE), "-")</f>
        <v>16905062522</v>
      </c>
      <c r="H24" s="31">
        <f>IFERROR(VLOOKUP($A$24,BS_BCTC!$B:$J,CANSLIM!H8,FALSE), "-")</f>
        <v>133779599628</v>
      </c>
      <c r="I24" s="45">
        <f>IFERROR(VLOOKUP($A$24,BS_BCTC!$B:$J,CANSLIM!I8,FALSE), "-")</f>
        <v>92479036951</v>
      </c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</row>
    <row r="25" spans="1:21" x14ac:dyDescent="0.25">
      <c r="A25" s="43"/>
      <c r="B25" s="37"/>
      <c r="C25" s="34">
        <f t="shared" si="4"/>
        <v>0.39909446247842656</v>
      </c>
      <c r="D25" s="34">
        <f t="shared" ref="D25" si="30">IFERROR(IF((D24-C24)/C24=-100%,"-",(D24-C24)/C24),"-")</f>
        <v>3.0569505409075428</v>
      </c>
      <c r="E25" s="34">
        <f t="shared" ref="E25" si="31">IFERROR(IF((E24-D24)/D24=-100%,"-",(E24-D24)/D24),"-")</f>
        <v>-0.36049773059857232</v>
      </c>
      <c r="F25" s="34">
        <f t="shared" ref="F25" si="32">IFERROR(IF((F24-E24)/E24=-100%,"-",(F24-E24)/E24),"-")</f>
        <v>-7.6212882988071634E-2</v>
      </c>
      <c r="G25" s="34">
        <f t="shared" ref="G25" si="33">IFERROR(IF((G24-F24)/F24=-100%,"-",(G24-F24)/F24),"-")</f>
        <v>-0.21499488417006771</v>
      </c>
      <c r="H25" s="34">
        <f t="shared" ref="H25" si="34">IFERROR(IF((H24-G24)/G24=-100%,"-",(H24-G24)/G24),"-")</f>
        <v>6.9135820677327393</v>
      </c>
      <c r="I25" s="34">
        <f t="shared" ref="I25" si="35">IFERROR(IF((I24-H24)/H24=-100%,"-",(I24-H24)/H24),"-")</f>
        <v>-0.30872093197949602</v>
      </c>
    </row>
    <row r="26" spans="1:21" s="27" customFormat="1" x14ac:dyDescent="0.25">
      <c r="A26" s="41" t="s">
        <v>114</v>
      </c>
      <c r="B26" s="30">
        <f>VLOOKUP($A$26,BS_BCTC!$B:$J,CANSLIM!B8,FALSE)</f>
        <v>283769575300</v>
      </c>
      <c r="C26" s="31">
        <f>VLOOKUP($A$26,BS_BCTC!$B:$J,CANSLIM!C8,FALSE)</f>
        <v>265860134664</v>
      </c>
      <c r="D26" s="31">
        <f>VLOOKUP($A$26,BS_BCTC!$B:$J,CANSLIM!D8,FALSE)</f>
        <v>602685892796</v>
      </c>
      <c r="E26" s="31">
        <f>VLOOKUP($A$26,BS_BCTC!$B:$J,CANSLIM!E8,FALSE)</f>
        <v>568716740171</v>
      </c>
      <c r="F26" s="31">
        <f>VLOOKUP($A$26,BS_BCTC!$B:$J,CANSLIM!F8,FALSE)</f>
        <v>706493529920</v>
      </c>
      <c r="G26" s="31">
        <f>VLOOKUP($A$26,BS_BCTC!$B:$J,CANSLIM!G8,FALSE)</f>
        <v>721688030767</v>
      </c>
      <c r="H26" s="31">
        <f>VLOOKUP($A$26,BS_BCTC!$B:$J,CANSLIM!H8,FALSE)</f>
        <v>562622505805</v>
      </c>
      <c r="I26" s="45">
        <f>VLOOKUP($A$26,BS_BCTC!$B:$J,CANSLIM!I8,FALSE)</f>
        <v>529234437505</v>
      </c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</row>
    <row r="27" spans="1:21" x14ac:dyDescent="0.25">
      <c r="A27" s="43"/>
      <c r="B27" s="37"/>
      <c r="C27" s="34">
        <f t="shared" si="4"/>
        <v>-6.3112617401165069E-2</v>
      </c>
      <c r="D27" s="34">
        <f t="shared" ref="D27" si="36">IFERROR(IF((D26-C26)/C26=-100%,"-",(D26-C26)/C26),"-")</f>
        <v>1.2669284116540749</v>
      </c>
      <c r="E27" s="34">
        <f t="shared" ref="E27" si="37">IFERROR(IF((E26-D26)/D26=-100%,"-",(E26-D26)/D26),"-")</f>
        <v>-5.6362946322518356E-2</v>
      </c>
      <c r="F27" s="34">
        <f t="shared" ref="F27" si="38">IFERROR(IF((F26-E26)/E26=-100%,"-",(F26-E26)/E26),"-")</f>
        <v>0.24225907207790948</v>
      </c>
      <c r="G27" s="34">
        <f t="shared" ref="G27" si="39">IFERROR(IF((G26-F26)/F26=-100%,"-",(G26-F26)/F26),"-")</f>
        <v>2.1506921441616818E-2</v>
      </c>
      <c r="H27" s="34">
        <f t="shared" ref="H27" si="40">IFERROR(IF((H26-G26)/G26=-100%,"-",(H26-G26)/G26),"-")</f>
        <v>-0.22040759743922506</v>
      </c>
      <c r="I27" s="34">
        <f t="shared" ref="I27" si="41">IFERROR(IF((I26-H26)/H26=-100%,"-",(I26-H26)/H26),"-")</f>
        <v>-5.934364152786311E-2</v>
      </c>
    </row>
    <row r="28" spans="1:21" s="27" customFormat="1" x14ac:dyDescent="0.25">
      <c r="A28" s="41" t="s">
        <v>3011</v>
      </c>
      <c r="B28" s="30">
        <f>IFERROR(VLOOKUP($A$28,PL_BCTC!$B:$J,CANSLIM!B8,FALSE),"-")</f>
        <v>263364105956</v>
      </c>
      <c r="C28" s="30">
        <f>IFERROR(VLOOKUP($A$28,PL_BCTC!$B:$J,CANSLIM!C8,FALSE),"-")</f>
        <v>212148913561</v>
      </c>
      <c r="D28" s="30">
        <f>IFERROR(VLOOKUP($A$28,PL_BCTC!$B:$J,CANSLIM!D8,FALSE),"-")</f>
        <v>491028872669</v>
      </c>
      <c r="E28" s="30">
        <f>IFERROR(VLOOKUP($A$28,PL_BCTC!$B:$J,CANSLIM!E8,FALSE),"-")</f>
        <v>283172810679</v>
      </c>
      <c r="F28" s="30">
        <f>IFERROR(VLOOKUP($A$28,PL_BCTC!$B:$J,CANSLIM!F8,FALSE),"-")</f>
        <v>324143024419</v>
      </c>
      <c r="G28" s="30">
        <f>IFERROR(VLOOKUP($A$28,PL_BCTC!$B:$J,CANSLIM!G8,FALSE),"-")</f>
        <v>117291267937</v>
      </c>
      <c r="H28" s="30">
        <f>IFERROR(VLOOKUP($A$28,PL_BCTC!$B:$J,CANSLIM!H8,FALSE),"-")</f>
        <v>309193823134</v>
      </c>
      <c r="I28" s="30">
        <f>IFERROR(VLOOKUP($A$28,PL_BCTC!$B:$J,CANSLIM!I8,FALSE),"-")</f>
        <v>310126892347</v>
      </c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</row>
    <row r="29" spans="1:21" x14ac:dyDescent="0.25">
      <c r="A29" s="42"/>
      <c r="B29" s="38"/>
      <c r="C29" s="34">
        <f t="shared" si="4"/>
        <v>-0.19446534754267719</v>
      </c>
      <c r="D29" s="34">
        <f t="shared" ref="D29" si="42">IFERROR(IF((D28-C28)/C28=-100%,"-",(D28-C28)/C28),"-")</f>
        <v>1.3145481370933938</v>
      </c>
      <c r="E29" s="34">
        <f t="shared" ref="E29" si="43">IFERROR(IF((E28-D28)/D28=-100%,"-",(E28-D28)/D28),"-")</f>
        <v>-0.42330720973736852</v>
      </c>
      <c r="F29" s="34">
        <f t="shared" ref="F29" si="44">IFERROR(IF((F28-E28)/E28=-100%,"-",(F28-E28)/E28),"-")</f>
        <v>0.14468272445281885</v>
      </c>
      <c r="G29" s="34">
        <f t="shared" ref="G29" si="45">IFERROR(IF((G28-F28)/F28=-100%,"-",(G28-F28)/F28),"-")</f>
        <v>-0.63814964660357865</v>
      </c>
      <c r="H29" s="34">
        <f t="shared" ref="H29" si="46">IFERROR(IF((H28-G28)/G28=-100%,"-",(H28-G28)/G28),"-")</f>
        <v>1.6361197092700501</v>
      </c>
      <c r="I29" s="34">
        <f t="shared" ref="I29" si="47">IFERROR(IF((I28-H28)/H28=-100%,"-",(I28-H28)/H28),"-")</f>
        <v>3.0177485550725949E-3</v>
      </c>
    </row>
    <row r="30" spans="1:21" s="27" customFormat="1" x14ac:dyDescent="0.25">
      <c r="A30" s="44" t="s">
        <v>116</v>
      </c>
      <c r="B30" s="32">
        <f>VLOOKUP($A$30,BS_BCTC!$B:$J,CANSLIM!B8,FALSE)</f>
        <v>248117181134</v>
      </c>
      <c r="C30" s="33">
        <f>VLOOKUP($A$30,BS_BCTC!$B:$J,CANSLIM!C8,FALSE)</f>
        <v>399364492474</v>
      </c>
      <c r="D30" s="33">
        <f>VLOOKUP($A$30,BS_BCTC!$B:$J,CANSLIM!D8,FALSE)</f>
        <v>328341365740</v>
      </c>
      <c r="E30" s="33">
        <f>VLOOKUP($A$30,BS_BCTC!$B:$J,CANSLIM!E8,FALSE)</f>
        <v>426375132551</v>
      </c>
      <c r="F30" s="33">
        <f>VLOOKUP($A$30,BS_BCTC!$B:$J,CANSLIM!F8,FALSE)</f>
        <v>659890646972</v>
      </c>
      <c r="G30" s="33">
        <f>VLOOKUP($A$30,BS_BCTC!$B:$J,CANSLIM!G8,FALSE)</f>
        <v>651298108490</v>
      </c>
      <c r="H30" s="33">
        <f>VLOOKUP($A$30,BS_BCTC!$B:$J,CANSLIM!H8,FALSE)</f>
        <v>619705409043</v>
      </c>
      <c r="I30" s="46">
        <f>VLOOKUP($A$30,BS_BCTC!$B:$J,CANSLIM!I8,FALSE)</f>
        <v>911430273802</v>
      </c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</row>
    <row r="31" spans="1:21" x14ac:dyDescent="0.25">
      <c r="A31" s="42"/>
      <c r="B31" s="39"/>
      <c r="C31" s="34">
        <f t="shared" si="4"/>
        <v>0.60958016147344607</v>
      </c>
      <c r="D31" s="34">
        <f t="shared" ref="D31" si="48">IFERROR(IF((D30-C30)/C30=-100%,"-",(D30-C30)/C30),"-")</f>
        <v>-0.17784036405946593</v>
      </c>
      <c r="E31" s="34">
        <f t="shared" ref="E31" si="49">IFERROR(IF((E30-D30)/D30=-100%,"-",(E30-D30)/D30),"-")</f>
        <v>0.29857269610259496</v>
      </c>
      <c r="F31" s="34">
        <f t="shared" ref="F31" si="50">IFERROR(IF((F30-E30)/E30=-100%,"-",(F30-E30)/E30),"-")</f>
        <v>0.54767620481025248</v>
      </c>
      <c r="G31" s="34">
        <f t="shared" ref="G31" si="51">IFERROR(IF((G30-F30)/F30=-100%,"-",(G30-F30)/F30),"-")</f>
        <v>-1.3021155128395981E-2</v>
      </c>
      <c r="H31" s="34">
        <f t="shared" ref="H31" si="52">IFERROR(IF((H30-G30)/G30=-100%,"-",(H30-G30)/G30),"-")</f>
        <v>-4.8507279593128241E-2</v>
      </c>
      <c r="I31" s="34">
        <f t="shared" ref="I31" si="53">IFERROR(IF((I30-H30)/H30=-100%,"-",(I30-H30)/H30),"-")</f>
        <v>0.47074764961226578</v>
      </c>
    </row>
    <row r="32" spans="1:21" s="27" customFormat="1" x14ac:dyDescent="0.25">
      <c r="A32" s="44" t="s">
        <v>120</v>
      </c>
      <c r="B32" s="32">
        <f>IFERROR(VLOOKUP($A$32,PL_BCTC!$B:$J,CANSLIM!B8,FALSE), "-")</f>
        <v>4069608303141</v>
      </c>
      <c r="C32" s="33">
        <f>IFERROR(VLOOKUP($A$32,PL_BCTC!$B:$J,CANSLIM!C8,FALSE), "-")</f>
        <v>8011572613389</v>
      </c>
      <c r="D32" s="33">
        <f>IFERROR(VLOOKUP($A$32,PL_BCTC!$B:$J,CANSLIM!D8,FALSE), "-")</f>
        <v>9258073280674</v>
      </c>
      <c r="E32" s="33">
        <f>IFERROR(VLOOKUP($A$32,PL_BCTC!$B:$J,CANSLIM!E8,FALSE), "-")</f>
        <v>7428557015044</v>
      </c>
      <c r="F32" s="33">
        <f>IFERROR(VLOOKUP($A$32,PL_BCTC!$B:$J,CANSLIM!F8,FALSE), "-")</f>
        <v>13143109864001</v>
      </c>
      <c r="G32" s="33">
        <f>IFERROR(VLOOKUP($A$32,PL_BCTC!$B:$J,CANSLIM!G8,FALSE), "-")</f>
        <v>15290297073087</v>
      </c>
      <c r="H32" s="33">
        <f>IFERROR(VLOOKUP($A$32,PL_BCTC!$B:$J,CANSLIM!H8,FALSE), "-")</f>
        <v>12621514144947</v>
      </c>
      <c r="I32" s="46">
        <f>IFERROR(VLOOKUP($A$32,PL_BCTC!$B:$J,CANSLIM!I8,FALSE), "-")</f>
        <v>12782355466948</v>
      </c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</row>
    <row r="33" spans="1:21" x14ac:dyDescent="0.25">
      <c r="A33" s="42"/>
      <c r="B33" s="40"/>
      <c r="C33" s="34">
        <f t="shared" si="4"/>
        <v>0.96863482099874776</v>
      </c>
      <c r="D33" s="34">
        <f t="shared" ref="D33" si="54">IFERROR(IF((D32-C32)/C32=-100%,"-",(D32-C32)/C32),"-")</f>
        <v>0.15558751414195995</v>
      </c>
      <c r="E33" s="34">
        <f t="shared" ref="E33" si="55">IFERROR(IF((E32-D32)/D32=-100%,"-",(E32-D32)/D32),"-")</f>
        <v>-0.19761306809366805</v>
      </c>
      <c r="F33" s="34">
        <f t="shared" ref="F33" si="56">IFERROR(IF((F32-E32)/E32=-100%,"-",(F32-E32)/E32),"-")</f>
        <v>0.76926822226498748</v>
      </c>
      <c r="G33" s="34">
        <f t="shared" ref="G33" si="57">IFERROR(IF((G32-F32)/F32=-100%,"-",(G32-F32)/F32),"-")</f>
        <v>0.1633697984194098</v>
      </c>
      <c r="H33" s="34">
        <f t="shared" ref="H33" si="58">IFERROR(IF((H32-G32)/G32=-100%,"-",(H32-G32)/G32),"-")</f>
        <v>-0.17454094680981841</v>
      </c>
      <c r="I33" s="34">
        <f t="shared" ref="I33" si="59">IFERROR(IF((I32-H32)/H32=-100%,"-",(I32-H32)/H32),"-")</f>
        <v>1.2743425246280179E-2</v>
      </c>
    </row>
    <row r="34" spans="1:21" s="27" customFormat="1" x14ac:dyDescent="0.25">
      <c r="A34" s="44" t="s">
        <v>3010</v>
      </c>
      <c r="B34" s="32">
        <f>IFERROR(VLOOKUP($A$34,PL_BCTC!$B:$J,CANSLIM!B8,FALSE), "-")</f>
        <v>550385105168</v>
      </c>
      <c r="C34" s="33">
        <f>IFERROR(VLOOKUP($A$34,PL_BCTC!$B:$J,CANSLIM!C8,FALSE), "-")</f>
        <v>672936073191</v>
      </c>
      <c r="D34" s="33">
        <f>IFERROR(VLOOKUP($A$34,PL_BCTC!$B:$J,CANSLIM!D8,FALSE), "-")</f>
        <v>1042139378567</v>
      </c>
      <c r="E34" s="33">
        <f>IFERROR(VLOOKUP($A$34,PL_BCTC!$B:$J,CANSLIM!E8,FALSE), "-")</f>
        <v>776935221364</v>
      </c>
      <c r="F34" s="33">
        <f>IFERROR(VLOOKUP($A$34,PL_BCTC!$B:$J,CANSLIM!F8,FALSE), "-")</f>
        <v>1301375383462</v>
      </c>
      <c r="G34" s="33">
        <f>IFERROR(VLOOKUP($A$34,PL_BCTC!$B:$J,CANSLIM!G8,FALSE), "-")</f>
        <v>1086239883713</v>
      </c>
      <c r="H34" s="33">
        <f>IFERROR(VLOOKUP($A$34,PL_BCTC!$B:$J,CANSLIM!H8,FALSE), "-")</f>
        <v>1108693322770</v>
      </c>
      <c r="I34" s="46">
        <f>IFERROR(VLOOKUP($A$34,PL_BCTC!$B:$J,CANSLIM!I8,FALSE), "-")</f>
        <v>1488874039290</v>
      </c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</row>
    <row r="35" spans="1:21" x14ac:dyDescent="0.25">
      <c r="A35" s="42"/>
      <c r="B35" s="40"/>
      <c r="C35" s="34">
        <f t="shared" si="4"/>
        <v>0.22266403445927638</v>
      </c>
      <c r="D35" s="34">
        <f t="shared" ref="D35" si="60">IFERROR(IF((D34-C34)/C34=-100%,"-",(D34-C34)/C34),"-")</f>
        <v>0.5486454361485964</v>
      </c>
      <c r="E35" s="34">
        <f t="shared" ref="E35" si="61">IFERROR(IF((E34-D34)/D34=-100%,"-",(E34-D34)/D34),"-")</f>
        <v>-0.25448050678947626</v>
      </c>
      <c r="F35" s="34">
        <f t="shared" ref="F35" si="62">IFERROR(IF((F34-E34)/E34=-100%,"-",(F34-E34)/E34),"-")</f>
        <v>0.67501143940582897</v>
      </c>
      <c r="G35" s="34">
        <f t="shared" ref="G35" si="63">IFERROR(IF((G34-F34)/F34=-100%,"-",(G34-F34)/F34),"-")</f>
        <v>-0.16531394590904519</v>
      </c>
      <c r="H35" s="34">
        <f t="shared" ref="H35" si="64">IFERROR(IF((H34-G34)/G34=-100%,"-",(H34-G34)/G34),"-")</f>
        <v>2.0670792330188936E-2</v>
      </c>
      <c r="I35" s="34">
        <f t="shared" ref="I35" si="65">IFERROR(IF((I34-H34)/H34=-100%,"-",(I34-H34)/H34),"-")</f>
        <v>0.34290881771538279</v>
      </c>
    </row>
    <row r="36" spans="1:21" s="27" customFormat="1" x14ac:dyDescent="0.25">
      <c r="A36" s="44" t="s">
        <v>3007</v>
      </c>
      <c r="B36" s="32">
        <f>IFERROR(VLOOKUP($A$36,CF_BCTC!$B:$J,CANSLIM!B8,FALSE), "-")</f>
        <v>-3534755293294</v>
      </c>
      <c r="C36" s="33">
        <f>IFERROR(VLOOKUP($A$36,CF_BCTC!$B:$J,CANSLIM!C8,FALSE), "-")</f>
        <v>-6397797068409</v>
      </c>
      <c r="D36" s="33">
        <f>IFERROR(VLOOKUP($A$36,CF_BCTC!$B:$J,CANSLIM!D8,FALSE), "-")</f>
        <v>-7889053617076</v>
      </c>
      <c r="E36" s="33">
        <f>IFERROR(VLOOKUP($A$36,CF_BCTC!$B:$J,CANSLIM!E8,FALSE), "-")</f>
        <v>-7365247885274</v>
      </c>
      <c r="F36" s="33">
        <f>IFERROR(VLOOKUP($A$36,CF_BCTC!$B:$J,CANSLIM!F8,FALSE), "-")</f>
        <v>-9166083799630</v>
      </c>
      <c r="G36" s="33">
        <f>IFERROR(VLOOKUP($A$36,CF_BCTC!$B:$J,CANSLIM!G8,FALSE), "-")</f>
        <v>-8114479429801</v>
      </c>
      <c r="H36" s="33">
        <f>IFERROR(VLOOKUP($A$36,CF_BCTC!$B:$J,CANSLIM!H8,FALSE), "-")</f>
        <v>-6658111047622</v>
      </c>
      <c r="I36" s="46">
        <f>IFERROR(VLOOKUP($A$36,CF_BCTC!$B:$J,CANSLIM!I8,FALSE), "-")</f>
        <v>-6735784554193</v>
      </c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</row>
    <row r="37" spans="1:21" x14ac:dyDescent="0.25">
      <c r="A37" s="42"/>
      <c r="B37" s="40"/>
      <c r="C37" s="34">
        <f t="shared" si="4"/>
        <v>0.80996887692527153</v>
      </c>
      <c r="D37" s="34">
        <f t="shared" ref="D37" si="66">IFERROR(IF((D36-C36)/C36=-100%,"-",(D36-C36)/C36),"-")</f>
        <v>0.23308906686498651</v>
      </c>
      <c r="E37" s="34">
        <f t="shared" ref="E37" si="67">IFERROR(IF((E36-D36)/D36=-100%,"-",(E36-D36)/D36),"-")</f>
        <v>-6.6396523236730579E-2</v>
      </c>
      <c r="F37" s="34">
        <f t="shared" ref="F37" si="68">IFERROR(IF((F36-E36)/E36=-100%,"-",(F36-E36)/E36),"-")</f>
        <v>0.24450445421620806</v>
      </c>
      <c r="G37" s="34">
        <f t="shared" ref="G37" si="69">IFERROR(IF((G36-F36)/F36=-100%,"-",(G36-F36)/F36),"-")</f>
        <v>-0.1147277717307635</v>
      </c>
      <c r="H37" s="34">
        <f t="shared" ref="H37" si="70">IFERROR(IF((H36-G36)/G36=-100%,"-",(H36-G36)/G36),"-")</f>
        <v>-0.17947773418839219</v>
      </c>
      <c r="I37" s="34">
        <f t="shared" ref="I37" si="71">IFERROR(IF((I36-H36)/H36=-100%,"-",(I36-H36)/H36),"-")</f>
        <v>1.1665997460156773E-2</v>
      </c>
    </row>
    <row r="38" spans="1:21" s="27" customFormat="1" x14ac:dyDescent="0.25">
      <c r="A38" s="44" t="s">
        <v>124</v>
      </c>
      <c r="B38" s="32" t="str">
        <f>IFERROR(VLOOKUP($A$38, PL_BCTC!$B:$J, B8, FALSE), "-")</f>
        <v>-</v>
      </c>
      <c r="C38" s="33" t="str">
        <f>IFERROR(VLOOKUP($A$38, PL_BCTC!$B:$J, C8, FALSE), "-")</f>
        <v>-</v>
      </c>
      <c r="D38" s="33" t="str">
        <f>IFERROR(VLOOKUP($A$38, PL_BCTC!$B:$J, D8, FALSE), "-")</f>
        <v>-</v>
      </c>
      <c r="E38" s="33" t="str">
        <f>IFERROR(VLOOKUP($A$38, PL_BCTC!$B:$J, E8, FALSE), "-")</f>
        <v>-</v>
      </c>
      <c r="F38" s="33" t="str">
        <f>IFERROR(VLOOKUP($A$38, PL_BCTC!$B:$J, F8, FALSE), "-")</f>
        <v>-</v>
      </c>
      <c r="G38" s="33" t="str">
        <f>IFERROR(VLOOKUP($A$38, PL_BCTC!$B:$J, G8, FALSE), "-")</f>
        <v>-</v>
      </c>
      <c r="H38" s="33" t="str">
        <f>IFERROR(VLOOKUP($A$38, PL_BCTC!$B:$J, H8, FALSE), "-")</f>
        <v>-</v>
      </c>
      <c r="I38" s="46" t="str">
        <f>IFERROR(VLOOKUP($A$38, PL_BCTC!$B:$J, I8, FALSE), "-")</f>
        <v>-</v>
      </c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</row>
    <row r="39" spans="1:21" x14ac:dyDescent="0.25">
      <c r="A39" s="42"/>
      <c r="B39" s="40"/>
      <c r="C39" s="34" t="str">
        <f t="shared" si="4"/>
        <v>-</v>
      </c>
      <c r="D39" s="34" t="str">
        <f t="shared" ref="D39" si="72">IFERROR(IF((D38-C38)/C38=-100%,"-",(D38-C38)/C38),"-")</f>
        <v>-</v>
      </c>
      <c r="E39" s="34" t="str">
        <f t="shared" ref="E39" si="73">IFERROR(IF((E38-D38)/D38=-100%,"-",(E38-D38)/D38),"-")</f>
        <v>-</v>
      </c>
      <c r="F39" s="34" t="str">
        <f t="shared" ref="F39" si="74">IFERROR(IF((F38-E38)/E38=-100%,"-",(F38-E38)/E38),"-")</f>
        <v>-</v>
      </c>
      <c r="G39" s="34" t="str">
        <f t="shared" ref="G39" si="75">IFERROR(IF((G38-F38)/F38=-100%,"-",(G38-F38)/F38),"-")</f>
        <v>-</v>
      </c>
      <c r="H39" s="34" t="str">
        <f t="shared" ref="H39" si="76">IFERROR(IF((H38-G38)/G38=-100%,"-",(H38-G38)/G38),"-")</f>
        <v>-</v>
      </c>
      <c r="I39" s="34" t="str">
        <f t="shared" ref="I39" si="77">IFERROR(IF((I38-H38)/H38=-100%,"-",(I38-H38)/H38),"-")</f>
        <v>-</v>
      </c>
    </row>
    <row r="40" spans="1:21" x14ac:dyDescent="0.25">
      <c r="A40" s="44" t="s">
        <v>3008</v>
      </c>
      <c r="B40" s="32" t="str">
        <f>IFERROR(VLOOKUP($A$40,CF_BCTC!$B:$J,CANSLIM!B8,FALSE), "-")</f>
        <v>-</v>
      </c>
      <c r="C40" s="33" t="str">
        <f>IFERROR(VLOOKUP($A$40,CF_BCTC!$B:$J,CANSLIM!C8,FALSE), "-")</f>
        <v>-</v>
      </c>
      <c r="D40" s="33" t="str">
        <f>IFERROR(VLOOKUP($A$40,CF_BCTC!$B:$J,CANSLIM!D8,FALSE), "-")</f>
        <v>-</v>
      </c>
      <c r="E40" s="33" t="str">
        <f>IFERROR(VLOOKUP($A$40,CF_BCTC!$B:$J,CANSLIM!E8,FALSE), "-")</f>
        <v>-</v>
      </c>
      <c r="F40" s="33" t="str">
        <f>IFERROR(VLOOKUP($A$40,CF_BCTC!$B:$J,CANSLIM!F8,FALSE), "-")</f>
        <v>-</v>
      </c>
      <c r="G40" s="33" t="str">
        <f>IFERROR(VLOOKUP($A$40,CF_BCTC!$B:$J,CANSLIM!G8,FALSE), "-")</f>
        <v>-</v>
      </c>
      <c r="H40" s="33" t="str">
        <f>IFERROR(VLOOKUP($A$40,CF_BCTC!$B:$J,CANSLIM!H8,FALSE), "-")</f>
        <v>-</v>
      </c>
      <c r="I40" s="46" t="str">
        <f>IFERROR(VLOOKUP($A$40,CF_BCTC!$B:$J,CANSLIM!I8,FALSE), "-")</f>
        <v>-</v>
      </c>
    </row>
    <row r="41" spans="1:21" x14ac:dyDescent="0.25">
      <c r="A41" s="42"/>
      <c r="B41" s="40"/>
      <c r="C41" s="34" t="str">
        <f t="shared" si="4"/>
        <v>-</v>
      </c>
      <c r="D41" s="34" t="str">
        <f t="shared" ref="D41" si="78">IFERROR(IF((D40-C40)/C40=-100%,"-",(D40-C40)/C40),"-")</f>
        <v>-</v>
      </c>
      <c r="E41" s="34" t="str">
        <f t="shared" ref="E41" si="79">IFERROR(IF((E40-D40)/D40=-100%,"-",(E40-D40)/D40),"-")</f>
        <v>-</v>
      </c>
      <c r="F41" s="34" t="str">
        <f t="shared" ref="F41" si="80">IFERROR(IF((F40-E40)/E40=-100%,"-",(F40-E40)/E40),"-")</f>
        <v>-</v>
      </c>
      <c r="G41" s="34" t="str">
        <f t="shared" ref="G41" si="81">IFERROR(IF((G40-F40)/F40=-100%,"-",(G40-F40)/F40),"-")</f>
        <v>-</v>
      </c>
      <c r="H41" s="34" t="str">
        <f t="shared" ref="H41" si="82">IFERROR(IF((H40-G40)/G40=-100%,"-",(H40-G40)/G40),"-")</f>
        <v>-</v>
      </c>
      <c r="I41" s="34" t="str">
        <f t="shared" ref="I41" si="83">IFERROR(IF((I40-H40)/H40=-100%,"-",(I40-H40)/H40),"-")</f>
        <v>-</v>
      </c>
    </row>
    <row r="42" spans="1:21" x14ac:dyDescent="0.25">
      <c r="A42" s="44" t="s">
        <v>3009</v>
      </c>
      <c r="B42" s="32">
        <f>VLOOKUP($A$42,PL_BCTC!$B:$J,CANSLIM!B8,FALSE)</f>
        <v>3426</v>
      </c>
      <c r="C42" s="33">
        <f>VLOOKUP($A$42,PL_BCTC!$B:$J,CANSLIM!C8,FALSE)</f>
        <v>1115</v>
      </c>
      <c r="D42" s="33">
        <f>VLOOKUP($A$42,PL_BCTC!$B:$J,CANSLIM!D8,FALSE)</f>
        <v>2690</v>
      </c>
      <c r="E42" s="33">
        <f>VLOOKUP($A$42,PL_BCTC!$B:$J,CANSLIM!E8,FALSE)</f>
        <v>1310</v>
      </c>
      <c r="F42" s="33">
        <f>VLOOKUP($A$42,PL_BCTC!$B:$J,CANSLIM!F8,FALSE)</f>
        <v>813</v>
      </c>
      <c r="G42" s="33">
        <f>VLOOKUP($A$42,PL_BCTC!$B:$J,CANSLIM!G8,FALSE)</f>
        <v>433</v>
      </c>
      <c r="H42" s="33">
        <f>VLOOKUP($A$42,PL_BCTC!$B:$J,CANSLIM!H8,FALSE)</f>
        <v>757</v>
      </c>
      <c r="I42" s="46">
        <f>VLOOKUP($A$42,PL_BCTC!$B:$J,CANSLIM!I8,FALSE)</f>
        <v>0</v>
      </c>
    </row>
    <row r="43" spans="1:21" x14ac:dyDescent="0.25">
      <c r="A43" s="43"/>
      <c r="B43" s="47"/>
      <c r="C43" s="34">
        <f t="shared" si="4"/>
        <v>-0.67454757734967896</v>
      </c>
      <c r="D43" s="34">
        <f t="shared" ref="D43" si="84">IFERROR(IF((D42-C42)/C42=-100%,"-",(D42-C42)/C42),"-")</f>
        <v>1.4125560538116593</v>
      </c>
      <c r="E43" s="34">
        <f t="shared" ref="E43" si="85">IFERROR(IF((E42-D42)/D42=-100%,"-",(E42-D42)/D42),"-")</f>
        <v>-0.51301115241635686</v>
      </c>
      <c r="F43" s="34">
        <f t="shared" ref="F43" si="86">IFERROR(IF((F42-E42)/E42=-100%,"-",(F42-E42)/E42),"-")</f>
        <v>-0.37938931297709921</v>
      </c>
      <c r="G43" s="34">
        <f t="shared" ref="G43" si="87">IFERROR(IF((G42-F42)/F42=-100%,"-",(G42-F42)/F42),"-")</f>
        <v>-0.46740467404674046</v>
      </c>
      <c r="H43" s="34">
        <f t="shared" ref="H43" si="88">IFERROR(IF((H42-G42)/G42=-100%,"-",(H42-G42)/G42),"-")</f>
        <v>0.74826789838337182</v>
      </c>
      <c r="I43" s="34" t="str">
        <f t="shared" ref="I43" si="89">IFERROR(IF((I42-H42)/H42=-100%,"-",(I42-H42)/H42),"-")</f>
        <v>-</v>
      </c>
    </row>
  </sheetData>
  <mergeCells count="2">
    <mergeCell ref="B2:C2"/>
    <mergeCell ref="A1:C1"/>
  </mergeCells>
  <phoneticPr fontId="22" type="noConversion"/>
  <pageMargins left="0.7" right="0.7" top="0.75" bottom="0.75" header="0.3" footer="0.3"/>
  <pageSetup scale="4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DC03-891B-4D4D-B67C-DC8085B94094}">
  <sheetPr codeName="Sheet31"/>
  <dimension ref="A1:T78"/>
  <sheetViews>
    <sheetView workbookViewId="0">
      <selection activeCell="O9" sqref="O9"/>
    </sheetView>
  </sheetViews>
  <sheetFormatPr defaultRowHeight="15" x14ac:dyDescent="0.2"/>
  <cols>
    <col min="1" max="1" width="11.77734375" customWidth="1"/>
    <col min="2" max="2" width="9.109375" customWidth="1"/>
    <col min="3" max="3" width="10.88671875" customWidth="1"/>
    <col min="4" max="4" width="17.33203125" customWidth="1"/>
    <col min="5" max="5" width="11.109375" customWidth="1"/>
    <col min="6" max="6" width="17.88671875" customWidth="1"/>
    <col min="7" max="7" width="11.88671875" customWidth="1"/>
    <col min="8" max="8" width="17.33203125" customWidth="1"/>
    <col min="9" max="9" width="10.109375" customWidth="1"/>
    <col min="10" max="10" width="13.33203125" customWidth="1"/>
    <col min="11" max="11" width="10.77734375" customWidth="1"/>
    <col min="12" max="12" width="10.6640625" customWidth="1"/>
    <col min="13" max="13" width="10.77734375" customWidth="1"/>
    <col min="14" max="14" width="10.88671875" customWidth="1"/>
    <col min="15" max="15" width="13.77734375" customWidth="1"/>
    <col min="16" max="16" width="17.33203125" customWidth="1"/>
    <col min="17" max="17" width="10.6640625" customWidth="1"/>
    <col min="18" max="18" width="17.33203125" customWidth="1"/>
    <col min="19" max="19" width="13" customWidth="1"/>
    <col min="20" max="20" width="17.33203125" customWidth="1"/>
  </cols>
  <sheetData>
    <row r="1" spans="1:18" x14ac:dyDescent="0.2">
      <c r="I1" s="23"/>
    </row>
    <row r="2" spans="1:18" x14ac:dyDescent="0.2">
      <c r="I2" s="23"/>
    </row>
    <row r="3" spans="1:18" x14ac:dyDescent="0.2">
      <c r="C3" s="3"/>
      <c r="D3" s="28" t="s">
        <v>3171</v>
      </c>
      <c r="E3" s="3" t="s">
        <v>3182</v>
      </c>
      <c r="I3" s="23"/>
    </row>
    <row r="4" spans="1:18" x14ac:dyDescent="0.2">
      <c r="C4" s="3" t="s">
        <v>3169</v>
      </c>
      <c r="D4" s="207"/>
      <c r="E4" s="3"/>
      <c r="I4" s="23"/>
    </row>
    <row r="5" spans="1:18" x14ac:dyDescent="0.2">
      <c r="B5" s="162"/>
      <c r="C5" s="3" t="s">
        <v>3170</v>
      </c>
      <c r="D5" s="207"/>
      <c r="E5" s="3"/>
      <c r="G5" s="23"/>
      <c r="O5" s="116"/>
    </row>
    <row r="6" spans="1:18" x14ac:dyDescent="0.2">
      <c r="O6" s="116"/>
    </row>
    <row r="7" spans="1:18" ht="15.75" customHeight="1" x14ac:dyDescent="0.2">
      <c r="B7" s="226" t="s">
        <v>3182</v>
      </c>
      <c r="C7" s="227"/>
      <c r="D7" s="228"/>
      <c r="E7" s="210" t="s">
        <v>3186</v>
      </c>
      <c r="F7" s="226" t="s">
        <v>3171</v>
      </c>
      <c r="G7" s="227"/>
      <c r="H7" s="228"/>
      <c r="I7" s="210" t="s">
        <v>3186</v>
      </c>
      <c r="J7" s="229" t="s">
        <v>3195</v>
      </c>
      <c r="K7" s="211" t="s">
        <v>3193</v>
      </c>
      <c r="L7" s="230" t="s">
        <v>3194</v>
      </c>
    </row>
    <row r="8" spans="1:18" x14ac:dyDescent="0.2">
      <c r="A8" s="3" t="s">
        <v>16</v>
      </c>
      <c r="B8" s="3" t="s">
        <v>3183</v>
      </c>
      <c r="C8" s="69" t="s">
        <v>3184</v>
      </c>
      <c r="D8" s="3" t="s">
        <v>3185</v>
      </c>
      <c r="E8" s="210"/>
      <c r="F8" s="3" t="s">
        <v>3183</v>
      </c>
      <c r="G8" s="69" t="s">
        <v>3184</v>
      </c>
      <c r="H8" s="3" t="s">
        <v>3185</v>
      </c>
      <c r="I8" s="210"/>
      <c r="J8" s="210"/>
      <c r="K8" s="210"/>
      <c r="L8" s="235"/>
    </row>
    <row r="9" spans="1:18" x14ac:dyDescent="0.2">
      <c r="A9" s="3" t="s">
        <v>3172</v>
      </c>
      <c r="B9" s="3">
        <f>C12</f>
        <v>23128</v>
      </c>
      <c r="C9" s="207">
        <f>C14</f>
        <v>43614</v>
      </c>
      <c r="D9" s="207">
        <f>B9-C9</f>
        <v>-20486</v>
      </c>
      <c r="E9" s="69">
        <v>1330.6</v>
      </c>
      <c r="F9" s="3">
        <f>I12</f>
        <v>48320</v>
      </c>
      <c r="G9" s="207">
        <f>I14</f>
        <v>46654</v>
      </c>
      <c r="H9" s="207">
        <f>F9-G9</f>
        <v>1666</v>
      </c>
      <c r="I9" s="69">
        <v>1335.1</v>
      </c>
      <c r="J9" s="207"/>
      <c r="K9" s="3" t="s">
        <v>3196</v>
      </c>
      <c r="L9" s="207"/>
    </row>
    <row r="10" spans="1:18" x14ac:dyDescent="0.2">
      <c r="A10" s="3" t="s">
        <v>3179</v>
      </c>
      <c r="B10" s="3">
        <f>C13</f>
        <v>0</v>
      </c>
      <c r="C10" s="207">
        <f>C15</f>
        <v>111</v>
      </c>
      <c r="D10" s="207">
        <f>B10-C10</f>
        <v>-111</v>
      </c>
      <c r="E10" s="69">
        <v>1322.4</v>
      </c>
      <c r="F10" s="3">
        <f>I13</f>
        <v>329</v>
      </c>
      <c r="G10" s="207">
        <f>I15</f>
        <v>28</v>
      </c>
      <c r="H10" s="207">
        <f>F10-G10</f>
        <v>301</v>
      </c>
      <c r="I10" s="69">
        <v>1338.7</v>
      </c>
      <c r="J10" s="207"/>
      <c r="K10" s="3" t="s">
        <v>3197</v>
      </c>
      <c r="L10" s="207"/>
    </row>
    <row r="11" spans="1:18" x14ac:dyDescent="0.2">
      <c r="A11" s="3"/>
      <c r="B11" s="3" t="s">
        <v>3198</v>
      </c>
      <c r="C11" s="3"/>
      <c r="D11" s="3"/>
      <c r="E11" s="3" t="s">
        <v>3199</v>
      </c>
      <c r="F11" s="3" t="s">
        <v>3200</v>
      </c>
      <c r="G11" s="3" t="s">
        <v>3201</v>
      </c>
      <c r="H11" s="3" t="s">
        <v>3202</v>
      </c>
      <c r="I11" s="3"/>
      <c r="J11" s="3"/>
      <c r="K11" s="3" t="s">
        <v>3199</v>
      </c>
      <c r="L11" s="3" t="s">
        <v>3200</v>
      </c>
      <c r="M11" s="3" t="s">
        <v>3201</v>
      </c>
    </row>
    <row r="12" spans="1:18" x14ac:dyDescent="0.2">
      <c r="A12" s="232" t="s">
        <v>3172</v>
      </c>
      <c r="B12" s="248" t="s">
        <v>3043</v>
      </c>
      <c r="C12" s="249">
        <f>SUMIF(B19:B77,A12,C19:C77)</f>
        <v>23128</v>
      </c>
      <c r="D12" s="249"/>
      <c r="E12" s="249" t="s">
        <v>3169</v>
      </c>
      <c r="F12" s="249"/>
      <c r="G12" s="249"/>
      <c r="H12" s="248" t="s">
        <v>3043</v>
      </c>
      <c r="I12" s="249">
        <f>SUMIF(B19:B77,A12,Q19:Q77)</f>
        <v>48320</v>
      </c>
      <c r="J12" s="249"/>
      <c r="K12" s="249" t="s">
        <v>3169</v>
      </c>
      <c r="L12" s="249"/>
      <c r="M12" s="249"/>
    </row>
    <row r="13" spans="1:18" x14ac:dyDescent="0.2">
      <c r="A13" s="232" t="s">
        <v>3179</v>
      </c>
      <c r="B13" s="248"/>
      <c r="C13" s="249">
        <f>SUMIF(B19:B77,A13,C19:C77)</f>
        <v>0</v>
      </c>
      <c r="D13" s="249"/>
      <c r="E13" s="234">
        <f>C12-C14</f>
        <v>-20486</v>
      </c>
      <c r="F13" s="222">
        <f>AVERAGEIF(B19:B77,A12,J19:J77)</f>
        <v>1334.9160885409233</v>
      </c>
      <c r="G13" s="222">
        <f>AVERAGEIF(B19:B77,A12,K19:K77)</f>
        <v>1273.3111055694901</v>
      </c>
      <c r="H13" s="248"/>
      <c r="I13" s="249">
        <f>SUMIF(B19:B77,A13,Q19:Q77)</f>
        <v>329</v>
      </c>
      <c r="J13" s="249"/>
      <c r="K13" s="207">
        <f>I12-I14</f>
        <v>1666</v>
      </c>
      <c r="L13" s="222">
        <v>1328.6</v>
      </c>
      <c r="M13" s="222">
        <v>1328.5</v>
      </c>
    </row>
    <row r="14" spans="1:18" x14ac:dyDescent="0.2">
      <c r="A14" s="231" t="s">
        <v>3172</v>
      </c>
      <c r="B14" s="250" t="s">
        <v>3047</v>
      </c>
      <c r="C14" s="245">
        <f>SUMIF(B19:B77,A14,E19:E77)</f>
        <v>43614</v>
      </c>
      <c r="D14" s="247"/>
      <c r="E14" s="245" t="s">
        <v>3170</v>
      </c>
      <c r="F14" s="246"/>
      <c r="G14" s="247"/>
      <c r="H14" s="250" t="s">
        <v>3047</v>
      </c>
      <c r="I14" s="245">
        <f>SUMIF(B19:B77,A14,S19:S77)</f>
        <v>46654</v>
      </c>
      <c r="J14" s="247"/>
      <c r="K14" s="245" t="s">
        <v>3170</v>
      </c>
      <c r="L14" s="246"/>
      <c r="M14" s="247"/>
      <c r="R14" s="208"/>
    </row>
    <row r="15" spans="1:18" x14ac:dyDescent="0.2">
      <c r="A15" s="232" t="s">
        <v>3179</v>
      </c>
      <c r="B15" s="251"/>
      <c r="C15" s="245">
        <f>SUMIF(B19:B77,A15,E19:E77)</f>
        <v>111</v>
      </c>
      <c r="D15" s="247"/>
      <c r="E15" s="233">
        <f>C13-C15</f>
        <v>-111</v>
      </c>
      <c r="F15" s="222" t="str">
        <f>IFERROR(AVERAGEIF(B19:B77,A15,J19:J77),"-")</f>
        <v>-</v>
      </c>
      <c r="G15" s="222">
        <f>AVERAGEIF(B19:B77,A15,K19:K77)</f>
        <v>1332.7939289289288</v>
      </c>
      <c r="H15" s="251"/>
      <c r="I15" s="245">
        <f>SUMIF(B19:B77,A15,S19:S77)</f>
        <v>28</v>
      </c>
      <c r="J15" s="247"/>
      <c r="K15" s="207">
        <f>I13-I15</f>
        <v>301</v>
      </c>
      <c r="L15" s="222">
        <v>1336.9</v>
      </c>
      <c r="M15" s="222">
        <v>1335.4</v>
      </c>
      <c r="R15" s="208"/>
    </row>
    <row r="17" spans="1:20" x14ac:dyDescent="0.2">
      <c r="A17" s="3"/>
      <c r="B17" s="223" t="s">
        <v>3181</v>
      </c>
      <c r="C17" s="223"/>
      <c r="D17" s="223"/>
      <c r="E17" s="223"/>
      <c r="F17" s="223"/>
      <c r="G17" s="223"/>
      <c r="H17" s="223"/>
      <c r="I17" s="211"/>
      <c r="J17" s="210" t="s">
        <v>3203</v>
      </c>
      <c r="K17" s="210" t="s">
        <v>3204</v>
      </c>
      <c r="L17" s="210" t="s">
        <v>3189</v>
      </c>
      <c r="M17" s="210" t="s">
        <v>3188</v>
      </c>
      <c r="N17" s="212" t="s">
        <v>3203</v>
      </c>
      <c r="O17" s="223" t="s">
        <v>3204</v>
      </c>
      <c r="P17" s="223"/>
      <c r="Q17" s="223" t="s">
        <v>3180</v>
      </c>
      <c r="R17" s="223"/>
      <c r="S17" s="223"/>
      <c r="T17" s="223"/>
    </row>
    <row r="18" spans="1:20" x14ac:dyDescent="0.2">
      <c r="A18" s="3" t="s">
        <v>3192</v>
      </c>
      <c r="B18" s="3" t="s">
        <v>16</v>
      </c>
      <c r="C18" s="3" t="s">
        <v>3173</v>
      </c>
      <c r="D18" s="28" t="s">
        <v>3175</v>
      </c>
      <c r="E18" s="3" t="s">
        <v>3174</v>
      </c>
      <c r="F18" s="28" t="s">
        <v>3176</v>
      </c>
      <c r="G18" s="3" t="s">
        <v>3177</v>
      </c>
      <c r="H18" s="3" t="s">
        <v>3178</v>
      </c>
      <c r="I18" s="3" t="s">
        <v>3187</v>
      </c>
      <c r="J18" s="210"/>
      <c r="K18" s="210"/>
      <c r="L18" s="210"/>
      <c r="M18" s="210"/>
      <c r="N18" s="200"/>
      <c r="O18" s="3"/>
      <c r="P18" s="28" t="s">
        <v>3187</v>
      </c>
      <c r="Q18" s="3" t="s">
        <v>3173</v>
      </c>
      <c r="R18" s="28" t="s">
        <v>3175</v>
      </c>
      <c r="S18" s="3" t="s">
        <v>3174</v>
      </c>
      <c r="T18" s="3" t="s">
        <v>3176</v>
      </c>
    </row>
    <row r="19" spans="1:20" x14ac:dyDescent="0.2">
      <c r="A19" s="206"/>
      <c r="B19" s="3" t="s">
        <v>3172</v>
      </c>
      <c r="C19" s="3">
        <v>0</v>
      </c>
      <c r="D19" s="28"/>
      <c r="E19" s="3">
        <v>150</v>
      </c>
      <c r="F19" s="28">
        <v>19357830000</v>
      </c>
      <c r="G19" s="3">
        <v>150</v>
      </c>
      <c r="H19" s="28">
        <v>19357830000</v>
      </c>
      <c r="I19" s="222">
        <v>-150</v>
      </c>
      <c r="J19" s="222" t="str">
        <f>IFERROR(D19/C19/100000,"-")</f>
        <v>-</v>
      </c>
      <c r="K19" s="222">
        <f>IFERROR(F19/E19/100000,"-")</f>
        <v>1290.5219999999999</v>
      </c>
      <c r="L19" s="222">
        <v>1280</v>
      </c>
      <c r="M19" s="222">
        <v>1297.2</v>
      </c>
      <c r="N19" s="207">
        <f>IFERROR(R19/Q19/100000,"-")</f>
        <v>1300</v>
      </c>
      <c r="O19" s="3">
        <f>IFERROR(T19/S19/100000,"-")</f>
        <v>1300</v>
      </c>
      <c r="P19" s="28">
        <v>2</v>
      </c>
      <c r="Q19" s="3">
        <v>7</v>
      </c>
      <c r="R19" s="28">
        <v>910000000</v>
      </c>
      <c r="S19" s="3">
        <v>5</v>
      </c>
      <c r="T19" s="28">
        <v>650000000</v>
      </c>
    </row>
    <row r="20" spans="1:20" x14ac:dyDescent="0.2">
      <c r="A20" s="206"/>
      <c r="B20" s="3" t="s">
        <v>3172</v>
      </c>
      <c r="C20" s="3"/>
      <c r="D20" s="28"/>
      <c r="E20" s="3"/>
      <c r="F20" s="28"/>
      <c r="G20" s="3">
        <v>0</v>
      </c>
      <c r="H20" s="28">
        <v>0</v>
      </c>
      <c r="I20" s="222">
        <v>0</v>
      </c>
      <c r="J20" s="222" t="str">
        <f t="shared" ref="J20:J77" si="0">IFERROR(D20/C20/100000,"-")</f>
        <v>-</v>
      </c>
      <c r="K20" s="222" t="str">
        <f t="shared" ref="K20:K77" si="1">IFERROR(F20/E20/100000,"-")</f>
        <v>-</v>
      </c>
      <c r="L20" s="222">
        <v>1295</v>
      </c>
      <c r="M20" s="222">
        <v>1304.9000000000001</v>
      </c>
      <c r="N20" s="207">
        <f t="shared" ref="N20:N77" si="2">IFERROR(R20/Q20/100000,"-")</f>
        <v>1298.0198019801981</v>
      </c>
      <c r="O20" s="222">
        <f>IFERROR(T20/S20/100000,"-")</f>
        <v>1300</v>
      </c>
      <c r="P20" s="28">
        <v>100</v>
      </c>
      <c r="Q20" s="3">
        <v>101</v>
      </c>
      <c r="R20" s="28">
        <v>13110000000</v>
      </c>
      <c r="S20" s="3">
        <v>1</v>
      </c>
      <c r="T20" s="28">
        <v>130000000</v>
      </c>
    </row>
    <row r="21" spans="1:20" x14ac:dyDescent="0.2">
      <c r="A21" s="206"/>
      <c r="B21" s="3" t="s">
        <v>3172</v>
      </c>
      <c r="C21" s="3"/>
      <c r="D21" s="28"/>
      <c r="E21" s="3"/>
      <c r="F21" s="28"/>
      <c r="G21" s="3">
        <v>0</v>
      </c>
      <c r="H21" s="28">
        <v>0</v>
      </c>
      <c r="I21" s="222">
        <v>0</v>
      </c>
      <c r="J21" s="222" t="str">
        <f t="shared" si="0"/>
        <v>-</v>
      </c>
      <c r="K21" s="222" t="str">
        <f t="shared" si="1"/>
        <v>-</v>
      </c>
      <c r="L21" s="222">
        <v>1298.5</v>
      </c>
      <c r="M21" s="222">
        <v>1304.8</v>
      </c>
      <c r="N21" s="207">
        <f t="shared" si="2"/>
        <v>1302.6315789473683</v>
      </c>
      <c r="O21" s="222" t="str">
        <f t="shared" ref="O21:O39" si="3">IFERROR(T21/S21/100000,"-")</f>
        <v>-</v>
      </c>
      <c r="P21" s="28">
        <v>38</v>
      </c>
      <c r="Q21" s="3">
        <v>38</v>
      </c>
      <c r="R21" s="28">
        <v>4950000000</v>
      </c>
      <c r="S21" s="3"/>
      <c r="T21" s="28"/>
    </row>
    <row r="22" spans="1:20" x14ac:dyDescent="0.2">
      <c r="A22" s="206"/>
      <c r="B22" s="3" t="s">
        <v>3172</v>
      </c>
      <c r="C22" s="3"/>
      <c r="D22" s="28"/>
      <c r="E22" s="3"/>
      <c r="F22" s="28"/>
      <c r="G22" s="3">
        <v>0</v>
      </c>
      <c r="H22" s="28">
        <v>0</v>
      </c>
      <c r="I22" s="222">
        <v>0</v>
      </c>
      <c r="J22" s="222" t="str">
        <f t="shared" si="0"/>
        <v>-</v>
      </c>
      <c r="K22" s="222" t="str">
        <f t="shared" si="1"/>
        <v>-</v>
      </c>
      <c r="L22" s="222">
        <v>1301.3</v>
      </c>
      <c r="M22" s="222">
        <v>1315</v>
      </c>
      <c r="N22" s="207" t="str">
        <f t="shared" si="2"/>
        <v>-</v>
      </c>
      <c r="O22" s="222">
        <f t="shared" si="3"/>
        <v>1300</v>
      </c>
      <c r="P22" s="28">
        <v>-3</v>
      </c>
      <c r="Q22" s="3">
        <v>0</v>
      </c>
      <c r="R22" s="28">
        <v>0</v>
      </c>
      <c r="S22" s="3">
        <v>3</v>
      </c>
      <c r="T22" s="28">
        <v>390000000</v>
      </c>
    </row>
    <row r="23" spans="1:20" x14ac:dyDescent="0.2">
      <c r="A23" s="206"/>
      <c r="B23" s="3" t="s">
        <v>3172</v>
      </c>
      <c r="C23" s="3"/>
      <c r="D23" s="28"/>
      <c r="E23" s="3"/>
      <c r="F23" s="28"/>
      <c r="G23" s="3">
        <v>0</v>
      </c>
      <c r="H23" s="28">
        <v>0</v>
      </c>
      <c r="I23" s="222">
        <v>0</v>
      </c>
      <c r="J23" s="222" t="str">
        <f t="shared" si="0"/>
        <v>-</v>
      </c>
      <c r="K23" s="222" t="str">
        <f t="shared" si="1"/>
        <v>-</v>
      </c>
      <c r="L23" s="222">
        <v>1306.2</v>
      </c>
      <c r="M23" s="222">
        <v>1312.7</v>
      </c>
      <c r="N23" s="207" t="str">
        <f t="shared" si="2"/>
        <v>-</v>
      </c>
      <c r="O23" s="222" t="str">
        <f t="shared" si="3"/>
        <v>-</v>
      </c>
      <c r="P23" s="28">
        <v>0</v>
      </c>
      <c r="Q23" s="3"/>
      <c r="R23" s="28"/>
      <c r="S23" s="3"/>
      <c r="T23" s="28"/>
    </row>
    <row r="24" spans="1:20" x14ac:dyDescent="0.2">
      <c r="A24" s="206"/>
      <c r="B24" s="3" t="s">
        <v>3172</v>
      </c>
      <c r="C24" s="217"/>
      <c r="D24" s="218"/>
      <c r="E24" s="217"/>
      <c r="F24" s="218"/>
      <c r="G24" s="217">
        <v>0</v>
      </c>
      <c r="H24" s="218">
        <v>0</v>
      </c>
      <c r="I24" s="222">
        <v>0</v>
      </c>
      <c r="J24" s="222" t="str">
        <f t="shared" si="0"/>
        <v>-</v>
      </c>
      <c r="K24" s="222" t="str">
        <f t="shared" si="1"/>
        <v>-</v>
      </c>
      <c r="L24" s="222">
        <v>1309.5</v>
      </c>
      <c r="M24" s="222">
        <v>1322.5</v>
      </c>
      <c r="N24" s="207" t="str">
        <f t="shared" si="2"/>
        <v>-</v>
      </c>
      <c r="O24" s="222" t="str">
        <f t="shared" si="3"/>
        <v>-</v>
      </c>
      <c r="P24" s="218">
        <v>0</v>
      </c>
      <c r="Q24" s="217"/>
      <c r="R24" s="218"/>
      <c r="S24" s="217"/>
      <c r="T24" s="218"/>
    </row>
    <row r="25" spans="1:20" x14ac:dyDescent="0.2">
      <c r="A25" s="206"/>
      <c r="B25" s="3" t="s">
        <v>3172</v>
      </c>
      <c r="C25" s="3"/>
      <c r="D25" s="28"/>
      <c r="E25" s="3">
        <v>1</v>
      </c>
      <c r="F25" s="28">
        <v>131080000</v>
      </c>
      <c r="G25" s="3">
        <v>1</v>
      </c>
      <c r="H25" s="28">
        <v>131080000</v>
      </c>
      <c r="I25" s="3">
        <v>-1</v>
      </c>
      <c r="J25" s="222" t="str">
        <f t="shared" si="0"/>
        <v>-</v>
      </c>
      <c r="K25" s="222">
        <f t="shared" si="1"/>
        <v>1310.8</v>
      </c>
      <c r="L25" s="3">
        <v>1309.2</v>
      </c>
      <c r="M25" s="3">
        <v>1321.5</v>
      </c>
      <c r="N25" s="207" t="str">
        <f t="shared" si="2"/>
        <v>-</v>
      </c>
      <c r="O25" s="222">
        <f>IFERROR(T25/S25/100000,"-")</f>
        <v>1300</v>
      </c>
      <c r="P25" s="28">
        <v>-1</v>
      </c>
      <c r="Q25" s="3"/>
      <c r="R25" s="28"/>
      <c r="S25" s="3">
        <v>1</v>
      </c>
      <c r="T25" s="28">
        <v>130000000</v>
      </c>
    </row>
    <row r="26" spans="1:20" x14ac:dyDescent="0.2">
      <c r="A26" s="206"/>
      <c r="B26" s="3" t="s">
        <v>3179</v>
      </c>
      <c r="C26" s="3"/>
      <c r="D26" s="28"/>
      <c r="E26" s="3">
        <v>17</v>
      </c>
      <c r="F26" s="28">
        <v>2245700000</v>
      </c>
      <c r="G26" s="217">
        <v>17</v>
      </c>
      <c r="H26" s="218">
        <v>2245700000</v>
      </c>
      <c r="I26" s="3">
        <v>-17</v>
      </c>
      <c r="J26" s="222" t="str">
        <f t="shared" si="0"/>
        <v>-</v>
      </c>
      <c r="K26" s="222">
        <f t="shared" si="1"/>
        <v>1321</v>
      </c>
      <c r="L26" s="3">
        <v>1310.0999999999999</v>
      </c>
      <c r="M26" s="3">
        <v>1321</v>
      </c>
      <c r="N26" s="207" t="str">
        <f t="shared" si="2"/>
        <v>-</v>
      </c>
      <c r="O26" s="222" t="str">
        <f t="shared" si="3"/>
        <v>-</v>
      </c>
      <c r="P26" s="28">
        <v>0</v>
      </c>
      <c r="Q26" s="3"/>
      <c r="R26" s="28"/>
      <c r="S26" s="3"/>
      <c r="T26" s="28"/>
    </row>
    <row r="27" spans="1:20" x14ac:dyDescent="0.2">
      <c r="A27" s="206"/>
      <c r="B27" s="3" t="s">
        <v>3172</v>
      </c>
      <c r="C27" s="3"/>
      <c r="D27" s="28"/>
      <c r="E27" s="3">
        <v>33</v>
      </c>
      <c r="F27" s="28">
        <v>4372500000</v>
      </c>
      <c r="G27" s="3">
        <v>33</v>
      </c>
      <c r="H27" s="28">
        <v>4372500000</v>
      </c>
      <c r="I27" s="3">
        <v>-33</v>
      </c>
      <c r="J27" s="222" t="str">
        <f t="shared" si="0"/>
        <v>-</v>
      </c>
      <c r="K27" s="222">
        <f t="shared" si="1"/>
        <v>1325</v>
      </c>
      <c r="L27" s="3">
        <v>1315</v>
      </c>
      <c r="M27" s="3">
        <v>1325.8</v>
      </c>
      <c r="N27" s="207">
        <f t="shared" si="2"/>
        <v>1320.8333333333333</v>
      </c>
      <c r="O27" s="222" t="str">
        <f t="shared" si="3"/>
        <v>-</v>
      </c>
      <c r="P27" s="28">
        <v>120</v>
      </c>
      <c r="Q27" s="3">
        <v>120</v>
      </c>
      <c r="R27" s="28">
        <v>15850000000</v>
      </c>
      <c r="S27" s="3"/>
      <c r="T27" s="28"/>
    </row>
    <row r="28" spans="1:20" x14ac:dyDescent="0.2">
      <c r="A28" s="206"/>
      <c r="B28" s="3" t="s">
        <v>3172</v>
      </c>
      <c r="C28" s="3"/>
      <c r="D28" s="28"/>
      <c r="E28" s="3"/>
      <c r="F28" s="28"/>
      <c r="G28" s="3">
        <v>0</v>
      </c>
      <c r="H28" s="28">
        <v>0</v>
      </c>
      <c r="I28" s="3">
        <v>0</v>
      </c>
      <c r="J28" s="222" t="str">
        <f t="shared" si="0"/>
        <v>-</v>
      </c>
      <c r="K28" s="222" t="str">
        <f t="shared" si="1"/>
        <v>-</v>
      </c>
      <c r="L28" s="3">
        <v>1310.0999999999999</v>
      </c>
      <c r="M28" s="3">
        <v>1321.8</v>
      </c>
      <c r="N28" s="207">
        <f t="shared" si="2"/>
        <v>1317.391304347826</v>
      </c>
      <c r="O28" s="222" t="str">
        <f>IFERROR(T28/S28/100000,"-")</f>
        <v>-</v>
      </c>
      <c r="P28" s="28">
        <v>46</v>
      </c>
      <c r="Q28" s="3">
        <v>46</v>
      </c>
      <c r="R28" s="28">
        <v>6060000000</v>
      </c>
      <c r="S28" s="3"/>
      <c r="T28" s="28"/>
    </row>
    <row r="29" spans="1:20" x14ac:dyDescent="0.2">
      <c r="A29" s="206"/>
      <c r="B29" s="3" t="s">
        <v>3172</v>
      </c>
      <c r="C29" s="3"/>
      <c r="D29" s="28"/>
      <c r="E29" s="3"/>
      <c r="F29" s="28"/>
      <c r="G29" s="3">
        <v>0</v>
      </c>
      <c r="H29" s="28">
        <v>0</v>
      </c>
      <c r="I29" s="3">
        <v>0</v>
      </c>
      <c r="J29" s="222" t="str">
        <f t="shared" si="0"/>
        <v>-</v>
      </c>
      <c r="K29" s="222" t="str">
        <f t="shared" si="1"/>
        <v>-</v>
      </c>
      <c r="L29" s="3">
        <v>1308</v>
      </c>
      <c r="M29" s="3">
        <v>1316</v>
      </c>
      <c r="N29" s="207">
        <f t="shared" si="2"/>
        <v>1300</v>
      </c>
      <c r="O29" s="222" t="str">
        <f t="shared" si="3"/>
        <v>-</v>
      </c>
      <c r="P29" s="28">
        <v>4</v>
      </c>
      <c r="Q29" s="3">
        <v>4</v>
      </c>
      <c r="R29" s="28">
        <v>520000000</v>
      </c>
      <c r="S29" s="3"/>
      <c r="T29" s="28"/>
    </row>
    <row r="30" spans="1:20" x14ac:dyDescent="0.2">
      <c r="A30" s="206"/>
      <c r="B30" s="3" t="s">
        <v>3172</v>
      </c>
      <c r="C30" s="3"/>
      <c r="D30" s="28"/>
      <c r="E30" s="3"/>
      <c r="F30" s="28"/>
      <c r="G30" s="3">
        <v>0</v>
      </c>
      <c r="H30" s="28">
        <v>0</v>
      </c>
      <c r="I30" s="3">
        <v>0</v>
      </c>
      <c r="J30" s="222" t="str">
        <f t="shared" si="0"/>
        <v>-</v>
      </c>
      <c r="K30" s="222" t="str">
        <f t="shared" si="1"/>
        <v>-</v>
      </c>
      <c r="L30" s="3">
        <v>1308.5999999999999</v>
      </c>
      <c r="M30" s="3">
        <v>1350.4</v>
      </c>
      <c r="N30" s="207">
        <f t="shared" si="2"/>
        <v>1328.2608695652173</v>
      </c>
      <c r="O30" s="222">
        <f t="shared" si="3"/>
        <v>1333.3333333333333</v>
      </c>
      <c r="P30" s="28">
        <v>135</v>
      </c>
      <c r="Q30" s="3">
        <v>138</v>
      </c>
      <c r="R30" s="28">
        <v>18330000000</v>
      </c>
      <c r="S30" s="3">
        <v>3</v>
      </c>
      <c r="T30" s="28">
        <v>400000000</v>
      </c>
    </row>
    <row r="31" spans="1:20" x14ac:dyDescent="0.2">
      <c r="A31" s="206"/>
      <c r="B31" s="3" t="s">
        <v>3172</v>
      </c>
      <c r="C31" s="3"/>
      <c r="D31" s="28"/>
      <c r="E31" s="3"/>
      <c r="F31" s="28"/>
      <c r="G31" s="3">
        <v>0</v>
      </c>
      <c r="H31" s="28">
        <v>0</v>
      </c>
      <c r="I31" s="3">
        <v>0</v>
      </c>
      <c r="J31" s="222" t="str">
        <f t="shared" si="0"/>
        <v>-</v>
      </c>
      <c r="K31" s="222" t="str">
        <f t="shared" si="1"/>
        <v>-</v>
      </c>
      <c r="L31" s="3">
        <v>1346</v>
      </c>
      <c r="M31" s="3">
        <v>1353.5</v>
      </c>
      <c r="N31" s="207">
        <f t="shared" si="2"/>
        <v>1348</v>
      </c>
      <c r="O31" s="222">
        <f t="shared" si="3"/>
        <v>1350</v>
      </c>
      <c r="P31" s="28">
        <v>48</v>
      </c>
      <c r="Q31" s="3">
        <v>50</v>
      </c>
      <c r="R31" s="28">
        <v>6740000000</v>
      </c>
      <c r="S31" s="3">
        <v>2</v>
      </c>
      <c r="T31" s="28">
        <v>270000000</v>
      </c>
    </row>
    <row r="32" spans="1:20" x14ac:dyDescent="0.2">
      <c r="A32" s="206"/>
      <c r="B32" s="3" t="s">
        <v>3172</v>
      </c>
      <c r="C32" s="3"/>
      <c r="D32" s="28"/>
      <c r="E32" s="3"/>
      <c r="F32" s="28"/>
      <c r="G32" s="3">
        <v>0</v>
      </c>
      <c r="H32" s="28">
        <v>0</v>
      </c>
      <c r="I32" s="3">
        <v>0</v>
      </c>
      <c r="J32" s="222" t="str">
        <f t="shared" si="0"/>
        <v>-</v>
      </c>
      <c r="K32" s="222" t="str">
        <f t="shared" si="1"/>
        <v>-</v>
      </c>
      <c r="L32" s="3">
        <v>1341.5</v>
      </c>
      <c r="M32" s="3">
        <v>1356.5</v>
      </c>
      <c r="N32" s="207" t="str">
        <f t="shared" si="2"/>
        <v>-</v>
      </c>
      <c r="O32" s="222" t="str">
        <f t="shared" si="3"/>
        <v>-</v>
      </c>
      <c r="P32" s="28">
        <v>0</v>
      </c>
      <c r="Q32" s="3"/>
      <c r="R32" s="28"/>
      <c r="S32" s="3"/>
      <c r="T32" s="28"/>
    </row>
    <row r="33" spans="1:20" x14ac:dyDescent="0.2">
      <c r="A33" s="206"/>
      <c r="B33" s="3" t="s">
        <v>3172</v>
      </c>
      <c r="C33" s="3"/>
      <c r="D33" s="28"/>
      <c r="E33" s="3"/>
      <c r="F33" s="28"/>
      <c r="G33" s="3">
        <v>0</v>
      </c>
      <c r="H33" s="28">
        <v>0</v>
      </c>
      <c r="I33" s="3">
        <v>0</v>
      </c>
      <c r="J33" s="222" t="str">
        <f t="shared" si="0"/>
        <v>-</v>
      </c>
      <c r="K33" s="222" t="str">
        <f t="shared" si="1"/>
        <v>-</v>
      </c>
      <c r="L33" s="3">
        <v>1342</v>
      </c>
      <c r="M33" s="3">
        <v>1350.6</v>
      </c>
      <c r="N33" s="207">
        <f t="shared" si="2"/>
        <v>1346.3414634146341</v>
      </c>
      <c r="O33" s="222" t="str">
        <f>IFERROR(T33/S33/100000,"-")</f>
        <v>-</v>
      </c>
      <c r="P33" s="28">
        <v>41</v>
      </c>
      <c r="Q33" s="3">
        <v>41</v>
      </c>
      <c r="R33" s="28">
        <v>5520000000</v>
      </c>
      <c r="S33" s="3"/>
      <c r="T33" s="28"/>
    </row>
    <row r="34" spans="1:20" x14ac:dyDescent="0.2">
      <c r="A34" s="206"/>
      <c r="B34" s="3" t="s">
        <v>3172</v>
      </c>
      <c r="C34" s="3"/>
      <c r="D34" s="28"/>
      <c r="E34" s="3"/>
      <c r="F34" s="28"/>
      <c r="G34" s="3">
        <v>0</v>
      </c>
      <c r="H34" s="28">
        <v>0</v>
      </c>
      <c r="I34" s="3">
        <v>0</v>
      </c>
      <c r="J34" s="222" t="str">
        <f t="shared" si="0"/>
        <v>-</v>
      </c>
      <c r="K34" s="222" t="str">
        <f t="shared" si="1"/>
        <v>-</v>
      </c>
      <c r="L34" s="3">
        <v>1339</v>
      </c>
      <c r="M34" s="3">
        <v>1351.6</v>
      </c>
      <c r="N34" s="207">
        <f t="shared" si="2"/>
        <v>1342.8571428571429</v>
      </c>
      <c r="O34" s="222" t="str">
        <f t="shared" si="3"/>
        <v>-</v>
      </c>
      <c r="P34" s="28">
        <v>28</v>
      </c>
      <c r="Q34" s="3">
        <v>28</v>
      </c>
      <c r="R34" s="28">
        <v>3760000000</v>
      </c>
      <c r="S34" s="3"/>
      <c r="T34" s="28"/>
    </row>
    <row r="35" spans="1:20" x14ac:dyDescent="0.2">
      <c r="A35" s="206"/>
      <c r="B35" s="3" t="s">
        <v>3172</v>
      </c>
      <c r="C35" s="3"/>
      <c r="D35" s="28"/>
      <c r="E35" s="3">
        <v>100</v>
      </c>
      <c r="F35" s="28">
        <v>13513000000</v>
      </c>
      <c r="G35" s="3">
        <v>100</v>
      </c>
      <c r="H35" s="28">
        <v>13513000000</v>
      </c>
      <c r="I35" s="3">
        <v>-100</v>
      </c>
      <c r="J35" s="222" t="str">
        <f t="shared" si="0"/>
        <v>-</v>
      </c>
      <c r="K35" s="222">
        <f t="shared" si="1"/>
        <v>1351.3</v>
      </c>
      <c r="L35" s="3">
        <v>1342.5</v>
      </c>
      <c r="M35" s="3">
        <v>1356</v>
      </c>
      <c r="N35" s="207">
        <f t="shared" si="2"/>
        <v>1349.2307692307693</v>
      </c>
      <c r="O35" s="222">
        <f>IFERROR(T35/S35/100000,"-")</f>
        <v>1350</v>
      </c>
      <c r="P35" s="28">
        <v>43</v>
      </c>
      <c r="Q35" s="3">
        <v>65</v>
      </c>
      <c r="R35" s="28">
        <v>8770000000</v>
      </c>
      <c r="S35" s="3">
        <v>22</v>
      </c>
      <c r="T35" s="28">
        <v>2970000000</v>
      </c>
    </row>
    <row r="36" spans="1:20" x14ac:dyDescent="0.2">
      <c r="A36" s="206"/>
      <c r="B36" s="3" t="s">
        <v>3179</v>
      </c>
      <c r="C36" s="3"/>
      <c r="D36" s="28"/>
      <c r="E36" s="3"/>
      <c r="F36" s="28"/>
      <c r="G36" s="3">
        <v>0</v>
      </c>
      <c r="H36" s="28">
        <v>0</v>
      </c>
      <c r="I36" s="3">
        <v>0</v>
      </c>
      <c r="J36" s="222" t="str">
        <f t="shared" si="0"/>
        <v>-</v>
      </c>
      <c r="K36" s="222" t="str">
        <f t="shared" si="1"/>
        <v>-</v>
      </c>
      <c r="L36" s="3">
        <v>1342.5</v>
      </c>
      <c r="M36" s="3">
        <v>1354</v>
      </c>
      <c r="N36" s="207">
        <f t="shared" si="2"/>
        <v>1350</v>
      </c>
      <c r="O36" s="222" t="str">
        <f t="shared" si="3"/>
        <v>-</v>
      </c>
      <c r="P36" s="28">
        <v>32</v>
      </c>
      <c r="Q36" s="3">
        <v>32</v>
      </c>
      <c r="R36" s="28">
        <v>4320000000</v>
      </c>
      <c r="S36" s="3"/>
      <c r="T36" s="28"/>
    </row>
    <row r="37" spans="1:20" x14ac:dyDescent="0.2">
      <c r="A37" s="206"/>
      <c r="B37" s="3" t="s">
        <v>3172</v>
      </c>
      <c r="C37" s="3"/>
      <c r="D37" s="28"/>
      <c r="E37" s="3">
        <v>1</v>
      </c>
      <c r="F37" s="28">
        <v>133860000</v>
      </c>
      <c r="G37" s="3">
        <v>1</v>
      </c>
      <c r="H37" s="28">
        <v>133860000</v>
      </c>
      <c r="I37" s="3">
        <v>-1</v>
      </c>
      <c r="J37" s="222" t="str">
        <f t="shared" si="0"/>
        <v>-</v>
      </c>
      <c r="K37" s="222">
        <f t="shared" si="1"/>
        <v>1338.6</v>
      </c>
      <c r="L37" s="3">
        <v>1335.7</v>
      </c>
      <c r="M37" s="3">
        <v>1343</v>
      </c>
      <c r="N37" s="207">
        <f t="shared" si="2"/>
        <v>1340</v>
      </c>
      <c r="O37" s="222">
        <f t="shared" si="3"/>
        <v>1339.2857142857142</v>
      </c>
      <c r="P37" s="28">
        <v>-23</v>
      </c>
      <c r="Q37" s="3">
        <v>5</v>
      </c>
      <c r="R37" s="28">
        <v>670000000</v>
      </c>
      <c r="S37" s="3">
        <v>28</v>
      </c>
      <c r="T37" s="28">
        <v>3750000000</v>
      </c>
    </row>
    <row r="38" spans="1:20" x14ac:dyDescent="0.2">
      <c r="A38" s="206"/>
      <c r="B38" s="3" t="s">
        <v>3172</v>
      </c>
      <c r="C38" s="3"/>
      <c r="D38" s="28"/>
      <c r="E38" s="3"/>
      <c r="F38" s="28"/>
      <c r="G38" s="3">
        <v>0</v>
      </c>
      <c r="H38" s="28">
        <v>0</v>
      </c>
      <c r="I38" s="3">
        <v>0</v>
      </c>
      <c r="J38" s="222" t="str">
        <f t="shared" si="0"/>
        <v>-</v>
      </c>
      <c r="K38" s="222" t="str">
        <f t="shared" si="1"/>
        <v>-</v>
      </c>
      <c r="L38" s="3">
        <v>1335.5</v>
      </c>
      <c r="M38" s="3">
        <v>1344</v>
      </c>
      <c r="N38" s="207">
        <f t="shared" si="2"/>
        <v>1339.9506781750924</v>
      </c>
      <c r="O38" s="222">
        <f t="shared" si="3"/>
        <v>1344.4444444444446</v>
      </c>
      <c r="P38" s="28">
        <v>802</v>
      </c>
      <c r="Q38" s="3">
        <v>811</v>
      </c>
      <c r="R38" s="28">
        <v>108670000000</v>
      </c>
      <c r="S38" s="3">
        <v>9</v>
      </c>
      <c r="T38" s="28">
        <v>1210000000</v>
      </c>
    </row>
    <row r="39" spans="1:20" x14ac:dyDescent="0.2">
      <c r="A39" s="206"/>
      <c r="B39" s="3" t="s">
        <v>3179</v>
      </c>
      <c r="C39" s="3"/>
      <c r="D39" s="28"/>
      <c r="E39" s="3"/>
      <c r="F39" s="28"/>
      <c r="G39" s="3">
        <v>0</v>
      </c>
      <c r="H39" s="28">
        <v>0</v>
      </c>
      <c r="I39" s="3">
        <v>0</v>
      </c>
      <c r="J39" s="222" t="str">
        <f t="shared" si="0"/>
        <v>-</v>
      </c>
      <c r="K39" s="222" t="str">
        <f t="shared" si="1"/>
        <v>-</v>
      </c>
      <c r="L39" s="3">
        <v>1333.9</v>
      </c>
      <c r="M39" s="3">
        <v>1342.4</v>
      </c>
      <c r="N39" s="207">
        <f t="shared" si="2"/>
        <v>1333.3333333333333</v>
      </c>
      <c r="O39" s="222" t="str">
        <f t="shared" si="3"/>
        <v>-</v>
      </c>
      <c r="P39" s="28">
        <v>9</v>
      </c>
      <c r="Q39" s="3">
        <v>9</v>
      </c>
      <c r="R39" s="28">
        <v>1200000000</v>
      </c>
      <c r="S39" s="3"/>
      <c r="T39" s="28"/>
    </row>
    <row r="40" spans="1:20" x14ac:dyDescent="0.2">
      <c r="A40" s="206"/>
      <c r="B40" s="3" t="s">
        <v>3205</v>
      </c>
      <c r="C40" s="3"/>
      <c r="D40" s="28"/>
      <c r="E40" s="3"/>
      <c r="F40" s="28"/>
      <c r="G40" s="3">
        <v>0</v>
      </c>
      <c r="H40" s="28">
        <v>0</v>
      </c>
      <c r="I40" s="3">
        <v>0</v>
      </c>
      <c r="J40" s="222" t="str">
        <f t="shared" si="0"/>
        <v>-</v>
      </c>
      <c r="K40" s="222" t="str">
        <f t="shared" si="1"/>
        <v>-</v>
      </c>
      <c r="L40" s="3">
        <v>1336.3</v>
      </c>
      <c r="M40" s="3">
        <v>1350</v>
      </c>
      <c r="N40" s="207">
        <f t="shared" si="2"/>
        <v>1343.75</v>
      </c>
      <c r="O40" s="222">
        <f>IFERROR(T40/S40/100000,"-")</f>
        <v>1300</v>
      </c>
      <c r="P40" s="28">
        <v>79</v>
      </c>
      <c r="Q40" s="3">
        <v>80</v>
      </c>
      <c r="R40" s="28">
        <v>10750000000</v>
      </c>
      <c r="S40" s="3">
        <v>1</v>
      </c>
      <c r="T40" s="28">
        <v>130000000</v>
      </c>
    </row>
    <row r="41" spans="1:20" x14ac:dyDescent="0.2">
      <c r="A41" s="206"/>
      <c r="B41" s="3" t="s">
        <v>3172</v>
      </c>
      <c r="C41" s="3"/>
      <c r="D41" s="28"/>
      <c r="E41" s="3">
        <v>1242</v>
      </c>
      <c r="F41" s="28">
        <v>166445670000</v>
      </c>
      <c r="G41" s="3">
        <v>1242</v>
      </c>
      <c r="H41" s="28">
        <v>166445670000</v>
      </c>
      <c r="I41" s="3">
        <v>-1242</v>
      </c>
      <c r="J41" s="222" t="str">
        <f t="shared" si="0"/>
        <v>-</v>
      </c>
      <c r="K41" s="222">
        <f t="shared" si="1"/>
        <v>1340.142270531401</v>
      </c>
      <c r="L41" s="3">
        <v>1337.6</v>
      </c>
      <c r="M41" s="3">
        <v>1343.5</v>
      </c>
      <c r="N41" s="207">
        <f t="shared" si="2"/>
        <v>1339.9931224209079</v>
      </c>
      <c r="O41" s="222">
        <f>IFERROR(T41/S41/100000,"-")</f>
        <v>1339.9724328049622</v>
      </c>
      <c r="P41" s="28">
        <v>1457</v>
      </c>
      <c r="Q41" s="3">
        <v>2908</v>
      </c>
      <c r="R41" s="28">
        <v>389670000000</v>
      </c>
      <c r="S41" s="3">
        <v>1451</v>
      </c>
      <c r="T41" s="28">
        <v>194430000000</v>
      </c>
    </row>
    <row r="42" spans="1:20" x14ac:dyDescent="0.2">
      <c r="A42" s="206"/>
      <c r="B42" s="3" t="s">
        <v>3179</v>
      </c>
      <c r="C42" s="3"/>
      <c r="D42" s="28"/>
      <c r="E42" s="3"/>
      <c r="F42" s="28"/>
      <c r="G42" s="3">
        <v>0</v>
      </c>
      <c r="H42" s="28">
        <v>0</v>
      </c>
      <c r="I42" s="3">
        <v>0</v>
      </c>
      <c r="J42" s="222" t="str">
        <f t="shared" si="0"/>
        <v>-</v>
      </c>
      <c r="K42" s="222" t="str">
        <f t="shared" si="1"/>
        <v>-</v>
      </c>
      <c r="L42" s="3">
        <v>1336.1</v>
      </c>
      <c r="M42" s="3">
        <v>1341.4</v>
      </c>
      <c r="N42" s="207">
        <f t="shared" si="2"/>
        <v>1338.4615384615383</v>
      </c>
      <c r="O42" s="222">
        <f t="shared" ref="O42:O48" si="4">IFERROR(T42/S42/100000,"-")</f>
        <v>1333.3333333333333</v>
      </c>
      <c r="P42" s="28">
        <v>49</v>
      </c>
      <c r="Q42" s="3">
        <v>52</v>
      </c>
      <c r="R42" s="28">
        <v>6960000000</v>
      </c>
      <c r="S42" s="3">
        <v>3</v>
      </c>
      <c r="T42" s="28">
        <v>400000000</v>
      </c>
    </row>
    <row r="43" spans="1:20" x14ac:dyDescent="0.2">
      <c r="A43" s="206"/>
      <c r="B43" s="3" t="s">
        <v>3205</v>
      </c>
      <c r="C43" s="3"/>
      <c r="D43" s="28"/>
      <c r="E43" s="3"/>
      <c r="F43" s="28"/>
      <c r="G43" s="3">
        <v>0</v>
      </c>
      <c r="H43" s="28">
        <v>0</v>
      </c>
      <c r="I43" s="3">
        <v>0</v>
      </c>
      <c r="J43" s="222" t="str">
        <f t="shared" si="0"/>
        <v>-</v>
      </c>
      <c r="K43" s="222" t="str">
        <f t="shared" si="1"/>
        <v>-</v>
      </c>
      <c r="L43" s="3">
        <v>1340.3</v>
      </c>
      <c r="M43" s="3">
        <v>1350</v>
      </c>
      <c r="N43" s="207">
        <f t="shared" si="2"/>
        <v>1345</v>
      </c>
      <c r="O43" s="222" t="str">
        <f t="shared" si="4"/>
        <v>-</v>
      </c>
      <c r="P43" s="28">
        <v>80</v>
      </c>
      <c r="Q43" s="3">
        <v>80</v>
      </c>
      <c r="R43" s="28">
        <v>10760000000</v>
      </c>
      <c r="S43" s="3"/>
      <c r="T43" s="28"/>
    </row>
    <row r="44" spans="1:20" x14ac:dyDescent="0.2">
      <c r="A44" s="206"/>
      <c r="B44" s="3" t="s">
        <v>3172</v>
      </c>
      <c r="C44" s="3">
        <v>20</v>
      </c>
      <c r="D44" s="28">
        <v>2678400000</v>
      </c>
      <c r="E44" s="3">
        <v>2820</v>
      </c>
      <c r="F44" s="28">
        <v>377929990000</v>
      </c>
      <c r="G44" s="3">
        <v>2840</v>
      </c>
      <c r="H44" s="28">
        <v>380608390000</v>
      </c>
      <c r="I44" s="3">
        <v>-2800</v>
      </c>
      <c r="J44" s="222">
        <f t="shared" si="0"/>
        <v>1339.2</v>
      </c>
      <c r="K44" s="222">
        <f t="shared" si="1"/>
        <v>1340.1772695035461</v>
      </c>
      <c r="L44" s="3">
        <v>1337.9</v>
      </c>
      <c r="M44" s="3">
        <v>1344</v>
      </c>
      <c r="N44" s="207">
        <f t="shared" si="2"/>
        <v>1340.1341410644743</v>
      </c>
      <c r="O44" s="222">
        <f t="shared" si="4"/>
        <v>1340.1433691756272</v>
      </c>
      <c r="P44" s="28">
        <v>2390</v>
      </c>
      <c r="Q44" s="3">
        <v>4622</v>
      </c>
      <c r="R44" s="28">
        <v>619410000000</v>
      </c>
      <c r="S44" s="3">
        <v>2232</v>
      </c>
      <c r="T44" s="28">
        <v>299120000000</v>
      </c>
    </row>
    <row r="45" spans="1:20" x14ac:dyDescent="0.2">
      <c r="A45" s="206"/>
      <c r="B45" s="3" t="s">
        <v>3179</v>
      </c>
      <c r="C45" s="3"/>
      <c r="D45" s="28"/>
      <c r="E45" s="3"/>
      <c r="F45" s="28"/>
      <c r="G45" s="3">
        <v>0</v>
      </c>
      <c r="H45" s="28">
        <v>0</v>
      </c>
      <c r="I45" s="3">
        <v>0</v>
      </c>
      <c r="J45" s="222" t="str">
        <f t="shared" si="0"/>
        <v>-</v>
      </c>
      <c r="K45" s="222" t="str">
        <f t="shared" si="1"/>
        <v>-</v>
      </c>
      <c r="L45" s="3">
        <v>1339.5</v>
      </c>
      <c r="M45" s="3">
        <v>1343</v>
      </c>
      <c r="N45" s="207">
        <f t="shared" si="2"/>
        <v>1342.8571428571429</v>
      </c>
      <c r="O45" s="222" t="str">
        <f t="shared" si="4"/>
        <v>-</v>
      </c>
      <c r="P45" s="28">
        <v>7</v>
      </c>
      <c r="Q45" s="3">
        <v>7</v>
      </c>
      <c r="R45" s="28">
        <v>940000000</v>
      </c>
      <c r="S45" s="3"/>
      <c r="T45" s="28"/>
    </row>
    <row r="46" spans="1:20" x14ac:dyDescent="0.2">
      <c r="A46" s="206"/>
      <c r="B46" s="3" t="s">
        <v>3205</v>
      </c>
      <c r="C46" s="3"/>
      <c r="D46" s="28"/>
      <c r="E46" s="3"/>
      <c r="F46" s="28"/>
      <c r="G46" s="3">
        <v>0</v>
      </c>
      <c r="H46" s="28">
        <v>0</v>
      </c>
      <c r="I46" s="3">
        <v>0</v>
      </c>
      <c r="J46" s="222" t="str">
        <f t="shared" si="0"/>
        <v>-</v>
      </c>
      <c r="K46" s="222" t="str">
        <f t="shared" si="1"/>
        <v>-</v>
      </c>
      <c r="L46" s="3">
        <v>1343.1</v>
      </c>
      <c r="M46" s="3">
        <v>1350</v>
      </c>
      <c r="N46" s="207">
        <f t="shared" si="2"/>
        <v>1347.0588235294119</v>
      </c>
      <c r="O46" s="222" t="str">
        <f>IFERROR(T46/S46/100000,"-")</f>
        <v>-</v>
      </c>
      <c r="P46" s="28">
        <v>85</v>
      </c>
      <c r="Q46" s="3">
        <v>85</v>
      </c>
      <c r="R46" s="28">
        <v>11450000000</v>
      </c>
      <c r="S46" s="3"/>
      <c r="T46" s="28"/>
    </row>
    <row r="47" spans="1:20" x14ac:dyDescent="0.2">
      <c r="A47" s="206">
        <v>45645</v>
      </c>
      <c r="B47" s="3" t="s">
        <v>3172</v>
      </c>
      <c r="C47" s="3">
        <v>2423</v>
      </c>
      <c r="D47" s="28">
        <v>319795710000</v>
      </c>
      <c r="E47" s="3">
        <v>9999</v>
      </c>
      <c r="F47" s="28">
        <v>1320670440000</v>
      </c>
      <c r="G47" s="3">
        <v>12422</v>
      </c>
      <c r="H47" s="28">
        <v>1640466150000</v>
      </c>
      <c r="I47" s="3">
        <v>-7576</v>
      </c>
      <c r="J47" s="222">
        <f t="shared" si="0"/>
        <v>1319.8337185307471</v>
      </c>
      <c r="K47" s="222">
        <f t="shared" si="1"/>
        <v>1320.8025202520253</v>
      </c>
      <c r="L47" s="3">
        <v>1314.2</v>
      </c>
      <c r="M47" s="3">
        <v>1325.8</v>
      </c>
      <c r="N47" s="207">
        <f t="shared" si="2"/>
        <v>1320.253164556962</v>
      </c>
      <c r="O47" s="222">
        <f t="shared" si="4"/>
        <v>1320.2484889187374</v>
      </c>
      <c r="P47" s="28">
        <v>-742</v>
      </c>
      <c r="Q47" s="3">
        <v>5214</v>
      </c>
      <c r="R47" s="28">
        <v>688380000000</v>
      </c>
      <c r="S47" s="3">
        <v>5956</v>
      </c>
      <c r="T47" s="28">
        <v>786340000000</v>
      </c>
    </row>
    <row r="48" spans="1:20" x14ac:dyDescent="0.2">
      <c r="A48" s="206">
        <v>45645</v>
      </c>
      <c r="B48" s="3" t="s">
        <v>3179</v>
      </c>
      <c r="C48" s="3"/>
      <c r="D48" s="28"/>
      <c r="E48" s="3"/>
      <c r="F48" s="28"/>
      <c r="G48" s="3">
        <v>0</v>
      </c>
      <c r="H48" s="28">
        <v>0</v>
      </c>
      <c r="I48" s="3">
        <v>0</v>
      </c>
      <c r="J48" s="222" t="str">
        <f t="shared" si="0"/>
        <v>-</v>
      </c>
      <c r="K48" s="222" t="str">
        <f t="shared" si="1"/>
        <v>-</v>
      </c>
      <c r="L48" s="3">
        <v>1318</v>
      </c>
      <c r="M48" s="3">
        <v>1330</v>
      </c>
      <c r="N48" s="207">
        <f t="shared" si="2"/>
        <v>1320</v>
      </c>
      <c r="O48" s="222" t="str">
        <f t="shared" si="4"/>
        <v>-</v>
      </c>
      <c r="P48" s="28">
        <v>10</v>
      </c>
      <c r="Q48" s="3">
        <v>10</v>
      </c>
      <c r="R48" s="28">
        <v>1320000000</v>
      </c>
      <c r="S48" s="3"/>
      <c r="T48" s="28"/>
    </row>
    <row r="49" spans="1:20" x14ac:dyDescent="0.2">
      <c r="A49" s="206">
        <v>45646</v>
      </c>
      <c r="B49" s="3" t="s">
        <v>3172</v>
      </c>
      <c r="C49" s="3">
        <v>1366</v>
      </c>
      <c r="D49" s="28">
        <v>179920950000</v>
      </c>
      <c r="E49" s="3">
        <v>1635</v>
      </c>
      <c r="F49" s="28">
        <v>215645570000</v>
      </c>
      <c r="G49" s="3">
        <v>3001</v>
      </c>
      <c r="H49" s="28">
        <v>395566520000</v>
      </c>
      <c r="I49" s="3">
        <v>-269</v>
      </c>
      <c r="J49" s="222">
        <f t="shared" si="0"/>
        <v>1317.137262079063</v>
      </c>
      <c r="K49" s="222">
        <f t="shared" si="1"/>
        <v>1318.9331498470949</v>
      </c>
      <c r="L49" s="3">
        <v>1314.5</v>
      </c>
      <c r="M49" s="3">
        <v>1321.2</v>
      </c>
      <c r="N49" s="207">
        <f t="shared" si="2"/>
        <v>1317.9529737206085</v>
      </c>
      <c r="O49" s="222">
        <f>IFERROR(T49/S49/100000,"-")</f>
        <v>1317.9544191217344</v>
      </c>
      <c r="P49" s="28">
        <v>5431</v>
      </c>
      <c r="Q49" s="3">
        <v>7230</v>
      </c>
      <c r="R49" s="28">
        <v>952880000000</v>
      </c>
      <c r="S49" s="3">
        <v>1799</v>
      </c>
      <c r="T49" s="28">
        <v>237100000000</v>
      </c>
    </row>
    <row r="50" spans="1:20" x14ac:dyDescent="0.2">
      <c r="A50" s="206">
        <v>45646</v>
      </c>
      <c r="B50" s="3" t="s">
        <v>3179</v>
      </c>
      <c r="C50" s="3"/>
      <c r="D50" s="28"/>
      <c r="E50" s="3">
        <v>8</v>
      </c>
      <c r="F50" s="28">
        <v>1056160000</v>
      </c>
      <c r="G50" s="3">
        <v>8</v>
      </c>
      <c r="H50" s="28">
        <v>1056160000</v>
      </c>
      <c r="I50" s="3">
        <v>-8</v>
      </c>
      <c r="J50" s="222" t="str">
        <f t="shared" si="0"/>
        <v>-</v>
      </c>
      <c r="K50" s="222">
        <f t="shared" si="1"/>
        <v>1320.2</v>
      </c>
      <c r="L50" s="3">
        <v>1316</v>
      </c>
      <c r="M50" s="3">
        <v>1324</v>
      </c>
      <c r="N50" s="207" t="str">
        <f t="shared" si="2"/>
        <v>-</v>
      </c>
      <c r="O50" s="222">
        <f t="shared" ref="O50:O52" si="5">IFERROR(T50/S50/100000,"-")</f>
        <v>1325</v>
      </c>
      <c r="P50" s="28">
        <v>-8</v>
      </c>
      <c r="Q50" s="3"/>
      <c r="R50" s="28"/>
      <c r="S50" s="3">
        <v>8</v>
      </c>
      <c r="T50" s="28">
        <v>1060000000</v>
      </c>
    </row>
    <row r="51" spans="1:20" x14ac:dyDescent="0.2">
      <c r="A51" s="206">
        <v>45649</v>
      </c>
      <c r="B51" s="3" t="s">
        <v>3172</v>
      </c>
      <c r="C51" s="3">
        <v>770</v>
      </c>
      <c r="D51" s="28">
        <v>102270440000</v>
      </c>
      <c r="E51" s="3">
        <v>1860</v>
      </c>
      <c r="F51" s="28">
        <v>247135040000</v>
      </c>
      <c r="G51" s="3">
        <v>2630</v>
      </c>
      <c r="H51" s="28">
        <v>349405480000</v>
      </c>
      <c r="I51" s="3">
        <v>-1090</v>
      </c>
      <c r="J51" s="222">
        <f t="shared" si="0"/>
        <v>1328.1875324675325</v>
      </c>
      <c r="K51" s="222">
        <f t="shared" si="1"/>
        <v>1328.6830107526882</v>
      </c>
      <c r="L51" s="3">
        <v>1325.5</v>
      </c>
      <c r="M51" s="3">
        <v>1331.4</v>
      </c>
      <c r="N51" s="207">
        <f t="shared" si="2"/>
        <v>1328.5777190664905</v>
      </c>
      <c r="O51" s="222">
        <f t="shared" si="5"/>
        <v>1328.5770750988142</v>
      </c>
      <c r="P51" s="28">
        <v>2012</v>
      </c>
      <c r="Q51" s="3">
        <v>4542</v>
      </c>
      <c r="R51" s="28">
        <v>603440000000</v>
      </c>
      <c r="S51" s="3">
        <v>2530</v>
      </c>
      <c r="T51" s="28">
        <v>336130000000</v>
      </c>
    </row>
    <row r="52" spans="1:20" x14ac:dyDescent="0.2">
      <c r="A52" s="206">
        <v>45649</v>
      </c>
      <c r="B52" s="3" t="s">
        <v>3179</v>
      </c>
      <c r="C52" s="3"/>
      <c r="D52" s="28"/>
      <c r="E52" s="3">
        <v>2</v>
      </c>
      <c r="F52" s="28">
        <v>266700000</v>
      </c>
      <c r="G52" s="3">
        <v>2</v>
      </c>
      <c r="H52" s="28">
        <v>266700000</v>
      </c>
      <c r="I52" s="3">
        <v>-2</v>
      </c>
      <c r="J52" s="222" t="str">
        <f t="shared" si="0"/>
        <v>-</v>
      </c>
      <c r="K52" s="222">
        <f t="shared" si="1"/>
        <v>1333.5</v>
      </c>
      <c r="L52" s="3">
        <v>1328.2</v>
      </c>
      <c r="M52" s="3">
        <v>1334</v>
      </c>
      <c r="N52" s="207" t="str">
        <f t="shared" si="2"/>
        <v>-</v>
      </c>
      <c r="O52" s="222">
        <f t="shared" si="5"/>
        <v>1350</v>
      </c>
      <c r="P52" s="28">
        <v>-2</v>
      </c>
      <c r="Q52" s="3"/>
      <c r="R52" s="28"/>
      <c r="S52" s="3">
        <v>2</v>
      </c>
      <c r="T52" s="28">
        <v>270000000</v>
      </c>
    </row>
    <row r="53" spans="1:20" x14ac:dyDescent="0.2">
      <c r="A53" s="206">
        <v>45650</v>
      </c>
      <c r="B53" s="3" t="s">
        <v>3172</v>
      </c>
      <c r="C53" s="3">
        <v>716</v>
      </c>
      <c r="D53" s="28">
        <v>94793780000</v>
      </c>
      <c r="E53" s="3">
        <v>1643</v>
      </c>
      <c r="F53" s="28">
        <v>217965990000</v>
      </c>
      <c r="G53" s="3">
        <v>2359</v>
      </c>
      <c r="H53" s="28">
        <v>312759770000</v>
      </c>
      <c r="I53" s="3">
        <v>-927</v>
      </c>
      <c r="J53" s="222">
        <f t="shared" si="0"/>
        <v>1323.935474860335</v>
      </c>
      <c r="K53" s="222">
        <f t="shared" si="1"/>
        <v>1326.634144856969</v>
      </c>
      <c r="L53" s="3">
        <v>1321.5</v>
      </c>
      <c r="M53" s="3">
        <v>1328.5</v>
      </c>
      <c r="N53" s="207">
        <f t="shared" si="2"/>
        <v>1324.8854961832062</v>
      </c>
      <c r="O53" s="222">
        <f>IFERROR(T53/S53/100000,"-")</f>
        <v>1324.8966942148761</v>
      </c>
      <c r="P53" s="28">
        <v>-1281</v>
      </c>
      <c r="Q53" s="3">
        <v>655</v>
      </c>
      <c r="R53" s="28">
        <v>86780000000</v>
      </c>
      <c r="S53" s="3">
        <v>1936</v>
      </c>
      <c r="T53" s="28">
        <v>256500000000</v>
      </c>
    </row>
    <row r="54" spans="1:20" x14ac:dyDescent="0.2">
      <c r="A54" s="206">
        <v>45650</v>
      </c>
      <c r="B54" s="3" t="s">
        <v>3179</v>
      </c>
      <c r="C54" s="3"/>
      <c r="D54" s="28"/>
      <c r="E54" s="3">
        <v>3</v>
      </c>
      <c r="F54" s="28">
        <v>398540000</v>
      </c>
      <c r="G54" s="3">
        <v>3</v>
      </c>
      <c r="H54" s="28">
        <v>398540000</v>
      </c>
      <c r="I54" s="3">
        <v>-3</v>
      </c>
      <c r="J54" s="222" t="str">
        <f t="shared" si="0"/>
        <v>-</v>
      </c>
      <c r="K54" s="222">
        <f t="shared" si="1"/>
        <v>1328.4666666666667</v>
      </c>
      <c r="L54" s="3">
        <v>1325</v>
      </c>
      <c r="M54" s="3">
        <v>1330.3</v>
      </c>
      <c r="N54" s="207" t="str">
        <f t="shared" si="2"/>
        <v>-</v>
      </c>
      <c r="O54" s="222">
        <f t="shared" ref="O54:O56" si="6">IFERROR(T54/S54/100000,"-")</f>
        <v>1333.3333333333333</v>
      </c>
      <c r="P54" s="28">
        <v>-3</v>
      </c>
      <c r="Q54" s="3"/>
      <c r="R54" s="28"/>
      <c r="S54" s="3">
        <v>3</v>
      </c>
      <c r="T54" s="28">
        <v>400000000</v>
      </c>
    </row>
    <row r="55" spans="1:20" x14ac:dyDescent="0.2">
      <c r="A55" s="206">
        <v>45651</v>
      </c>
      <c r="B55" s="3" t="s">
        <v>3172</v>
      </c>
      <c r="C55" s="3">
        <v>1241</v>
      </c>
      <c r="D55" s="28">
        <v>167491270000</v>
      </c>
      <c r="E55" s="3">
        <v>4645</v>
      </c>
      <c r="F55" s="28">
        <v>624938650000</v>
      </c>
      <c r="G55" s="3">
        <v>5886</v>
      </c>
      <c r="H55" s="28">
        <v>792429920000</v>
      </c>
      <c r="I55" s="3">
        <v>-3404</v>
      </c>
      <c r="J55" s="222">
        <f t="shared" si="0"/>
        <v>1349.6476228847703</v>
      </c>
      <c r="K55" s="222">
        <f t="shared" si="1"/>
        <v>1345.4007534983853</v>
      </c>
      <c r="L55" s="3">
        <v>1332</v>
      </c>
      <c r="M55" s="3">
        <v>1355.9</v>
      </c>
      <c r="N55" s="207">
        <f t="shared" si="2"/>
        <v>1345.9084604715672</v>
      </c>
      <c r="O55" s="222">
        <f t="shared" si="6"/>
        <v>1345.9016393442621</v>
      </c>
      <c r="P55" s="28">
        <v>1082</v>
      </c>
      <c r="Q55" s="3">
        <v>5047</v>
      </c>
      <c r="R55" s="28">
        <v>679280000000</v>
      </c>
      <c r="S55" s="3">
        <v>3965</v>
      </c>
      <c r="T55" s="28">
        <v>533650000000</v>
      </c>
    </row>
    <row r="56" spans="1:20" x14ac:dyDescent="0.2">
      <c r="A56" s="206">
        <v>45651</v>
      </c>
      <c r="B56" s="3" t="s">
        <v>3179</v>
      </c>
      <c r="C56" s="3"/>
      <c r="D56" s="28"/>
      <c r="E56" s="3"/>
      <c r="F56" s="28"/>
      <c r="G56" s="3">
        <v>0</v>
      </c>
      <c r="H56" s="28">
        <v>0</v>
      </c>
      <c r="I56" s="3">
        <v>0</v>
      </c>
      <c r="J56" s="222" t="str">
        <f t="shared" si="0"/>
        <v>-</v>
      </c>
      <c r="K56" s="222" t="str">
        <f t="shared" si="1"/>
        <v>-</v>
      </c>
      <c r="L56" s="3"/>
      <c r="M56" s="3"/>
      <c r="N56" s="207" t="str">
        <f t="shared" si="2"/>
        <v>-</v>
      </c>
      <c r="O56" s="222" t="str">
        <f t="shared" si="6"/>
        <v>-</v>
      </c>
      <c r="P56" s="28">
        <v>0</v>
      </c>
      <c r="Q56" s="3"/>
      <c r="R56" s="28"/>
      <c r="S56" s="3"/>
      <c r="T56" s="28"/>
    </row>
    <row r="57" spans="1:20" x14ac:dyDescent="0.2">
      <c r="A57" s="206">
        <v>45652</v>
      </c>
      <c r="B57" s="3" t="s">
        <v>3172</v>
      </c>
      <c r="C57" s="3">
        <v>1040</v>
      </c>
      <c r="D57" s="28">
        <v>140365500000</v>
      </c>
      <c r="E57" s="3">
        <v>1602</v>
      </c>
      <c r="F57" s="28">
        <v>216225510000</v>
      </c>
      <c r="G57" s="3">
        <v>2642</v>
      </c>
      <c r="H57" s="28">
        <v>356591010000</v>
      </c>
      <c r="I57" s="3">
        <v>-562</v>
      </c>
      <c r="J57" s="222">
        <f t="shared" si="0"/>
        <v>1349.6682692307693</v>
      </c>
      <c r="K57" s="222">
        <f t="shared" si="1"/>
        <v>1349.7222846441948</v>
      </c>
      <c r="L57" s="3">
        <v>1347.2</v>
      </c>
      <c r="M57" s="3">
        <v>1351.2</v>
      </c>
      <c r="N57" s="207">
        <f t="shared" si="2"/>
        <v>1349.5201535508638</v>
      </c>
      <c r="O57" s="222">
        <f>IFERROR(T57/S57/100000,"-")</f>
        <v>1349.5114006514657</v>
      </c>
      <c r="P57" s="28">
        <v>28</v>
      </c>
      <c r="Q57" s="3">
        <v>1563</v>
      </c>
      <c r="R57" s="28">
        <v>210930000000</v>
      </c>
      <c r="S57" s="3">
        <v>1535</v>
      </c>
      <c r="T57" s="28">
        <v>207150000000</v>
      </c>
    </row>
    <row r="58" spans="1:20" x14ac:dyDescent="0.2">
      <c r="A58" s="206">
        <v>45652</v>
      </c>
      <c r="B58" s="3" t="s">
        <v>3179</v>
      </c>
      <c r="C58" s="3"/>
      <c r="D58" s="28"/>
      <c r="E58" s="3"/>
      <c r="F58" s="28"/>
      <c r="G58" s="3">
        <v>0</v>
      </c>
      <c r="H58" s="28">
        <v>0</v>
      </c>
      <c r="I58" s="3">
        <v>0</v>
      </c>
      <c r="J58" s="222" t="str">
        <f t="shared" si="0"/>
        <v>-</v>
      </c>
      <c r="K58" s="222" t="str">
        <f t="shared" si="1"/>
        <v>-</v>
      </c>
      <c r="L58" s="3"/>
      <c r="M58" s="3"/>
      <c r="N58" s="207" t="str">
        <f t="shared" si="2"/>
        <v>-</v>
      </c>
      <c r="O58" s="222" t="str">
        <f t="shared" ref="O58:O60" si="7">IFERROR(T58/S58/100000,"-")</f>
        <v>-</v>
      </c>
      <c r="P58" s="28">
        <v>0</v>
      </c>
      <c r="Q58" s="3"/>
      <c r="R58" s="28"/>
      <c r="S58" s="3"/>
      <c r="T58" s="28"/>
    </row>
    <row r="59" spans="1:20" x14ac:dyDescent="0.2">
      <c r="A59" s="206">
        <v>45653</v>
      </c>
      <c r="B59" s="3" t="s">
        <v>3172</v>
      </c>
      <c r="C59" s="3">
        <v>1036</v>
      </c>
      <c r="D59" s="28">
        <v>139821880000</v>
      </c>
      <c r="E59" s="3">
        <v>2737</v>
      </c>
      <c r="F59" s="28">
        <v>370615370000</v>
      </c>
      <c r="G59" s="3">
        <f t="shared" ref="G59:H59" si="8">C59+E59</f>
        <v>3773</v>
      </c>
      <c r="H59" s="28">
        <f t="shared" si="8"/>
        <v>510437250000</v>
      </c>
      <c r="I59" s="222">
        <f>C59-E59</f>
        <v>-1701</v>
      </c>
      <c r="J59" s="222">
        <f t="shared" si="0"/>
        <v>1349.6320463320465</v>
      </c>
      <c r="K59" s="222">
        <f t="shared" si="1"/>
        <v>1354.093423456339</v>
      </c>
      <c r="L59" s="222">
        <v>1348.5</v>
      </c>
      <c r="M59" s="222">
        <v>1357.6</v>
      </c>
      <c r="N59" s="207">
        <f t="shared" si="2"/>
        <v>1353.7256400458541</v>
      </c>
      <c r="O59" s="222">
        <f t="shared" si="7"/>
        <v>1353.7270875763747</v>
      </c>
      <c r="P59" s="3">
        <f>Q59-S59</f>
        <v>162</v>
      </c>
      <c r="Q59" s="3">
        <v>2617</v>
      </c>
      <c r="R59" s="28">
        <v>354270000000</v>
      </c>
      <c r="S59" s="3">
        <v>2455</v>
      </c>
      <c r="T59" s="28">
        <v>332340000000</v>
      </c>
    </row>
    <row r="60" spans="1:20" x14ac:dyDescent="0.2">
      <c r="A60" s="206">
        <v>45653</v>
      </c>
      <c r="B60" s="3" t="s">
        <v>3179</v>
      </c>
      <c r="C60" s="3"/>
      <c r="D60" s="28"/>
      <c r="E60" s="3"/>
      <c r="F60" s="28"/>
      <c r="G60" s="3">
        <f t="shared" ref="G60:G77" si="9">C60+E60</f>
        <v>0</v>
      </c>
      <c r="H60" s="28">
        <f t="shared" ref="H60:H77" si="10">D60+F60</f>
        <v>0</v>
      </c>
      <c r="I60" s="222">
        <f t="shared" ref="I60:I77" si="11">C60-E60</f>
        <v>0</v>
      </c>
      <c r="J60" s="222" t="str">
        <f t="shared" si="0"/>
        <v>-</v>
      </c>
      <c r="K60" s="222" t="str">
        <f t="shared" si="1"/>
        <v>-</v>
      </c>
      <c r="L60" s="222">
        <v>1355.6</v>
      </c>
      <c r="M60" s="222">
        <v>1361.3</v>
      </c>
      <c r="N60" s="207">
        <f t="shared" si="2"/>
        <v>1356.9892473118277</v>
      </c>
      <c r="O60" s="222" t="str">
        <f t="shared" si="7"/>
        <v>-</v>
      </c>
      <c r="P60" s="3">
        <f t="shared" ref="P60:P77" si="12">Q60-S60</f>
        <v>93</v>
      </c>
      <c r="Q60" s="3">
        <v>93</v>
      </c>
      <c r="R60" s="28">
        <v>12620000000</v>
      </c>
      <c r="S60" s="3"/>
      <c r="T60" s="28"/>
    </row>
    <row r="61" spans="1:20" x14ac:dyDescent="0.2">
      <c r="A61" s="206">
        <v>45656</v>
      </c>
      <c r="B61" s="3" t="s">
        <v>3172</v>
      </c>
      <c r="C61" s="3">
        <v>2877</v>
      </c>
      <c r="D61" s="28">
        <v>387061580000</v>
      </c>
      <c r="E61" s="3">
        <v>1260</v>
      </c>
      <c r="F61" s="28">
        <v>169528180000</v>
      </c>
      <c r="G61" s="3">
        <f t="shared" si="9"/>
        <v>4137</v>
      </c>
      <c r="H61" s="28">
        <f t="shared" si="10"/>
        <v>556589760000</v>
      </c>
      <c r="I61" s="222">
        <f t="shared" si="11"/>
        <v>1617</v>
      </c>
      <c r="J61" s="222">
        <f t="shared" si="0"/>
        <v>1345.365241571081</v>
      </c>
      <c r="K61" s="222">
        <f t="shared" si="1"/>
        <v>1345.4617460317459</v>
      </c>
      <c r="L61" s="222">
        <v>1341.2</v>
      </c>
      <c r="M61" s="222">
        <v>1347.4</v>
      </c>
      <c r="N61" s="207">
        <f t="shared" si="2"/>
        <v>1345.3972868217054</v>
      </c>
      <c r="O61" s="222">
        <f>IFERROR(T61/S61/100000,"-")</f>
        <v>1345.4031843862351</v>
      </c>
      <c r="P61" s="3">
        <f t="shared" si="12"/>
        <v>-1830</v>
      </c>
      <c r="Q61" s="3">
        <v>2064</v>
      </c>
      <c r="R61" s="28">
        <v>277690000000</v>
      </c>
      <c r="S61" s="3">
        <v>3894</v>
      </c>
      <c r="T61" s="28">
        <v>523900000000</v>
      </c>
    </row>
    <row r="62" spans="1:20" x14ac:dyDescent="0.2">
      <c r="A62" s="206">
        <f>A61</f>
        <v>45656</v>
      </c>
      <c r="B62" s="3" t="s">
        <v>3179</v>
      </c>
      <c r="C62" s="3"/>
      <c r="D62" s="28"/>
      <c r="E62" s="3">
        <v>2</v>
      </c>
      <c r="F62" s="28">
        <v>270040000</v>
      </c>
      <c r="G62" s="3">
        <f t="shared" si="9"/>
        <v>2</v>
      </c>
      <c r="H62" s="28">
        <f t="shared" si="10"/>
        <v>270040000</v>
      </c>
      <c r="I62" s="222">
        <f t="shared" si="11"/>
        <v>-2</v>
      </c>
      <c r="J62" s="222" t="str">
        <f t="shared" si="0"/>
        <v>-</v>
      </c>
      <c r="K62" s="222">
        <f t="shared" si="1"/>
        <v>1350.2</v>
      </c>
      <c r="L62" s="222">
        <v>1345.2</v>
      </c>
      <c r="M62" s="222">
        <v>1354</v>
      </c>
      <c r="N62" s="207">
        <f t="shared" si="2"/>
        <v>1349.1525423728815</v>
      </c>
      <c r="O62" s="222">
        <f>IFERROR(T62/S62/100000,"-")</f>
        <v>1350</v>
      </c>
      <c r="P62" s="3">
        <f t="shared" si="12"/>
        <v>55</v>
      </c>
      <c r="Q62" s="3">
        <v>59</v>
      </c>
      <c r="R62" s="28">
        <v>7960000000</v>
      </c>
      <c r="S62" s="3">
        <v>4</v>
      </c>
      <c r="T62" s="28">
        <v>540000000</v>
      </c>
    </row>
    <row r="63" spans="1:20" x14ac:dyDescent="0.2">
      <c r="A63" s="206">
        <v>45657</v>
      </c>
      <c r="B63" s="3" t="s">
        <v>3172</v>
      </c>
      <c r="C63" s="3">
        <v>2665</v>
      </c>
      <c r="D63" s="28">
        <v>358884990000</v>
      </c>
      <c r="E63" s="3">
        <v>1065</v>
      </c>
      <c r="F63" s="28">
        <v>143458440000</v>
      </c>
      <c r="G63" s="3">
        <f t="shared" si="9"/>
        <v>3730</v>
      </c>
      <c r="H63" s="28">
        <f t="shared" si="10"/>
        <v>502343430000</v>
      </c>
      <c r="I63" s="222">
        <f t="shared" si="11"/>
        <v>1600</v>
      </c>
      <c r="J63" s="222">
        <f t="shared" si="0"/>
        <v>1346.6603752345216</v>
      </c>
      <c r="K63" s="222">
        <f t="shared" si="1"/>
        <v>1347.0276056338028</v>
      </c>
      <c r="L63" s="222">
        <v>1344.2</v>
      </c>
      <c r="M63" s="222">
        <v>1352.1</v>
      </c>
      <c r="N63" s="207">
        <f t="shared" si="2"/>
        <v>1347.9300827966881</v>
      </c>
      <c r="O63" s="222">
        <f>IFERROR(T63/S63/100000,"-")</f>
        <v>1347.9208924949291</v>
      </c>
      <c r="P63" s="3">
        <f t="shared" si="12"/>
        <v>-5714</v>
      </c>
      <c r="Q63" s="3">
        <v>2174</v>
      </c>
      <c r="R63" s="28">
        <v>293040000000</v>
      </c>
      <c r="S63" s="3">
        <v>7888</v>
      </c>
      <c r="T63" s="28">
        <v>1063240000000</v>
      </c>
    </row>
    <row r="64" spans="1:20" x14ac:dyDescent="0.2">
      <c r="A64" s="206">
        <f t="shared" ref="A64" si="13">A63</f>
        <v>45657</v>
      </c>
      <c r="B64" s="3" t="s">
        <v>3179</v>
      </c>
      <c r="C64" s="3"/>
      <c r="D64" s="28"/>
      <c r="E64" s="3">
        <v>1</v>
      </c>
      <c r="F64" s="28">
        <v>135220000</v>
      </c>
      <c r="G64" s="3">
        <f t="shared" si="9"/>
        <v>1</v>
      </c>
      <c r="H64" s="28">
        <f t="shared" si="10"/>
        <v>135220000</v>
      </c>
      <c r="I64" s="222">
        <f t="shared" si="11"/>
        <v>-1</v>
      </c>
      <c r="J64" s="222" t="str">
        <f t="shared" si="0"/>
        <v>-</v>
      </c>
      <c r="K64" s="222">
        <f t="shared" si="1"/>
        <v>1352.2</v>
      </c>
      <c r="L64" s="222">
        <v>1347.9</v>
      </c>
      <c r="M64" s="222">
        <v>1355</v>
      </c>
      <c r="N64" s="207" t="str">
        <f t="shared" si="2"/>
        <v>-</v>
      </c>
      <c r="O64" s="222">
        <f>IFERROR(T64/S64/100000,"-")</f>
        <v>1400</v>
      </c>
      <c r="P64" s="3">
        <f t="shared" si="12"/>
        <v>-1</v>
      </c>
      <c r="Q64" s="3"/>
      <c r="R64" s="28"/>
      <c r="S64" s="3">
        <v>1</v>
      </c>
      <c r="T64" s="28">
        <v>140000000</v>
      </c>
    </row>
    <row r="65" spans="1:20" x14ac:dyDescent="0.2">
      <c r="A65" s="206">
        <v>45657</v>
      </c>
      <c r="B65" s="3" t="s">
        <v>3205</v>
      </c>
      <c r="C65" s="3"/>
      <c r="D65" s="28"/>
      <c r="E65" s="3">
        <v>6</v>
      </c>
      <c r="F65" s="28">
        <v>812280000</v>
      </c>
      <c r="G65" s="3">
        <f t="shared" si="9"/>
        <v>6</v>
      </c>
      <c r="H65" s="28">
        <f t="shared" si="10"/>
        <v>812280000</v>
      </c>
      <c r="I65" s="222">
        <f t="shared" si="11"/>
        <v>-6</v>
      </c>
      <c r="J65" s="222"/>
      <c r="K65" s="222">
        <f t="shared" si="1"/>
        <v>1353.8</v>
      </c>
      <c r="L65" s="222">
        <v>1348</v>
      </c>
      <c r="M65" s="222">
        <v>1355.5</v>
      </c>
      <c r="N65" s="207">
        <f>IFERROR(R65/Q65/100000,"-")</f>
        <v>1350</v>
      </c>
      <c r="O65" s="222" t="str">
        <f>IFERROR(T65/S65/100000,"-")</f>
        <v>-</v>
      </c>
      <c r="P65" s="3">
        <f t="shared" si="12"/>
        <v>4</v>
      </c>
      <c r="Q65" s="3">
        <v>4</v>
      </c>
      <c r="R65" s="28">
        <v>540000000</v>
      </c>
      <c r="S65" s="3"/>
      <c r="T65" s="28"/>
    </row>
    <row r="66" spans="1:20" x14ac:dyDescent="0.2">
      <c r="A66" s="206">
        <v>45659</v>
      </c>
      <c r="B66" s="3" t="s">
        <v>3172</v>
      </c>
      <c r="C66" s="3">
        <v>3721</v>
      </c>
      <c r="D66" s="28">
        <v>498753890000</v>
      </c>
      <c r="E66" s="3">
        <v>1058</v>
      </c>
      <c r="F66" s="28">
        <v>142210870000</v>
      </c>
      <c r="G66" s="3">
        <f t="shared" si="9"/>
        <v>4779</v>
      </c>
      <c r="H66" s="28">
        <f t="shared" si="10"/>
        <v>640964760000</v>
      </c>
      <c r="I66" s="222">
        <f t="shared" si="11"/>
        <v>2663</v>
      </c>
      <c r="J66" s="222">
        <f t="shared" si="0"/>
        <v>1340.3759473259877</v>
      </c>
      <c r="K66" s="222">
        <f t="shared" si="1"/>
        <v>1344.1481096408318</v>
      </c>
      <c r="L66" s="222">
        <v>1336.3</v>
      </c>
      <c r="M66" s="222">
        <v>1351.5</v>
      </c>
      <c r="N66" s="207">
        <f t="shared" si="2"/>
        <v>1343.1973720229948</v>
      </c>
      <c r="O66" s="222">
        <f t="shared" ref="O66:O70" si="14">IFERROR(T66/S66/100000,"-")</f>
        <v>1343.1950290639406</v>
      </c>
      <c r="P66" s="3">
        <f t="shared" si="12"/>
        <v>-1336</v>
      </c>
      <c r="Q66" s="3">
        <v>3653</v>
      </c>
      <c r="R66" s="28">
        <v>490670000000</v>
      </c>
      <c r="S66" s="3">
        <v>4989</v>
      </c>
      <c r="T66" s="28">
        <v>670120000000</v>
      </c>
    </row>
    <row r="67" spans="1:20" x14ac:dyDescent="0.2">
      <c r="A67" s="206">
        <f t="shared" ref="A67" si="15">A66</f>
        <v>45659</v>
      </c>
      <c r="B67" s="3" t="s">
        <v>3179</v>
      </c>
      <c r="C67" s="3"/>
      <c r="D67" s="28"/>
      <c r="E67" s="3"/>
      <c r="F67" s="28"/>
      <c r="G67" s="3">
        <f t="shared" si="9"/>
        <v>0</v>
      </c>
      <c r="H67" s="28">
        <f t="shared" si="10"/>
        <v>0</v>
      </c>
      <c r="I67" s="222">
        <f t="shared" si="11"/>
        <v>0</v>
      </c>
      <c r="J67" s="222" t="str">
        <f t="shared" si="0"/>
        <v>-</v>
      </c>
      <c r="K67" s="222" t="str">
        <f t="shared" si="1"/>
        <v>-</v>
      </c>
      <c r="L67" s="222">
        <v>1340.4</v>
      </c>
      <c r="M67" s="222">
        <v>1354.9</v>
      </c>
      <c r="N67" s="207" t="str">
        <f t="shared" si="2"/>
        <v>-</v>
      </c>
      <c r="O67" s="222">
        <f t="shared" si="14"/>
        <v>1350</v>
      </c>
      <c r="P67" s="3">
        <f t="shared" si="12"/>
        <v>-2</v>
      </c>
      <c r="Q67" s="3"/>
      <c r="R67" s="28"/>
      <c r="S67" s="3">
        <v>2</v>
      </c>
      <c r="T67" s="28">
        <v>270000000</v>
      </c>
    </row>
    <row r="68" spans="1:20" x14ac:dyDescent="0.2">
      <c r="A68" s="206">
        <f>A67+1</f>
        <v>45660</v>
      </c>
      <c r="B68" s="3" t="s">
        <v>3172</v>
      </c>
      <c r="C68" s="3">
        <v>2125</v>
      </c>
      <c r="D68" s="28">
        <v>282949650000</v>
      </c>
      <c r="E68" s="3">
        <v>2318</v>
      </c>
      <c r="F68" s="28">
        <v>309069670000</v>
      </c>
      <c r="G68" s="3">
        <f t="shared" si="9"/>
        <v>4443</v>
      </c>
      <c r="H68" s="28">
        <f t="shared" si="10"/>
        <v>592019320000</v>
      </c>
      <c r="I68" s="222">
        <f t="shared" si="11"/>
        <v>-193</v>
      </c>
      <c r="J68" s="222">
        <f t="shared" si="0"/>
        <v>1331.5277647058824</v>
      </c>
      <c r="K68" s="222">
        <f t="shared" si="1"/>
        <v>1333.3462899050905</v>
      </c>
      <c r="L68" s="222">
        <v>1324</v>
      </c>
      <c r="M68" s="222">
        <v>1345.8</v>
      </c>
      <c r="N68" s="207">
        <f t="shared" si="2"/>
        <v>1334.2145510159492</v>
      </c>
      <c r="O68" s="222">
        <f t="shared" si="14"/>
        <v>1334.2185385656292</v>
      </c>
      <c r="P68" s="3">
        <f t="shared" si="12"/>
        <v>-1335</v>
      </c>
      <c r="Q68" s="3">
        <v>4577</v>
      </c>
      <c r="R68" s="28">
        <v>610670000000</v>
      </c>
      <c r="S68" s="3">
        <v>5912</v>
      </c>
      <c r="T68" s="28">
        <v>788790000000</v>
      </c>
    </row>
    <row r="69" spans="1:20" x14ac:dyDescent="0.2">
      <c r="A69" s="206">
        <f t="shared" ref="A69:A70" si="16">A68</f>
        <v>45660</v>
      </c>
      <c r="B69" s="3" t="s">
        <v>3179</v>
      </c>
      <c r="C69" s="3"/>
      <c r="D69" s="28"/>
      <c r="E69" s="3">
        <v>5</v>
      </c>
      <c r="F69" s="28">
        <v>666080000</v>
      </c>
      <c r="G69" s="3">
        <f t="shared" si="9"/>
        <v>5</v>
      </c>
      <c r="H69" s="28">
        <f t="shared" si="10"/>
        <v>666080000</v>
      </c>
      <c r="I69" s="222">
        <f t="shared" si="11"/>
        <v>-5</v>
      </c>
      <c r="J69" s="222" t="str">
        <f t="shared" si="0"/>
        <v>-</v>
      </c>
      <c r="K69" s="222">
        <f t="shared" si="1"/>
        <v>1332.16</v>
      </c>
      <c r="L69" s="222">
        <v>1330</v>
      </c>
      <c r="M69" s="222">
        <v>1350.9</v>
      </c>
      <c r="N69" s="207">
        <f t="shared" si="2"/>
        <v>1337.313432835821</v>
      </c>
      <c r="O69" s="222">
        <f t="shared" si="14"/>
        <v>1340</v>
      </c>
      <c r="P69" s="3">
        <f t="shared" si="12"/>
        <v>62</v>
      </c>
      <c r="Q69" s="3">
        <v>67</v>
      </c>
      <c r="R69" s="28">
        <v>8960000000</v>
      </c>
      <c r="S69" s="3">
        <v>5</v>
      </c>
      <c r="T69" s="28">
        <v>670000000</v>
      </c>
    </row>
    <row r="70" spans="1:20" x14ac:dyDescent="0.2">
      <c r="A70" s="206">
        <f t="shared" si="16"/>
        <v>45660</v>
      </c>
      <c r="B70" s="3" t="s">
        <v>3205</v>
      </c>
      <c r="C70" s="3"/>
      <c r="D70" s="28"/>
      <c r="E70" s="3">
        <v>14</v>
      </c>
      <c r="F70" s="28">
        <v>1880620000</v>
      </c>
      <c r="G70" s="3">
        <f t="shared" si="9"/>
        <v>14</v>
      </c>
      <c r="H70" s="28">
        <f t="shared" si="10"/>
        <v>1880620000</v>
      </c>
      <c r="I70" s="222">
        <f t="shared" si="11"/>
        <v>-14</v>
      </c>
      <c r="J70" s="222" t="str">
        <f t="shared" si="0"/>
        <v>-</v>
      </c>
      <c r="K70" s="222">
        <f t="shared" si="1"/>
        <v>1343.3</v>
      </c>
      <c r="L70" s="222">
        <v>1330</v>
      </c>
      <c r="M70" s="222">
        <v>1348.4</v>
      </c>
      <c r="N70" s="207">
        <f t="shared" si="2"/>
        <v>1325.7246376811593</v>
      </c>
      <c r="O70" s="222">
        <f t="shared" si="14"/>
        <v>1325.7459505541347</v>
      </c>
      <c r="P70" s="3">
        <f t="shared" si="12"/>
        <v>138</v>
      </c>
      <c r="Q70" s="3">
        <v>2484</v>
      </c>
      <c r="R70" s="28">
        <v>329310000000</v>
      </c>
      <c r="S70" s="3">
        <v>2346</v>
      </c>
      <c r="T70" s="28">
        <v>311020000000</v>
      </c>
    </row>
    <row r="71" spans="1:20" x14ac:dyDescent="0.2">
      <c r="A71" s="206">
        <v>45663</v>
      </c>
      <c r="B71" s="3" t="s">
        <v>3172</v>
      </c>
      <c r="C71" s="3">
        <v>1686</v>
      </c>
      <c r="D71" s="28">
        <v>223643930000</v>
      </c>
      <c r="E71" s="3">
        <v>6584</v>
      </c>
      <c r="F71" s="28">
        <v>87281718000</v>
      </c>
      <c r="G71" s="3">
        <f t="shared" si="9"/>
        <v>8270</v>
      </c>
      <c r="H71" s="28">
        <f t="shared" si="10"/>
        <v>310925648000</v>
      </c>
      <c r="I71" s="222">
        <f t="shared" si="11"/>
        <v>-4898</v>
      </c>
      <c r="J71" s="222">
        <f t="shared" si="0"/>
        <v>1326.4764531435349</v>
      </c>
      <c r="K71" s="222">
        <f t="shared" si="1"/>
        <v>132.56640036452004</v>
      </c>
      <c r="L71" s="222">
        <v>1318.9</v>
      </c>
      <c r="M71" s="222">
        <v>1331</v>
      </c>
      <c r="N71" s="207" t="str">
        <f t="shared" si="2"/>
        <v>-</v>
      </c>
      <c r="O71" s="222">
        <f>IFERROR(T71/S71/100000,"-")</f>
        <v>1328.9473684210527</v>
      </c>
      <c r="P71" s="3">
        <f t="shared" si="12"/>
        <v>-38</v>
      </c>
      <c r="Q71" s="3"/>
      <c r="R71" s="28"/>
      <c r="S71" s="3">
        <v>38</v>
      </c>
      <c r="T71" s="28">
        <v>5050000000</v>
      </c>
    </row>
    <row r="72" spans="1:20" x14ac:dyDescent="0.2">
      <c r="A72" s="206">
        <f t="shared" ref="A72" si="17">A71</f>
        <v>45663</v>
      </c>
      <c r="B72" s="3" t="s">
        <v>3179</v>
      </c>
      <c r="C72" s="3"/>
      <c r="D72" s="28"/>
      <c r="E72" s="3">
        <v>36</v>
      </c>
      <c r="F72" s="28">
        <v>4785090000</v>
      </c>
      <c r="G72" s="3">
        <f t="shared" si="9"/>
        <v>36</v>
      </c>
      <c r="H72" s="28">
        <f t="shared" si="10"/>
        <v>4785090000</v>
      </c>
      <c r="I72" s="222">
        <f t="shared" si="11"/>
        <v>-36</v>
      </c>
      <c r="J72" s="222" t="str">
        <f t="shared" si="0"/>
        <v>-</v>
      </c>
      <c r="K72" s="222">
        <f t="shared" si="1"/>
        <v>1329.1916666666666</v>
      </c>
      <c r="L72" s="222">
        <v>1325</v>
      </c>
      <c r="M72" s="222">
        <v>1335</v>
      </c>
      <c r="N72" s="207" t="str">
        <f t="shared" si="2"/>
        <v>-</v>
      </c>
      <c r="O72" s="222" t="str">
        <f>IFERROR(T72/S72/100000,"-")</f>
        <v>-</v>
      </c>
      <c r="P72" s="3">
        <f t="shared" si="12"/>
        <v>0</v>
      </c>
      <c r="Q72" s="3"/>
      <c r="R72" s="28"/>
      <c r="S72" s="3"/>
      <c r="T72" s="28"/>
    </row>
    <row r="73" spans="1:20" x14ac:dyDescent="0.2">
      <c r="A73" s="206">
        <f t="shared" ref="A73" si="18">A72+1</f>
        <v>45664</v>
      </c>
      <c r="B73" s="3" t="s">
        <v>3172</v>
      </c>
      <c r="C73" s="3">
        <v>1442</v>
      </c>
      <c r="D73" s="28">
        <v>190513800000</v>
      </c>
      <c r="E73" s="3">
        <v>2861</v>
      </c>
      <c r="F73" s="28">
        <v>378470570000</v>
      </c>
      <c r="G73" s="3">
        <f t="shared" si="9"/>
        <v>4303</v>
      </c>
      <c r="H73" s="28">
        <f t="shared" si="10"/>
        <v>568984370000</v>
      </c>
      <c r="I73" s="222">
        <f t="shared" si="11"/>
        <v>-1419</v>
      </c>
      <c r="J73" s="222">
        <f t="shared" si="0"/>
        <v>1321.1775312066575</v>
      </c>
      <c r="K73" s="222">
        <f t="shared" si="1"/>
        <v>1322.861132471164</v>
      </c>
      <c r="L73" s="222">
        <v>1315</v>
      </c>
      <c r="M73" s="222">
        <v>1328</v>
      </c>
      <c r="N73" s="207" t="str">
        <f t="shared" si="2"/>
        <v>-</v>
      </c>
      <c r="O73" s="222" t="str">
        <f t="shared" ref="O73:O77" si="19">IFERROR(T73/S73/100000,"-")</f>
        <v>-</v>
      </c>
      <c r="P73" s="3">
        <f t="shared" si="12"/>
        <v>0</v>
      </c>
      <c r="Q73" s="3"/>
      <c r="R73" s="28"/>
      <c r="S73" s="3"/>
      <c r="T73" s="28"/>
    </row>
    <row r="74" spans="1:20" x14ac:dyDescent="0.2">
      <c r="A74" s="206">
        <f t="shared" ref="A74" si="20">A73</f>
        <v>45664</v>
      </c>
      <c r="B74" s="3" t="s">
        <v>3179</v>
      </c>
      <c r="C74" s="3"/>
      <c r="D74" s="28"/>
      <c r="E74" s="3">
        <v>37</v>
      </c>
      <c r="F74" s="28">
        <v>4914440000</v>
      </c>
      <c r="G74" s="3">
        <f t="shared" si="9"/>
        <v>37</v>
      </c>
      <c r="H74" s="28">
        <f t="shared" si="10"/>
        <v>4914440000</v>
      </c>
      <c r="I74" s="222">
        <f t="shared" si="11"/>
        <v>-37</v>
      </c>
      <c r="J74" s="222" t="str">
        <f t="shared" si="0"/>
        <v>-</v>
      </c>
      <c r="K74" s="222">
        <f t="shared" si="1"/>
        <v>1328.2270270270269</v>
      </c>
      <c r="L74" s="222">
        <v>1322</v>
      </c>
      <c r="M74" s="222">
        <v>1333.7</v>
      </c>
      <c r="N74" s="207" t="str">
        <f t="shared" si="2"/>
        <v>-</v>
      </c>
      <c r="O74" s="222" t="str">
        <f t="shared" si="19"/>
        <v>-</v>
      </c>
      <c r="P74" s="3">
        <f t="shared" si="12"/>
        <v>0</v>
      </c>
      <c r="Q74" s="3"/>
      <c r="R74" s="28"/>
      <c r="S74" s="3"/>
      <c r="T74" s="28"/>
    </row>
    <row r="75" spans="1:20" x14ac:dyDescent="0.2">
      <c r="A75" s="206">
        <f>A74+1</f>
        <v>45665</v>
      </c>
      <c r="B75" s="3" t="s">
        <v>3172</v>
      </c>
      <c r="C75" s="3"/>
      <c r="D75" s="28"/>
      <c r="E75" s="3"/>
      <c r="F75" s="28"/>
      <c r="G75" s="3">
        <f t="shared" si="9"/>
        <v>0</v>
      </c>
      <c r="H75" s="28">
        <f t="shared" si="10"/>
        <v>0</v>
      </c>
      <c r="I75" s="222">
        <f t="shared" si="11"/>
        <v>0</v>
      </c>
      <c r="J75" s="222" t="str">
        <f t="shared" si="0"/>
        <v>-</v>
      </c>
      <c r="K75" s="222" t="str">
        <f t="shared" si="1"/>
        <v>-</v>
      </c>
      <c r="L75" s="222"/>
      <c r="M75" s="222"/>
      <c r="N75" s="207" t="str">
        <f t="shared" si="2"/>
        <v>-</v>
      </c>
      <c r="O75" s="222" t="str">
        <f t="shared" si="19"/>
        <v>-</v>
      </c>
      <c r="P75" s="3">
        <f t="shared" si="12"/>
        <v>0</v>
      </c>
      <c r="Q75" s="3"/>
      <c r="R75" s="28"/>
      <c r="S75" s="3"/>
      <c r="T75" s="28"/>
    </row>
    <row r="76" spans="1:20" x14ac:dyDescent="0.2">
      <c r="A76" s="206">
        <f t="shared" ref="A76" si="21">A75</f>
        <v>45665</v>
      </c>
      <c r="B76" s="3" t="s">
        <v>3179</v>
      </c>
      <c r="C76" s="3"/>
      <c r="D76" s="28"/>
      <c r="E76" s="3"/>
      <c r="F76" s="28"/>
      <c r="G76" s="3">
        <f t="shared" si="9"/>
        <v>0</v>
      </c>
      <c r="H76" s="28">
        <f t="shared" si="10"/>
        <v>0</v>
      </c>
      <c r="I76" s="222">
        <f t="shared" si="11"/>
        <v>0</v>
      </c>
      <c r="J76" s="222" t="str">
        <f t="shared" si="0"/>
        <v>-</v>
      </c>
      <c r="K76" s="222" t="str">
        <f t="shared" si="1"/>
        <v>-</v>
      </c>
      <c r="L76" s="222"/>
      <c r="M76" s="222"/>
      <c r="N76" s="207" t="str">
        <f t="shared" si="2"/>
        <v>-</v>
      </c>
      <c r="O76" s="222" t="str">
        <f t="shared" si="19"/>
        <v>-</v>
      </c>
      <c r="P76" s="3">
        <f t="shared" si="12"/>
        <v>0</v>
      </c>
      <c r="Q76" s="3"/>
      <c r="R76" s="28"/>
      <c r="S76" s="3"/>
      <c r="T76" s="28"/>
    </row>
    <row r="77" spans="1:20" x14ac:dyDescent="0.2">
      <c r="A77" s="206">
        <f t="shared" ref="A77" si="22">A76+1</f>
        <v>45666</v>
      </c>
      <c r="B77" s="3" t="s">
        <v>3172</v>
      </c>
      <c r="C77" s="3"/>
      <c r="D77" s="28"/>
      <c r="E77" s="3"/>
      <c r="F77" s="28"/>
      <c r="G77" s="3">
        <f t="shared" si="9"/>
        <v>0</v>
      </c>
      <c r="H77" s="28">
        <f t="shared" si="10"/>
        <v>0</v>
      </c>
      <c r="I77" s="222">
        <f t="shared" si="11"/>
        <v>0</v>
      </c>
      <c r="J77" s="222" t="str">
        <f t="shared" si="0"/>
        <v>-</v>
      </c>
      <c r="K77" s="222" t="str">
        <f t="shared" si="1"/>
        <v>-</v>
      </c>
      <c r="L77" s="222"/>
      <c r="M77" s="222"/>
      <c r="N77" s="207" t="str">
        <f t="shared" si="2"/>
        <v>-</v>
      </c>
      <c r="O77" s="222" t="str">
        <f t="shared" si="19"/>
        <v>-</v>
      </c>
      <c r="P77" s="3">
        <f t="shared" si="12"/>
        <v>0</v>
      </c>
      <c r="Q77" s="3"/>
      <c r="R77" s="28"/>
      <c r="S77" s="3"/>
      <c r="T77" s="28"/>
    </row>
    <row r="78" spans="1:20" x14ac:dyDescent="0.2">
      <c r="A78" s="206">
        <f>A77</f>
        <v>45666</v>
      </c>
      <c r="B78" s="3" t="s">
        <v>3179</v>
      </c>
      <c r="C78" s="3"/>
      <c r="D78" s="28"/>
      <c r="E78" s="3"/>
      <c r="F78" s="28"/>
      <c r="G78" s="3">
        <f t="shared" ref="G78" si="23">C78+E78</f>
        <v>0</v>
      </c>
      <c r="H78" s="28">
        <f t="shared" ref="H78" si="24">D78+F78</f>
        <v>0</v>
      </c>
      <c r="I78" s="222">
        <f t="shared" ref="I78" si="25">C78-E78</f>
        <v>0</v>
      </c>
      <c r="J78" s="222" t="str">
        <f t="shared" ref="J78" si="26">IFERROR(D78/C78/100000,"-")</f>
        <v>-</v>
      </c>
      <c r="K78" s="222" t="str">
        <f t="shared" ref="K78" si="27">IFERROR(F78/E78/100000,"-")</f>
        <v>-</v>
      </c>
      <c r="L78" s="222"/>
      <c r="M78" s="222"/>
      <c r="N78" s="207" t="str">
        <f t="shared" ref="N78" si="28">IFERROR(R78/Q78/100000,"-")</f>
        <v>-</v>
      </c>
      <c r="O78" s="222" t="str">
        <f t="shared" ref="O78" si="29">IFERROR(T78/S78/100000,"-")</f>
        <v>-</v>
      </c>
      <c r="P78" s="3">
        <f t="shared" ref="P78" si="30">Q78-S78</f>
        <v>0</v>
      </c>
      <c r="Q78" s="3"/>
      <c r="R78" s="28"/>
      <c r="S78" s="3"/>
      <c r="T78" s="28"/>
    </row>
  </sheetData>
  <mergeCells count="16">
    <mergeCell ref="K14:M14"/>
    <mergeCell ref="C15:D15"/>
    <mergeCell ref="I15:J15"/>
    <mergeCell ref="B12:B13"/>
    <mergeCell ref="C12:D12"/>
    <mergeCell ref="E12:G12"/>
    <mergeCell ref="H12:H13"/>
    <mergeCell ref="I12:J12"/>
    <mergeCell ref="B14:B15"/>
    <mergeCell ref="C14:D14"/>
    <mergeCell ref="E14:G14"/>
    <mergeCell ref="H14:H15"/>
    <mergeCell ref="I14:J14"/>
    <mergeCell ref="K12:M12"/>
    <mergeCell ref="C13:D13"/>
    <mergeCell ref="I13:J13"/>
  </mergeCells>
  <conditionalFormatting sqref="A18:I18 N18:T18 G19:G24 I19:O19 Q19:Q24 S19:S24 G26 A19:E22 P19:P58 R19:R58 H19:H58 T19:T58 C23:E24 I20:I24 L20:M24 F78:O78 F19:F77 G59:I77 L59:M77 J20:K77 N20:O77 D19:D78 Q59:T78 A23:B78">
    <cfRule type="expression" dxfId="1434" priority="16" stopIfTrue="1">
      <formula>$A18</formula>
    </cfRule>
  </conditionalFormatting>
  <conditionalFormatting sqref="E13 E15">
    <cfRule type="expression" dxfId="1433" priority="3" stopIfTrue="1">
      <formula>$E13&gt;=0</formula>
    </cfRule>
    <cfRule type="expression" dxfId="1432" priority="5" stopIfTrue="1">
      <formula>$E13&lt;0</formula>
    </cfRule>
  </conditionalFormatting>
  <conditionalFormatting sqref="K13 K15">
    <cfRule type="expression" dxfId="1431" priority="2" stopIfTrue="1">
      <formula>$K13&gt;0</formula>
    </cfRule>
    <cfRule type="expression" dxfId="1430" priority="4" stopIfTrue="1">
      <formula>$K13&lt;0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7894-B322-463B-8EA0-AB0D4DAA1056}">
  <sheetPr codeName="Sheet23">
    <tabColor rgb="FF00E266"/>
  </sheetPr>
  <dimension ref="A1:AS2324"/>
  <sheetViews>
    <sheetView tabSelected="1" topLeftCell="A3" zoomScaleNormal="100" workbookViewId="0">
      <selection activeCell="S35" sqref="S35"/>
    </sheetView>
  </sheetViews>
  <sheetFormatPr defaultColWidth="9" defaultRowHeight="15" x14ac:dyDescent="0.2"/>
  <cols>
    <col min="1" max="1" width="10.6640625" style="85" customWidth="1"/>
    <col min="2" max="2" width="9.5546875" style="85" customWidth="1"/>
    <col min="3" max="6" width="9" style="85"/>
    <col min="7" max="7" width="9" style="85" customWidth="1"/>
    <col min="8" max="8" width="7.44140625" style="85" customWidth="1"/>
    <col min="9" max="10" width="9" style="85"/>
    <col min="11" max="11" width="8.33203125" style="85" customWidth="1"/>
    <col min="12" max="12" width="10.33203125" style="85" bestFit="1" customWidth="1"/>
    <col min="13" max="14" width="9" style="85"/>
    <col min="15" max="15" width="9.5546875" style="85" customWidth="1"/>
    <col min="16" max="16" width="12.6640625" style="85" customWidth="1"/>
    <col min="17" max="17" width="11.33203125" style="85" customWidth="1"/>
    <col min="18" max="18" width="13" style="85" customWidth="1"/>
    <col min="19" max="20" width="11.44140625" style="85" customWidth="1"/>
    <col min="21" max="21" width="8.88671875" style="85" customWidth="1"/>
    <col min="22" max="28" width="10.88671875" customWidth="1"/>
    <col min="29" max="45" width="8.88671875" customWidth="1"/>
    <col min="46" max="16384" width="9" style="85"/>
  </cols>
  <sheetData>
    <row r="1" spans="1:30" ht="15.75" customHeight="1" x14ac:dyDescent="0.25">
      <c r="A1" s="263" t="s">
        <v>3081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73">
        <f ca="1">$X$1</f>
        <v>45720</v>
      </c>
      <c r="M1" s="273"/>
      <c r="N1" s="273"/>
      <c r="O1" s="151">
        <f t="array" ref="O1:Q3">VN30F!C3:E5</f>
        <v>0</v>
      </c>
      <c r="P1" s="151" t="str">
        <v>Tây</v>
      </c>
      <c r="Q1" s="224" t="str">
        <v>Tự Doanh</v>
      </c>
      <c r="R1" s="224" t="str" cm="1">
        <f t="array" ref="R1:T1">VN30F!J7:L7</f>
        <v>Chênh Lệch 
ta/tây</v>
      </c>
      <c r="S1" s="224" t="str">
        <v>Bên thứ 3</v>
      </c>
      <c r="T1" s="224" t="str">
        <v>Tổng Mở OI</v>
      </c>
      <c r="U1" s="107"/>
      <c r="W1" s="162">
        <f ca="1">X1-21</f>
        <v>45699</v>
      </c>
      <c r="X1" s="162">
        <f ca="1">TODAY()</f>
        <v>45720</v>
      </c>
    </row>
    <row r="2" spans="1:30" ht="15.75" customHeight="1" x14ac:dyDescent="0.25">
      <c r="A2" s="263"/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73"/>
      <c r="M2" s="273"/>
      <c r="N2" s="273"/>
      <c r="O2" s="151" t="str">
        <v>F1M</v>
      </c>
      <c r="P2" s="151">
        <v>0</v>
      </c>
      <c r="Q2" s="224">
        <v>0</v>
      </c>
      <c r="R2" s="225" cm="1">
        <f t="array" ref="R2:T3">VN30F!J9:L10</f>
        <v>0</v>
      </c>
      <c r="S2" s="224" t="str">
        <v>mua vào</v>
      </c>
      <c r="T2" s="224">
        <v>0</v>
      </c>
      <c r="U2" s="107"/>
      <c r="W2" s="162"/>
      <c r="X2" s="162"/>
    </row>
    <row r="3" spans="1:30" ht="15.75" customHeight="1" x14ac:dyDescent="0.25">
      <c r="A3" s="263"/>
      <c r="B3" s="263"/>
      <c r="C3" s="263"/>
      <c r="D3" s="263"/>
      <c r="E3" s="263"/>
      <c r="F3" s="263"/>
      <c r="G3" s="263"/>
      <c r="H3" s="263"/>
      <c r="I3" s="263"/>
      <c r="J3" s="263"/>
      <c r="K3" s="263"/>
      <c r="L3" s="273"/>
      <c r="M3" s="273"/>
      <c r="N3" s="273"/>
      <c r="O3" s="151" t="str">
        <v>F2M</v>
      </c>
      <c r="P3" s="151">
        <v>0</v>
      </c>
      <c r="Q3" s="224">
        <v>0</v>
      </c>
      <c r="R3" s="224">
        <v>0</v>
      </c>
      <c r="S3" s="224" t="str">
        <v>bán ra</v>
      </c>
      <c r="T3" s="224">
        <v>0</v>
      </c>
      <c r="U3" s="107"/>
      <c r="X3" s="162"/>
    </row>
    <row r="4" spans="1:30" ht="15.75" customHeight="1" x14ac:dyDescent="0.25">
      <c r="A4" s="215"/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6"/>
      <c r="M4" s="216"/>
      <c r="N4" s="216"/>
      <c r="O4" s="209"/>
      <c r="P4" s="219"/>
      <c r="Q4" s="220"/>
      <c r="R4" s="107"/>
      <c r="S4" s="107"/>
      <c r="T4" s="107"/>
      <c r="U4" s="107"/>
      <c r="X4" s="162"/>
    </row>
    <row r="5" spans="1:30" x14ac:dyDescent="0.2">
      <c r="A5" s="109"/>
      <c r="B5" s="110"/>
      <c r="C5" s="110"/>
      <c r="D5" s="110"/>
      <c r="E5" s="110"/>
      <c r="F5" s="110"/>
      <c r="G5" s="110"/>
      <c r="H5" s="110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</row>
    <row r="6" spans="1:30" x14ac:dyDescent="0.2">
      <c r="A6" s="109"/>
      <c r="B6" s="110"/>
      <c r="C6" s="110"/>
      <c r="D6" s="110"/>
      <c r="E6" s="110"/>
      <c r="F6" s="110"/>
      <c r="G6" s="110"/>
      <c r="H6" s="110"/>
      <c r="I6" s="107"/>
      <c r="J6" s="107"/>
      <c r="K6" s="107"/>
      <c r="L6" s="107"/>
      <c r="M6" s="107"/>
      <c r="N6" s="107"/>
      <c r="O6" s="107"/>
      <c r="P6" s="107"/>
      <c r="Q6" s="107"/>
      <c r="R6" s="205"/>
      <c r="S6" s="107"/>
      <c r="T6" s="107"/>
      <c r="U6" s="107"/>
      <c r="W6" s="162" t="str">
        <f t="array" aca="1" ref="W6:AD17" ca="1">laisuat_vietstock(W1,X1)</f>
        <v>ReportTime</v>
      </c>
      <c r="X6" t="str">
        <f ca="1"/>
        <v xml:space="preserve"> 1 tháng </v>
      </c>
      <c r="Y6" t="str">
        <f ca="1"/>
        <v xml:space="preserve"> 1 tuần </v>
      </c>
      <c r="Z6" t="str">
        <f ca="1"/>
        <v xml:space="preserve"> 2 tuần </v>
      </c>
      <c r="AA6" t="str">
        <f ca="1"/>
        <v xml:space="preserve"> 3 tháng  </v>
      </c>
      <c r="AB6" t="str">
        <f ca="1"/>
        <v xml:space="preserve"> 6 tháng  </v>
      </c>
      <c r="AC6" t="str">
        <f ca="1"/>
        <v>9 tháng</v>
      </c>
      <c r="AD6" t="str">
        <f ca="1"/>
        <v>Qua đêm</v>
      </c>
    </row>
    <row r="7" spans="1:30" x14ac:dyDescent="0.2">
      <c r="A7" s="105"/>
      <c r="B7" s="106"/>
      <c r="C7" s="106"/>
      <c r="D7" s="106"/>
      <c r="E7" s="106"/>
      <c r="F7" s="106"/>
      <c r="G7" s="106"/>
      <c r="H7" s="106"/>
      <c r="I7" s="107"/>
      <c r="J7" s="107"/>
      <c r="K7" s="107"/>
      <c r="L7" s="107"/>
      <c r="M7" s="107"/>
      <c r="N7" s="107"/>
      <c r="O7" s="107"/>
      <c r="P7" s="107"/>
      <c r="Q7" s="107"/>
      <c r="R7" s="205"/>
      <c r="S7" s="107"/>
      <c r="T7" s="107"/>
      <c r="U7" s="107"/>
      <c r="W7" s="162">
        <f ca="1"/>
        <v>45715</v>
      </c>
      <c r="X7" s="176">
        <f ca="1"/>
        <v>4.6699999999999998E-2</v>
      </c>
      <c r="Y7" s="176">
        <f ca="1"/>
        <v>4.24E-2</v>
      </c>
      <c r="Z7" s="176">
        <f ca="1"/>
        <v>4.5499999999999999E-2</v>
      </c>
      <c r="AA7" s="176">
        <f ca="1"/>
        <v>5.3699999999999998E-2</v>
      </c>
      <c r="AB7" s="176">
        <f ca="1"/>
        <v>5.7500000000000002E-2</v>
      </c>
      <c r="AC7" s="176">
        <f ca="1"/>
        <v>5.8600000000000006E-2</v>
      </c>
      <c r="AD7" s="176">
        <f ca="1"/>
        <v>3.7900000000000003E-2</v>
      </c>
    </row>
    <row r="8" spans="1:30" x14ac:dyDescent="0.2">
      <c r="A8" s="105"/>
      <c r="B8" s="106"/>
      <c r="C8" s="106"/>
      <c r="D8" s="106"/>
      <c r="E8" s="106"/>
      <c r="F8" s="106"/>
      <c r="G8" s="106"/>
      <c r="H8" s="106"/>
      <c r="I8" s="107"/>
      <c r="J8" s="107"/>
      <c r="K8" s="107"/>
      <c r="L8" s="107"/>
      <c r="M8" s="107"/>
      <c r="N8" s="107"/>
      <c r="O8" s="107"/>
      <c r="P8" s="107"/>
      <c r="Q8" s="107"/>
      <c r="R8" s="205"/>
      <c r="S8" s="107"/>
      <c r="T8" s="107"/>
      <c r="U8" s="107"/>
      <c r="W8" s="162">
        <f ca="1"/>
        <v>45714</v>
      </c>
      <c r="X8" s="176">
        <f ca="1"/>
        <v>4.8099999999999997E-2</v>
      </c>
      <c r="Y8" s="176">
        <f ca="1"/>
        <v>4.4699999999999997E-2</v>
      </c>
      <c r="Z8" s="176">
        <f ca="1"/>
        <v>4.7300000000000002E-2</v>
      </c>
      <c r="AA8" s="176">
        <f ca="1"/>
        <v>5.1699999999999996E-2</v>
      </c>
      <c r="AB8" s="176">
        <f ca="1"/>
        <v>5.5899999999999998E-2</v>
      </c>
      <c r="AC8" s="176">
        <f ca="1"/>
        <v>5.8600000000000006E-2</v>
      </c>
      <c r="AD8" s="176">
        <f ca="1"/>
        <v>4.1399999999999999E-2</v>
      </c>
    </row>
    <row r="9" spans="1:30" x14ac:dyDescent="0.2">
      <c r="A9" s="105"/>
      <c r="B9" s="106"/>
      <c r="C9" s="106"/>
      <c r="D9" s="106"/>
      <c r="E9" s="106"/>
      <c r="F9" s="106"/>
      <c r="G9" s="106"/>
      <c r="H9" s="106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W9" s="162">
        <f ca="1"/>
        <v>45713</v>
      </c>
      <c r="X9" s="176">
        <f ca="1"/>
        <v>4.7400000000000005E-2</v>
      </c>
      <c r="Y9" s="176">
        <f ca="1"/>
        <v>4.8099999999999997E-2</v>
      </c>
      <c r="Z9" s="176">
        <f ca="1"/>
        <v>4.8499999999999995E-2</v>
      </c>
      <c r="AA9" s="176">
        <f ca="1"/>
        <v>5.21E-2</v>
      </c>
      <c r="AB9" s="176">
        <f ca="1"/>
        <v>6.3500000000000001E-2</v>
      </c>
      <c r="AC9" s="176">
        <f ca="1"/>
        <v>5.8600000000000006E-2</v>
      </c>
      <c r="AD9" s="176">
        <f ca="1"/>
        <v>4.7300000000000002E-2</v>
      </c>
    </row>
    <row r="10" spans="1:30" x14ac:dyDescent="0.2">
      <c r="A10" s="105"/>
      <c r="B10" s="106"/>
      <c r="C10" s="106"/>
      <c r="D10" s="106"/>
      <c r="E10" s="106"/>
      <c r="F10" s="106"/>
      <c r="G10" s="106"/>
      <c r="H10" s="106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W10" s="162">
        <f ca="1"/>
        <v>45712</v>
      </c>
      <c r="X10" s="176">
        <f ca="1"/>
        <v>4.6900000000000004E-2</v>
      </c>
      <c r="Y10" s="176">
        <f ca="1"/>
        <v>4.7100000000000003E-2</v>
      </c>
      <c r="Z10" s="176">
        <f ca="1"/>
        <v>4.7400000000000005E-2</v>
      </c>
      <c r="AA10" s="176">
        <f ca="1"/>
        <v>5.1399999999999994E-2</v>
      </c>
      <c r="AB10" s="176">
        <f ca="1"/>
        <v>6.1200000000000004E-2</v>
      </c>
      <c r="AC10" s="176">
        <f ca="1"/>
        <v>5.8600000000000006E-2</v>
      </c>
      <c r="AD10" s="176">
        <f ca="1"/>
        <v>4.4999999999999998E-2</v>
      </c>
    </row>
    <row r="11" spans="1:30" x14ac:dyDescent="0.2">
      <c r="A11" s="105"/>
      <c r="B11" s="106"/>
      <c r="C11" s="106"/>
      <c r="D11" s="106"/>
      <c r="E11" s="106"/>
      <c r="F11" s="106"/>
      <c r="G11" s="106"/>
      <c r="H11" s="106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W11" s="162">
        <f ca="1"/>
        <v>45709</v>
      </c>
      <c r="X11" s="176">
        <f ca="1"/>
        <v>4.4600000000000001E-2</v>
      </c>
      <c r="Y11" s="176">
        <f ca="1"/>
        <v>4.2199999999999994E-2</v>
      </c>
      <c r="Z11" s="176">
        <f ca="1"/>
        <v>4.5100000000000001E-2</v>
      </c>
      <c r="AA11" s="176">
        <f ca="1"/>
        <v>5.1399999999999994E-2</v>
      </c>
      <c r="AB11" s="176">
        <f ca="1"/>
        <v>5.6100000000000004E-2</v>
      </c>
      <c r="AC11" s="176">
        <f ca="1"/>
        <v>5.8600000000000006E-2</v>
      </c>
      <c r="AD11" s="176">
        <f ca="1"/>
        <v>3.9800000000000002E-2</v>
      </c>
    </row>
    <row r="12" spans="1:30" x14ac:dyDescent="0.2">
      <c r="A12" s="105"/>
      <c r="B12" s="106"/>
      <c r="C12" s="106"/>
      <c r="D12" s="106"/>
      <c r="E12" s="106"/>
      <c r="F12" s="106"/>
      <c r="G12" s="106"/>
      <c r="H12" s="106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W12" s="162">
        <f ca="1"/>
        <v>45708</v>
      </c>
      <c r="X12" s="176">
        <f ca="1"/>
        <v>4.6500000000000007E-2</v>
      </c>
      <c r="Y12" s="176">
        <f ca="1"/>
        <v>4.3700000000000003E-2</v>
      </c>
      <c r="Z12" s="176">
        <f ca="1"/>
        <v>4.4299999999999999E-2</v>
      </c>
      <c r="AA12" s="176">
        <f ca="1"/>
        <v>5.2199999999999996E-2</v>
      </c>
      <c r="AB12" s="176">
        <f ca="1"/>
        <v>5.2900000000000003E-2</v>
      </c>
      <c r="AC12" s="176">
        <f ca="1"/>
        <v>5.8600000000000006E-2</v>
      </c>
      <c r="AD12" s="176">
        <f ca="1"/>
        <v>4.0800000000000003E-2</v>
      </c>
    </row>
    <row r="13" spans="1:30" x14ac:dyDescent="0.2">
      <c r="A13" s="105"/>
      <c r="B13" s="106"/>
      <c r="C13" s="106"/>
      <c r="D13" s="106"/>
      <c r="E13" s="106"/>
      <c r="F13" s="106"/>
      <c r="G13" s="106"/>
      <c r="H13" s="106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W13" s="162">
        <f ca="1"/>
        <v>45707</v>
      </c>
      <c r="X13" s="176">
        <f ca="1"/>
        <v>4.7199999999999999E-2</v>
      </c>
      <c r="Y13" s="176">
        <f ca="1"/>
        <v>4.4400000000000002E-2</v>
      </c>
      <c r="Z13" s="176">
        <f ca="1"/>
        <v>4.5100000000000001E-2</v>
      </c>
      <c r="AA13" s="176">
        <f ca="1"/>
        <v>5.2999999999999999E-2</v>
      </c>
      <c r="AB13" s="176">
        <f ca="1"/>
        <v>5.5800000000000002E-2</v>
      </c>
      <c r="AC13" s="176">
        <f ca="1"/>
        <v>5.8600000000000006E-2</v>
      </c>
      <c r="AD13" s="176">
        <f ca="1"/>
        <v>4.2999999999999997E-2</v>
      </c>
    </row>
    <row r="14" spans="1:30" x14ac:dyDescent="0.2">
      <c r="A14" s="105"/>
      <c r="B14" s="106"/>
      <c r="C14" s="106"/>
      <c r="D14" s="106"/>
      <c r="E14" s="106"/>
      <c r="F14" s="106"/>
      <c r="G14" s="106"/>
      <c r="H14" s="106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W14" s="162">
        <f ca="1"/>
        <v>45706</v>
      </c>
      <c r="X14" s="176">
        <f ca="1"/>
        <v>4.7500000000000001E-2</v>
      </c>
      <c r="Y14" s="176">
        <f ca="1"/>
        <v>4.7800000000000002E-2</v>
      </c>
      <c r="Z14" s="176">
        <f ca="1"/>
        <v>4.7500000000000001E-2</v>
      </c>
      <c r="AA14" s="176">
        <f ca="1"/>
        <v>5.1500000000000004E-2</v>
      </c>
      <c r="AB14" s="176">
        <f ca="1"/>
        <v>5.5899999999999998E-2</v>
      </c>
      <c r="AC14" s="176">
        <f ca="1"/>
        <v>5.8600000000000006E-2</v>
      </c>
      <c r="AD14" s="176">
        <f ca="1"/>
        <v>4.6399999999999997E-2</v>
      </c>
    </row>
    <row r="15" spans="1:30" x14ac:dyDescent="0.2">
      <c r="A15" s="105"/>
      <c r="B15" s="106"/>
      <c r="C15" s="106"/>
      <c r="D15" s="106"/>
      <c r="E15" s="106"/>
      <c r="F15" s="106"/>
      <c r="G15" s="106"/>
      <c r="H15" s="106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W15" s="162">
        <f ca="1"/>
        <v>45705</v>
      </c>
      <c r="X15" s="176">
        <f ca="1"/>
        <v>4.6699999999999998E-2</v>
      </c>
      <c r="Y15" s="176">
        <f ca="1"/>
        <v>4.6100000000000002E-2</v>
      </c>
      <c r="Z15" s="176">
        <f ca="1"/>
        <v>4.6699999999999998E-2</v>
      </c>
      <c r="AA15" s="176">
        <f ca="1"/>
        <v>5.3699999999999998E-2</v>
      </c>
      <c r="AB15" s="176">
        <f ca="1"/>
        <v>5.2000000000000005E-2</v>
      </c>
      <c r="AC15" s="176">
        <f ca="1"/>
        <v>5.8600000000000006E-2</v>
      </c>
      <c r="AD15" s="176">
        <f ca="1"/>
        <v>4.4800000000000006E-2</v>
      </c>
    </row>
    <row r="16" spans="1:30" x14ac:dyDescent="0.2"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W16" s="162">
        <f ca="1"/>
        <v>45702</v>
      </c>
      <c r="X16" s="176">
        <f ca="1"/>
        <v>4.5400000000000003E-2</v>
      </c>
      <c r="Y16" s="176">
        <f ca="1"/>
        <v>4.2099999999999999E-2</v>
      </c>
      <c r="Z16" s="176">
        <f ca="1"/>
        <v>4.4699999999999997E-2</v>
      </c>
      <c r="AA16" s="176">
        <f ca="1"/>
        <v>5.0900000000000001E-2</v>
      </c>
      <c r="AB16" s="176">
        <f ca="1"/>
        <v>5.5599999999999997E-2</v>
      </c>
      <c r="AC16" s="176">
        <f ca="1"/>
        <v>5.8600000000000006E-2</v>
      </c>
      <c r="AD16" s="176">
        <f ca="1"/>
        <v>3.9399999999999998E-2</v>
      </c>
    </row>
    <row r="17" spans="9:30" x14ac:dyDescent="0.2"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W17" s="162">
        <f ca="1"/>
        <v>45701</v>
      </c>
      <c r="X17" s="176">
        <f ca="1"/>
        <v>4.6699999999999998E-2</v>
      </c>
      <c r="Y17" s="176">
        <f ca="1"/>
        <v>4.4500000000000005E-2</v>
      </c>
      <c r="Z17" s="176">
        <f ca="1"/>
        <v>4.6300000000000001E-2</v>
      </c>
      <c r="AA17" s="176">
        <f ca="1"/>
        <v>5.2900000000000003E-2</v>
      </c>
      <c r="AB17" s="176">
        <f ca="1"/>
        <v>5.5999999999999994E-2</v>
      </c>
      <c r="AC17" s="176">
        <f ca="1"/>
        <v>5.8600000000000006E-2</v>
      </c>
      <c r="AD17" s="176">
        <f ca="1"/>
        <v>4.2500000000000003E-2</v>
      </c>
    </row>
    <row r="18" spans="9:30" x14ac:dyDescent="0.2"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W18" s="162"/>
      <c r="X18" s="176"/>
      <c r="Y18" s="176"/>
      <c r="Z18" s="176"/>
      <c r="AA18" s="176"/>
      <c r="AB18" s="176"/>
      <c r="AC18" s="176"/>
      <c r="AD18" s="176"/>
    </row>
    <row r="19" spans="9:30" x14ac:dyDescent="0.2"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W19" s="162"/>
      <c r="X19" s="176"/>
      <c r="Y19" s="176"/>
      <c r="Z19" s="176"/>
      <c r="AA19" s="176"/>
      <c r="AB19" s="176"/>
      <c r="AC19" s="176"/>
      <c r="AD19" s="176"/>
    </row>
    <row r="20" spans="9:30" x14ac:dyDescent="0.2"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</row>
    <row r="21" spans="9:30" ht="15.75" x14ac:dyDescent="0.25">
      <c r="I21" s="264" t="s">
        <v>3111</v>
      </c>
      <c r="J21" s="265"/>
      <c r="K21" s="265"/>
      <c r="L21" s="265"/>
      <c r="M21" s="265"/>
      <c r="N21" s="265"/>
      <c r="O21" s="266"/>
      <c r="P21" s="267" t="s">
        <v>3116</v>
      </c>
      <c r="Q21" s="268"/>
      <c r="R21" s="268"/>
      <c r="S21" s="268"/>
      <c r="T21" s="268"/>
      <c r="U21" s="269"/>
    </row>
    <row r="22" spans="9:30" ht="15.75" x14ac:dyDescent="0.25">
      <c r="I22" s="139" t="s">
        <v>3082</v>
      </c>
      <c r="J22" s="267" t="s">
        <v>3078</v>
      </c>
      <c r="K22" s="269"/>
      <c r="L22" s="151" t="s">
        <v>3077</v>
      </c>
      <c r="M22" s="151" t="s">
        <v>3080</v>
      </c>
      <c r="N22" s="151" t="s">
        <v>3079</v>
      </c>
      <c r="O22" s="151" t="s">
        <v>3028</v>
      </c>
      <c r="P22" s="267" t="s">
        <v>3113</v>
      </c>
      <c r="Q22" s="269"/>
      <c r="R22" s="150" t="s">
        <v>3112</v>
      </c>
      <c r="S22" s="151" t="s">
        <v>3114</v>
      </c>
      <c r="T22" s="151" t="s">
        <v>3115</v>
      </c>
      <c r="U22" s="151" t="s">
        <v>3028</v>
      </c>
      <c r="V22" s="176"/>
    </row>
    <row r="23" spans="9:30" x14ac:dyDescent="0.2">
      <c r="I23" s="270" t="s">
        <v>3083</v>
      </c>
      <c r="J23" s="113" t="str">
        <f>J40</f>
        <v>Dow Jones</v>
      </c>
      <c r="K23" s="114"/>
      <c r="L23" s="108">
        <f t="shared" ref="L23:N25" si="0">K40</f>
        <v>43191.24</v>
      </c>
      <c r="M23" s="108">
        <f t="shared" si="0"/>
        <v>-649.66999999999996</v>
      </c>
      <c r="N23" s="131">
        <f t="shared" si="0"/>
        <v>-1.4800000000000001E-2</v>
      </c>
      <c r="O23" s="108" t="str">
        <f>IF(N23&gt;0,"tăng","giảm")</f>
        <v>giảm</v>
      </c>
      <c r="P23" s="113" t="str">
        <f t="shared" ref="P23:P28" si="1">C59</f>
        <v>Gold Spot US Dollar</v>
      </c>
      <c r="Q23" s="108"/>
      <c r="R23" s="108" t="str">
        <f>IF(ISNUMBER(SEARCH("$",B59 )), B59, B59 * 1)</f>
        <v>2,887.42 $</v>
      </c>
      <c r="S23" s="108">
        <f t="shared" ref="S23:S28" si="2">F59</f>
        <v>-5.75</v>
      </c>
      <c r="T23" s="131">
        <f t="shared" ref="T23:T28" si="3">E59</f>
        <v>-2E-3</v>
      </c>
      <c r="U23" s="108" t="str">
        <f>IF(T23&gt;0,"tăng",IF(T23=0,"không đổi","giảm"))</f>
        <v>giảm</v>
      </c>
      <c r="V23" s="176"/>
    </row>
    <row r="24" spans="9:30" x14ac:dyDescent="0.2">
      <c r="I24" s="271"/>
      <c r="J24" s="113" t="str">
        <f>J41</f>
        <v>Nasdaq</v>
      </c>
      <c r="K24" s="114"/>
      <c r="L24" s="108">
        <f t="shared" si="0"/>
        <v>18350.189999999999</v>
      </c>
      <c r="M24" s="108">
        <f t="shared" si="0"/>
        <v>-497.09</v>
      </c>
      <c r="N24" s="131">
        <f t="shared" si="0"/>
        <v>-2.64E-2</v>
      </c>
      <c r="O24" s="108" t="str">
        <f t="shared" ref="O24:O25" si="4">IF(N24&gt;0,"tăng","giảm")</f>
        <v>giảm</v>
      </c>
      <c r="P24" s="113" t="str">
        <f t="shared" si="1"/>
        <v>Vàng SJC TP HCM</v>
      </c>
      <c r="Q24" s="108"/>
      <c r="R24" s="149">
        <f>IF(ISNUMBER(SEARCH("$",B60 )), "", B60 * 1)</f>
        <v>91600</v>
      </c>
      <c r="S24" s="108">
        <f t="shared" si="2"/>
        <v>600</v>
      </c>
      <c r="T24" s="131">
        <f t="shared" si="3"/>
        <v>6.6E-3</v>
      </c>
      <c r="U24" s="108" t="str">
        <f t="shared" ref="U24:U28" si="5">IF(T24&gt;0,"tăng",IF(T24=0,"không đổi","giảm"))</f>
        <v>tăng</v>
      </c>
      <c r="V24" s="176"/>
    </row>
    <row r="25" spans="9:30" x14ac:dyDescent="0.2">
      <c r="I25" s="271"/>
      <c r="J25" s="113" t="str">
        <f>J42</f>
        <v>S&amp;P 500 - (CFD)</v>
      </c>
      <c r="K25" s="114"/>
      <c r="L25" s="108">
        <f t="shared" si="0"/>
        <v>5849.72</v>
      </c>
      <c r="M25" s="108">
        <f t="shared" si="0"/>
        <v>-104.78</v>
      </c>
      <c r="N25" s="131">
        <f t="shared" si="0"/>
        <v>-1.7600000000000001E-2</v>
      </c>
      <c r="O25" s="108" t="str">
        <f t="shared" si="4"/>
        <v>giảm</v>
      </c>
      <c r="P25" s="113" t="str">
        <f t="shared" si="1"/>
        <v>Vàng DOJI SG</v>
      </c>
      <c r="Q25" s="157"/>
      <c r="R25" s="149">
        <f>IF(ISNUMBER(SEARCH("$",B61 )), "", B61 * 1)</f>
        <v>91600</v>
      </c>
      <c r="S25" s="108">
        <f t="shared" si="2"/>
        <v>600</v>
      </c>
      <c r="T25" s="131">
        <f t="shared" si="3"/>
        <v>6.6E-3</v>
      </c>
      <c r="U25" s="108" t="str">
        <f t="shared" si="5"/>
        <v>tăng</v>
      </c>
      <c r="V25" s="176"/>
    </row>
    <row r="26" spans="9:30" x14ac:dyDescent="0.2">
      <c r="I26" s="271"/>
      <c r="J26" s="113" t="str">
        <f>J37</f>
        <v>Dow Jones Futures</v>
      </c>
      <c r="K26" s="114"/>
      <c r="L26" s="108">
        <f t="shared" ref="L26:N28" si="6">K37</f>
        <v>43230</v>
      </c>
      <c r="M26" s="108">
        <f t="shared" si="6"/>
        <v>38</v>
      </c>
      <c r="N26" s="131">
        <f t="shared" si="6"/>
        <v>8.9999999999999998E-4</v>
      </c>
      <c r="O26" s="108" t="str">
        <f t="shared" ref="O26:O33" si="7">IF(N26&gt;0,"tăng","giảm")</f>
        <v>tăng</v>
      </c>
      <c r="P26" s="113" t="str">
        <f t="shared" si="1"/>
        <v>Vàng DOJI HN</v>
      </c>
      <c r="Q26" s="157"/>
      <c r="R26" s="149">
        <f>IF(ISNUMBER(SEARCH("$",B62 )), "", B62 * 1)</f>
        <v>91600</v>
      </c>
      <c r="S26" s="108">
        <f t="shared" si="2"/>
        <v>600</v>
      </c>
      <c r="T26" s="131">
        <f t="shared" si="3"/>
        <v>6.6E-3</v>
      </c>
      <c r="U26" s="108" t="str">
        <f t="shared" si="5"/>
        <v>tăng</v>
      </c>
      <c r="V26" s="176"/>
    </row>
    <row r="27" spans="9:30" x14ac:dyDescent="0.2">
      <c r="I27" s="271"/>
      <c r="J27" s="113" t="str">
        <f>J38</f>
        <v>S&amp;P 500 Futures</v>
      </c>
      <c r="K27" s="114"/>
      <c r="L27" s="108">
        <f t="shared" si="6"/>
        <v>5861.8</v>
      </c>
      <c r="M27" s="108">
        <f t="shared" si="6"/>
        <v>11.9</v>
      </c>
      <c r="N27" s="131">
        <f t="shared" si="6"/>
        <v>2E-3</v>
      </c>
      <c r="O27" s="108" t="str">
        <f t="shared" si="7"/>
        <v>tăng</v>
      </c>
      <c r="P27" s="113" t="str">
        <f t="shared" si="1"/>
        <v>Vàng PNJ Hà Nội</v>
      </c>
      <c r="Q27" s="157"/>
      <c r="R27" s="149">
        <f>IF(ISNUMBER(SEARCH("$",B63 )), "", B63 * 1)</f>
        <v>92100</v>
      </c>
      <c r="S27" s="108">
        <f t="shared" si="2"/>
        <v>1100</v>
      </c>
      <c r="T27" s="131">
        <f t="shared" si="3"/>
        <v>1.21E-2</v>
      </c>
      <c r="U27" s="108" t="str">
        <f t="shared" si="5"/>
        <v>tăng</v>
      </c>
    </row>
    <row r="28" spans="9:30" x14ac:dyDescent="0.2">
      <c r="I28" s="272"/>
      <c r="J28" s="113" t="str">
        <f>J39</f>
        <v>US Tech Futures</v>
      </c>
      <c r="K28" s="114"/>
      <c r="L28" s="108">
        <f t="shared" si="6"/>
        <v>20495.5</v>
      </c>
      <c r="M28" s="108">
        <f t="shared" si="6"/>
        <v>69.900000000000006</v>
      </c>
      <c r="N28" s="131">
        <f t="shared" si="6"/>
        <v>3.4000000000000002E-3</v>
      </c>
      <c r="O28" s="108" t="str">
        <f t="shared" si="7"/>
        <v>tăng</v>
      </c>
      <c r="P28" s="113" t="str">
        <f t="shared" si="1"/>
        <v>Vàng PNJ TP.HCM</v>
      </c>
      <c r="Q28" s="108"/>
      <c r="R28" s="149">
        <f>IF(ISNUMBER(SEARCH("$",B64 )), "", B64 * 1)</f>
        <v>92100</v>
      </c>
      <c r="S28" s="108">
        <f t="shared" si="2"/>
        <v>1100</v>
      </c>
      <c r="T28" s="131">
        <f t="shared" si="3"/>
        <v>1.21E-2</v>
      </c>
      <c r="U28" s="108" t="str">
        <f t="shared" si="5"/>
        <v>tăng</v>
      </c>
    </row>
    <row r="29" spans="9:30" ht="15.75" x14ac:dyDescent="0.25">
      <c r="I29" s="270" t="s">
        <v>3084</v>
      </c>
      <c r="J29" s="113" t="str">
        <f>J44</f>
        <v>Nikkei 225</v>
      </c>
      <c r="K29" s="114"/>
      <c r="L29" s="108">
        <f t="shared" ref="L29:N30" si="8">K44</f>
        <v>37071.5</v>
      </c>
      <c r="M29" s="108">
        <f t="shared" si="8"/>
        <v>-752</v>
      </c>
      <c r="N29" s="131">
        <f t="shared" si="8"/>
        <v>-1.9900000000000001E-2</v>
      </c>
      <c r="O29" s="108" t="str">
        <f t="shared" si="7"/>
        <v>giảm</v>
      </c>
      <c r="P29" s="267" t="s">
        <v>3121</v>
      </c>
      <c r="Q29" s="268"/>
      <c r="R29" s="268"/>
      <c r="S29" s="268"/>
      <c r="T29" s="268"/>
      <c r="U29" s="269"/>
    </row>
    <row r="30" spans="9:30" ht="15.75" x14ac:dyDescent="0.25">
      <c r="I30" s="271"/>
      <c r="J30" s="113" t="str">
        <f>J45</f>
        <v>Shanghai</v>
      </c>
      <c r="K30" s="114"/>
      <c r="L30" s="108">
        <f t="shared" si="8"/>
        <v>3316.67</v>
      </c>
      <c r="M30" s="108">
        <f t="shared" si="8"/>
        <v>-0.26</v>
      </c>
      <c r="N30" s="131">
        <f t="shared" si="8"/>
        <v>-1E-4</v>
      </c>
      <c r="O30" s="108" t="str">
        <f t="shared" si="7"/>
        <v>giảm</v>
      </c>
      <c r="P30" s="158" t="str">
        <f>K58</f>
        <v>Mua kỳ hạn</v>
      </c>
      <c r="Q30" s="158" t="s">
        <v>3131</v>
      </c>
      <c r="R30" s="158" t="s">
        <v>3130</v>
      </c>
      <c r="S30" s="158" t="s">
        <v>3132</v>
      </c>
      <c r="T30" s="158" t="s">
        <v>3133</v>
      </c>
      <c r="U30" s="158" t="s">
        <v>3041</v>
      </c>
    </row>
    <row r="31" spans="9:30" x14ac:dyDescent="0.2">
      <c r="I31" s="271"/>
      <c r="J31" s="113" t="str">
        <f>J43</f>
        <v>Hang Seng - (CFD)</v>
      </c>
      <c r="K31" s="114"/>
      <c r="L31" s="108">
        <f>K43</f>
        <v>22883</v>
      </c>
      <c r="M31" s="108">
        <f>L43</f>
        <v>-123.27</v>
      </c>
      <c r="N31" s="131">
        <f>M43</f>
        <v>-5.4000000000000003E-3</v>
      </c>
      <c r="O31" s="108" t="str">
        <f t="shared" si="7"/>
        <v>giảm</v>
      </c>
      <c r="P31" s="108" t="str">
        <f>K59</f>
        <v>- Kỳ hạn 7</v>
      </c>
      <c r="Q31" s="108" t="str">
        <f>L59</f>
        <v>4/4</v>
      </c>
      <c r="R31" s="159" t="str">
        <f>SUBSTITUTE(SUBSTITUTE(SUBSTITUTE(M59, ",", "temporary"), ".", ","), "temporary", ".")</f>
        <v>9,794.71</v>
      </c>
      <c r="S31" s="131">
        <f>VALUE(SUBSTITUTE(N59, ",", ".")/100)</f>
        <v>0.04</v>
      </c>
      <c r="T31" s="160">
        <v>0.04</v>
      </c>
      <c r="U31" s="131">
        <f>S31-T31</f>
        <v>0</v>
      </c>
    </row>
    <row r="32" spans="9:30" x14ac:dyDescent="0.2">
      <c r="I32" s="272"/>
      <c r="J32" s="113" t="str">
        <f>J49</f>
        <v>KOSPI</v>
      </c>
      <c r="K32" s="114"/>
      <c r="L32" s="108">
        <f>K49</f>
        <v>2525.7199999999998</v>
      </c>
      <c r="M32" s="108">
        <f>L49</f>
        <v>-7.06</v>
      </c>
      <c r="N32" s="131">
        <f>M49</f>
        <v>-2.8000000000000004E-3</v>
      </c>
      <c r="O32" s="108" t="str">
        <f t="shared" si="7"/>
        <v>giảm</v>
      </c>
      <c r="P32" s="108" t="str">
        <f>K60</f>
        <v>- Kỳ hạn 14</v>
      </c>
      <c r="Q32" s="108" t="str">
        <f>L60</f>
        <v>9/9</v>
      </c>
      <c r="R32" s="108" t="str">
        <f>SUBSTITUTE(SUBSTITUTE(SUBSTITUTE(M60, ",", "temporary"), ".", ","), "temporary", ".")</f>
        <v>12,692.51</v>
      </c>
      <c r="S32" s="160">
        <f>VALUE(SUBSTITUTE(N60,",",".")/100)</f>
        <v>0.04</v>
      </c>
      <c r="T32" s="160">
        <f>T31</f>
        <v>0.04</v>
      </c>
      <c r="U32" s="131">
        <f>S32-T32</f>
        <v>0</v>
      </c>
    </row>
    <row r="33" spans="1:21" x14ac:dyDescent="0.2">
      <c r="I33" s="270" t="s">
        <v>3090</v>
      </c>
      <c r="J33" s="113" t="str">
        <f>J46</f>
        <v>FTSE 100 - (CFD)</v>
      </c>
      <c r="K33" s="114"/>
      <c r="L33" s="108">
        <f t="shared" ref="L33:N35" si="9">K46</f>
        <v>8871.31</v>
      </c>
      <c r="M33" s="108">
        <f t="shared" si="9"/>
        <v>61.57</v>
      </c>
      <c r="N33" s="131">
        <f t="shared" si="9"/>
        <v>6.9999999999999993E-3</v>
      </c>
      <c r="O33" s="108" t="str">
        <f t="shared" si="7"/>
        <v>tăng</v>
      </c>
      <c r="P33" s="107"/>
      <c r="Q33" s="107"/>
      <c r="R33" s="107"/>
      <c r="S33" s="107"/>
      <c r="T33" s="107"/>
      <c r="U33" s="107"/>
    </row>
    <row r="34" spans="1:21" ht="15.75" x14ac:dyDescent="0.25">
      <c r="I34" s="271"/>
      <c r="J34" s="113" t="str">
        <f>J47</f>
        <v>DAX - (CFD)</v>
      </c>
      <c r="K34" s="114"/>
      <c r="L34" s="108">
        <f t="shared" si="9"/>
        <v>23147.02</v>
      </c>
      <c r="M34" s="108">
        <f t="shared" si="9"/>
        <v>595.59</v>
      </c>
      <c r="N34" s="131">
        <f t="shared" si="9"/>
        <v>2.64E-2</v>
      </c>
      <c r="O34" s="108" t="str">
        <f t="shared" ref="O34:O35" si="10">IF(N34&gt;0,"tăng","giảm")</f>
        <v>tăng</v>
      </c>
      <c r="P34" s="151" t="s">
        <v>3136</v>
      </c>
      <c r="Q34" s="175" t="s">
        <v>3220</v>
      </c>
      <c r="R34" s="107"/>
      <c r="S34" s="107"/>
      <c r="T34" s="107"/>
      <c r="U34" s="107"/>
    </row>
    <row r="35" spans="1:21" ht="15.75" x14ac:dyDescent="0.25">
      <c r="I35" s="272"/>
      <c r="J35" s="113" t="str">
        <f>J48</f>
        <v>CAC 40</v>
      </c>
      <c r="K35" s="114"/>
      <c r="L35" s="108">
        <f t="shared" si="9"/>
        <v>8199.7099999999991</v>
      </c>
      <c r="M35" s="108">
        <f t="shared" si="9"/>
        <v>88.08</v>
      </c>
      <c r="N35" s="131">
        <f t="shared" si="9"/>
        <v>1.09E-2</v>
      </c>
      <c r="O35" s="108" t="str">
        <f t="shared" si="10"/>
        <v>tăng</v>
      </c>
      <c r="P35" s="151" t="s">
        <v>3135</v>
      </c>
      <c r="Q35" s="167" t="s">
        <v>3220</v>
      </c>
      <c r="R35" s="107"/>
      <c r="S35" s="107"/>
      <c r="T35" s="107"/>
      <c r="U35" s="107"/>
    </row>
    <row r="36" spans="1:21" customFormat="1" x14ac:dyDescent="0.2">
      <c r="A36" s="162" t="str" cm="1">
        <f t="array" aca="1" ref="A36:C54" ca="1">tygia_vietstock(W1,X1)</f>
        <v>ReportTime</v>
      </c>
      <c r="B36" t="str">
        <f ca="1"/>
        <v>Liên ngân hàng</v>
      </c>
      <c r="C36" s="23" t="str">
        <f ca="1"/>
        <v>Tỷ giá trung tâm (từ 04/01/2016)</v>
      </c>
      <c r="F36" t="s">
        <v>3087</v>
      </c>
      <c r="G36" t="s">
        <v>3101</v>
      </c>
      <c r="H36" t="s">
        <v>3117</v>
      </c>
      <c r="I36" s="176" t="str" cm="1">
        <f t="array" ref="I36:M50">get_index_stock_world()</f>
        <v/>
      </c>
      <c r="J36" s="176" t="str">
        <v>name</v>
      </c>
      <c r="K36" s="176" t="str">
        <v>last_price</v>
      </c>
      <c r="L36" t="str">
        <v>change_price</v>
      </c>
      <c r="M36" t="str">
        <v>change_percent</v>
      </c>
    </row>
    <row r="37" spans="1:21" customFormat="1" x14ac:dyDescent="0.2">
      <c r="A37" s="162">
        <f ca="1"/>
        <v>45719</v>
      </c>
      <c r="B37" t="str">
        <f ca="1"/>
        <v/>
      </c>
      <c r="C37" s="177">
        <f ca="1"/>
        <v>24758</v>
      </c>
      <c r="F37" t="s">
        <v>3102</v>
      </c>
      <c r="G37" s="176" cm="1">
        <f t="array" ref="G37:H37">'NGÂN HÀNG'!F16:G16</f>
        <v>-4.36211111111111E-3</v>
      </c>
      <c r="H37" s="117">
        <v>0.41905148102916712</v>
      </c>
      <c r="I37" s="178">
        <v>0</v>
      </c>
      <c r="J37" s="178" t="str">
        <v>Dow Jones Futures</v>
      </c>
      <c r="K37" s="178">
        <v>43230</v>
      </c>
      <c r="L37">
        <v>38</v>
      </c>
      <c r="M37">
        <v>8.9999999999999998E-4</v>
      </c>
    </row>
    <row r="38" spans="1:21" customFormat="1" x14ac:dyDescent="0.2">
      <c r="A38" s="162">
        <f ca="1"/>
        <v>45717</v>
      </c>
      <c r="B38" t="str">
        <f ca="1"/>
        <v/>
      </c>
      <c r="C38" s="177">
        <f ca="1"/>
        <v>24726</v>
      </c>
      <c r="F38" t="s">
        <v>3118</v>
      </c>
      <c r="G38" s="176" cm="1">
        <f t="array" ref="G38:H38">'CHỨNG KHOÁN'!F16:G16</f>
        <v>-1.4342588235294117E-2</v>
      </c>
      <c r="H38" s="117">
        <v>0.70612821508110235</v>
      </c>
      <c r="I38" s="178">
        <v>1</v>
      </c>
      <c r="J38" s="178" t="str">
        <v>S&amp;P 500 Futures</v>
      </c>
      <c r="K38" s="178">
        <v>5861.8</v>
      </c>
      <c r="L38">
        <v>11.9</v>
      </c>
      <c r="M38">
        <v>2E-3</v>
      </c>
    </row>
    <row r="39" spans="1:21" customFormat="1" x14ac:dyDescent="0.2">
      <c r="A39" s="162">
        <f ca="1"/>
        <v>45716</v>
      </c>
      <c r="B39" t="str">
        <f ca="1"/>
        <v/>
      </c>
      <c r="C39" s="177">
        <f ca="1"/>
        <v>24726</v>
      </c>
      <c r="F39" t="s">
        <v>3162</v>
      </c>
      <c r="G39" s="176" cm="1">
        <f t="array" ref="G39:H39">' DẦU -KHÍ ĐỐT'!F16:G16</f>
        <v>-5.9207500000000015E-3</v>
      </c>
      <c r="H39" s="117">
        <v>0.45575602970320067</v>
      </c>
      <c r="I39" s="178">
        <v>2</v>
      </c>
      <c r="J39" s="178" t="str">
        <v>US Tech Futures</v>
      </c>
      <c r="K39" s="178">
        <v>20495.5</v>
      </c>
      <c r="L39">
        <v>69.900000000000006</v>
      </c>
      <c r="M39">
        <v>3.4000000000000002E-3</v>
      </c>
    </row>
    <row r="40" spans="1:21" customFormat="1" x14ac:dyDescent="0.2">
      <c r="A40" s="162">
        <f ca="1"/>
        <v>45715</v>
      </c>
      <c r="B40" t="str">
        <f ca="1"/>
        <v/>
      </c>
      <c r="C40" s="177">
        <f ca="1"/>
        <v>24696</v>
      </c>
      <c r="F40" t="s">
        <v>3094</v>
      </c>
      <c r="G40" s="176" cm="1">
        <f t="array" ref="G40:H40">'CÔNG NGHỆ'!F16:G16</f>
        <v>-1.2219111111111113E-2</v>
      </c>
      <c r="H40" s="117">
        <v>0.3424462752648717</v>
      </c>
      <c r="I40" s="178">
        <v>3</v>
      </c>
      <c r="J40" s="178" t="str">
        <v>Dow Jones</v>
      </c>
      <c r="K40" s="178">
        <v>43191.24</v>
      </c>
      <c r="L40">
        <v>-649.66999999999996</v>
      </c>
      <c r="M40">
        <v>-1.4800000000000001E-2</v>
      </c>
    </row>
    <row r="41" spans="1:21" customFormat="1" x14ac:dyDescent="0.2">
      <c r="A41" s="162">
        <f ca="1"/>
        <v>45714</v>
      </c>
      <c r="B41" s="162" t="str">
        <f ca="1"/>
        <v/>
      </c>
      <c r="C41" s="177">
        <f ca="1"/>
        <v>24668</v>
      </c>
      <c r="F41" t="s">
        <v>3163</v>
      </c>
      <c r="G41" s="176" cm="1">
        <f t="array" ref="G41:H41">'BẢO HIỂM - DV TÀI CHÍNH'!F16:G16</f>
        <v>-7.1381578947368402E-3</v>
      </c>
      <c r="H41" s="117">
        <v>0.6454923022542608</v>
      </c>
      <c r="I41" s="178">
        <v>4</v>
      </c>
      <c r="J41" s="178" t="str">
        <v>Nasdaq</v>
      </c>
      <c r="K41" s="178">
        <v>18350.189999999999</v>
      </c>
      <c r="L41">
        <v>-497.09</v>
      </c>
      <c r="M41">
        <v>-2.64E-2</v>
      </c>
    </row>
    <row r="42" spans="1:21" customFormat="1" x14ac:dyDescent="0.2">
      <c r="A42" s="162">
        <f ca="1"/>
        <v>45713</v>
      </c>
      <c r="B42" t="str">
        <f ca="1"/>
        <v/>
      </c>
      <c r="C42" s="177">
        <f ca="1"/>
        <v>24646</v>
      </c>
      <c r="F42" t="s">
        <v>3095</v>
      </c>
      <c r="G42" s="176" cm="1">
        <f t="array" ref="G42:H42">'BÁN LẺ'!F16:G16</f>
        <v>-4.423125E-3</v>
      </c>
      <c r="H42" s="117">
        <v>0.49071229607756262</v>
      </c>
      <c r="I42" s="178">
        <v>5</v>
      </c>
      <c r="J42" s="178" t="str">
        <v>S&amp;P 500 - (CFD)</v>
      </c>
      <c r="K42" s="178">
        <v>5849.72</v>
      </c>
      <c r="L42">
        <v>-104.78</v>
      </c>
      <c r="M42">
        <v>-1.7600000000000001E-2</v>
      </c>
    </row>
    <row r="43" spans="1:21" customFormat="1" x14ac:dyDescent="0.2">
      <c r="A43" s="162">
        <f ca="1"/>
        <v>45712</v>
      </c>
      <c r="B43" t="str">
        <f ca="1"/>
        <v/>
      </c>
      <c r="C43" s="177">
        <f ca="1"/>
        <v>24646</v>
      </c>
      <c r="F43" t="s">
        <v>3096</v>
      </c>
      <c r="G43" s="176" cm="1">
        <f t="array" ref="G43:H43">'DỆT MAY'!F16:G16</f>
        <v>-8.1530833333333334E-3</v>
      </c>
      <c r="H43" s="117">
        <v>0.35681608356654432</v>
      </c>
      <c r="I43" s="178">
        <v>6</v>
      </c>
      <c r="J43" s="178" t="str">
        <v>Hang Seng - (CFD)</v>
      </c>
      <c r="K43" s="178">
        <v>22883</v>
      </c>
      <c r="L43">
        <v>-123.27</v>
      </c>
      <c r="M43">
        <v>-5.4000000000000003E-3</v>
      </c>
    </row>
    <row r="44" spans="1:21" customFormat="1" x14ac:dyDescent="0.2">
      <c r="A44" s="162">
        <f ca="1"/>
        <v>45710</v>
      </c>
      <c r="B44" t="str">
        <f ca="1"/>
        <v/>
      </c>
      <c r="C44" s="177">
        <f ca="1"/>
        <v>24638</v>
      </c>
      <c r="F44" t="s">
        <v>3164</v>
      </c>
      <c r="G44" s="176" cm="1">
        <f t="array" ref="G44:H44">'NĂNG LƯỢNG - TB ĐIỆN'!F16:G16</f>
        <v>-5.4451785714285713E-3</v>
      </c>
      <c r="H44" s="117">
        <v>0.46177276794786215</v>
      </c>
      <c r="I44">
        <v>7</v>
      </c>
      <c r="J44" t="str">
        <v>Nikkei 225</v>
      </c>
      <c r="K44">
        <v>37071.5</v>
      </c>
      <c r="L44">
        <v>-752</v>
      </c>
      <c r="M44">
        <v>-1.9900000000000001E-2</v>
      </c>
    </row>
    <row r="45" spans="1:21" customFormat="1" x14ac:dyDescent="0.2">
      <c r="A45" s="162">
        <f ca="1"/>
        <v>45709</v>
      </c>
      <c r="B45" t="str">
        <f ca="1"/>
        <v/>
      </c>
      <c r="C45" s="23">
        <f ca="1"/>
        <v>24638</v>
      </c>
      <c r="F45" t="s">
        <v>3097</v>
      </c>
      <c r="G45" s="176" cm="1">
        <f t="array" ref="G45:H45">THÉP!F16:G16</f>
        <v>-5.2165833333333335E-3</v>
      </c>
      <c r="H45" s="117">
        <v>0.6213887986392822</v>
      </c>
      <c r="I45">
        <v>8</v>
      </c>
      <c r="J45" t="str">
        <v>Shanghai</v>
      </c>
      <c r="K45">
        <v>3316.67</v>
      </c>
      <c r="L45">
        <v>-0.26</v>
      </c>
      <c r="M45">
        <v>-1E-4</v>
      </c>
    </row>
    <row r="46" spans="1:21" customFormat="1" x14ac:dyDescent="0.2">
      <c r="A46" s="162">
        <f ca="1"/>
        <v>45708</v>
      </c>
      <c r="B46" t="str">
        <f ca="1"/>
        <v/>
      </c>
      <c r="C46" s="23">
        <f ca="1"/>
        <v>24643</v>
      </c>
      <c r="F46" t="s">
        <v>3160</v>
      </c>
      <c r="G46" s="176" cm="1">
        <f t="array" ref="G46:H46">'HÓA CHẤT -NHỰA'!F16:G16</f>
        <v>1.4614000000000003E-3</v>
      </c>
      <c r="H46" s="117">
        <v>0.53412190560800432</v>
      </c>
      <c r="I46">
        <v>9</v>
      </c>
      <c r="J46" t="str">
        <v>FTSE 100 - (CFD)</v>
      </c>
      <c r="K46">
        <v>8871.31</v>
      </c>
      <c r="L46">
        <v>61.57</v>
      </c>
      <c r="M46">
        <v>6.9999999999999993E-3</v>
      </c>
    </row>
    <row r="47" spans="1:21" customFormat="1" x14ac:dyDescent="0.2">
      <c r="A47" s="162">
        <f ca="1"/>
        <v>45707</v>
      </c>
      <c r="B47" t="str">
        <f ca="1"/>
        <v/>
      </c>
      <c r="C47" s="23">
        <f ca="1"/>
        <v>24633</v>
      </c>
      <c r="F47" t="s">
        <v>3165</v>
      </c>
      <c r="G47" s="176" cm="1">
        <f t="array" ref="G47:H47">'Y TẾ - DƯỢC'!F16:G16</f>
        <v>-4.928875000000001E-3</v>
      </c>
      <c r="H47" s="117">
        <v>0.26116520016752648</v>
      </c>
      <c r="I47">
        <v>10</v>
      </c>
      <c r="J47" t="str">
        <v>DAX - (CFD)</v>
      </c>
      <c r="K47">
        <v>23147.02</v>
      </c>
      <c r="L47">
        <v>595.59</v>
      </c>
      <c r="M47">
        <v>2.64E-2</v>
      </c>
    </row>
    <row r="48" spans="1:21" customFormat="1" x14ac:dyDescent="0.2">
      <c r="A48" s="162">
        <f ca="1"/>
        <v>45706</v>
      </c>
      <c r="B48" t="str">
        <f ca="1"/>
        <v/>
      </c>
      <c r="C48" s="23">
        <f ca="1"/>
        <v>24602</v>
      </c>
      <c r="F48" t="s">
        <v>3093</v>
      </c>
      <c r="G48" s="176" cm="1">
        <f t="array" ref="G48:H48">BĐS!F16:G16</f>
        <v>-4.1101333333333342E-3</v>
      </c>
      <c r="H48" s="117">
        <v>0.78505227037032554</v>
      </c>
      <c r="I48">
        <v>11</v>
      </c>
      <c r="J48" t="str">
        <v>CAC 40</v>
      </c>
      <c r="K48">
        <v>8199.7099999999991</v>
      </c>
      <c r="L48">
        <v>88.08</v>
      </c>
      <c r="M48">
        <v>1.09E-2</v>
      </c>
    </row>
    <row r="49" spans="1:24" customFormat="1" x14ac:dyDescent="0.2">
      <c r="A49" s="162">
        <f ca="1"/>
        <v>45705</v>
      </c>
      <c r="B49" t="str">
        <f ca="1"/>
        <v/>
      </c>
      <c r="C49" s="23">
        <f ca="1"/>
        <v>24577</v>
      </c>
      <c r="F49" t="s">
        <v>3166</v>
      </c>
      <c r="G49" s="176" cm="1">
        <f t="array" ref="G49:H49">'KHAI KHOÁNG - TNCB'!F16:G16</f>
        <v>-1.1835285714285715E-2</v>
      </c>
      <c r="H49" s="117">
        <v>0.58752701409295949</v>
      </c>
      <c r="I49">
        <v>12</v>
      </c>
      <c r="J49" t="str">
        <v>KOSPI</v>
      </c>
      <c r="K49">
        <v>2525.7199999999998</v>
      </c>
      <c r="L49">
        <v>-7.06</v>
      </c>
      <c r="M49">
        <v>-2.8000000000000004E-3</v>
      </c>
    </row>
    <row r="50" spans="1:24" customFormat="1" x14ac:dyDescent="0.2">
      <c r="A50" s="162">
        <f ca="1"/>
        <v>45703</v>
      </c>
      <c r="B50" t="str">
        <f ca="1"/>
        <v/>
      </c>
      <c r="C50" s="23">
        <f ca="1"/>
        <v>24562</v>
      </c>
      <c r="F50" t="s">
        <v>3076</v>
      </c>
      <c r="G50" s="176" cm="1">
        <f t="array" ref="G50:H50">'THỰC PHẨM-THỦY SẢN'!F16:G16</f>
        <v>-6.0766666666666668E-3</v>
      </c>
      <c r="H50" s="117">
        <v>0.57774478763954396</v>
      </c>
      <c r="I50">
        <v>13</v>
      </c>
      <c r="J50" t="str">
        <v>VinFast Auto Ltd. Ordinary Shares (VFS)</v>
      </c>
      <c r="K50">
        <v>3.82</v>
      </c>
      <c r="L50">
        <v>-0.12</v>
      </c>
      <c r="M50">
        <v>-3.0499999999999999E-2</v>
      </c>
      <c r="X50" s="162"/>
    </row>
    <row r="51" spans="1:24" customFormat="1" x14ac:dyDescent="0.2">
      <c r="A51" s="162">
        <f ca="1"/>
        <v>45702</v>
      </c>
      <c r="B51" t="str">
        <f ca="1"/>
        <v/>
      </c>
      <c r="C51" s="23">
        <f ca="1"/>
        <v>24562</v>
      </c>
      <c r="F51" t="s">
        <v>212</v>
      </c>
      <c r="G51" s="176" cm="1">
        <f t="array" ref="G51:H51">'VẬN TẢI'!F16:G16</f>
        <v>-6.7965333333333327E-3</v>
      </c>
      <c r="H51" s="117">
        <v>0.44564633828683581</v>
      </c>
    </row>
    <row r="52" spans="1:24" customFormat="1" x14ac:dyDescent="0.2">
      <c r="A52" s="162">
        <f ca="1"/>
        <v>45701</v>
      </c>
      <c r="B52" t="str">
        <f ca="1"/>
        <v/>
      </c>
      <c r="C52" s="23">
        <f ca="1"/>
        <v>24572</v>
      </c>
      <c r="F52" t="s">
        <v>3167</v>
      </c>
      <c r="G52" s="176" cm="1">
        <f t="array" ref="G52:H52">'VLXD-NỘI THẤT'!F16:G16</f>
        <v>-7.7799090909090908E-3</v>
      </c>
      <c r="H52" s="117">
        <v>0.48537623938278929</v>
      </c>
    </row>
    <row r="53" spans="1:24" customFormat="1" ht="25.5" customHeight="1" x14ac:dyDescent="0.2">
      <c r="A53" s="162">
        <f ca="1"/>
        <v>45700</v>
      </c>
      <c r="B53" t="str">
        <f ca="1"/>
        <v/>
      </c>
      <c r="C53" s="23">
        <f ca="1"/>
        <v>24550</v>
      </c>
      <c r="F53" t="s">
        <v>3210</v>
      </c>
      <c r="G53" s="176" cm="1">
        <f t="array" ref="G53:H53">'KCN - XÂY DỰNG - ĐTC'!F16:G16</f>
        <v>-8.4714838709677425E-3</v>
      </c>
      <c r="H53" s="117">
        <v>0.47970894327815117</v>
      </c>
      <c r="N53" s="162"/>
      <c r="T53" s="162"/>
      <c r="U53" s="162"/>
    </row>
    <row r="54" spans="1:24" customFormat="1" x14ac:dyDescent="0.2">
      <c r="A54" s="162">
        <f ca="1"/>
        <v>45699</v>
      </c>
      <c r="B54" t="str">
        <f ca="1"/>
        <v/>
      </c>
      <c r="C54" s="23">
        <f ca="1"/>
        <v>24522</v>
      </c>
      <c r="F54" s="85"/>
      <c r="G54" s="85"/>
      <c r="H54" s="85"/>
      <c r="M54" s="162"/>
      <c r="N54" s="162"/>
      <c r="O54" s="162"/>
      <c r="P54" s="162"/>
      <c r="Q54" s="162"/>
      <c r="R54" s="162"/>
      <c r="S54" s="162"/>
      <c r="T54" s="162"/>
      <c r="U54" s="162"/>
    </row>
    <row r="55" spans="1:24" customFormat="1" ht="15.75" thickBot="1" x14ac:dyDescent="0.25">
      <c r="M55" s="162"/>
      <c r="N55" s="162"/>
      <c r="O55" s="162"/>
      <c r="P55" s="162"/>
      <c r="Q55" s="162"/>
      <c r="R55" s="162"/>
      <c r="S55" s="162"/>
      <c r="T55" s="162"/>
      <c r="U55" s="162"/>
    </row>
    <row r="56" spans="1:24" customFormat="1" ht="35.25" customHeight="1" x14ac:dyDescent="0.2">
      <c r="K56" s="257" t="s">
        <v>3122</v>
      </c>
      <c r="L56" s="257" t="s">
        <v>3123</v>
      </c>
      <c r="M56" s="236" t="s">
        <v>3124</v>
      </c>
      <c r="N56" s="259" t="s">
        <v>3126</v>
      </c>
      <c r="O56" s="260"/>
      <c r="P56" s="162"/>
      <c r="Q56" s="162"/>
      <c r="R56" s="162"/>
      <c r="S56" s="162"/>
      <c r="T56" s="162"/>
      <c r="U56" s="162"/>
    </row>
    <row r="57" spans="1:24" customFormat="1" ht="15.75" thickBot="1" x14ac:dyDescent="0.25">
      <c r="K57" s="258"/>
      <c r="L57" s="258"/>
      <c r="M57" s="237" t="s">
        <v>3125</v>
      </c>
      <c r="N57" s="261" t="s">
        <v>3127</v>
      </c>
      <c r="O57" s="262"/>
      <c r="P57" s="162"/>
      <c r="Q57" s="162"/>
      <c r="R57" s="162"/>
      <c r="S57" s="162"/>
      <c r="T57" s="162"/>
      <c r="U57" s="162"/>
    </row>
    <row r="58" spans="1:24" customFormat="1" ht="26.25" thickBot="1" x14ac:dyDescent="0.25">
      <c r="A58" t="str" cm="1">
        <f t="array" ref="A58:H64">gia_vang_24money()</f>
        <v/>
      </c>
      <c r="B58" t="str">
        <v>Last</v>
      </c>
      <c r="C58" t="str">
        <v>footer</v>
      </c>
      <c r="D58" t="str">
        <v>text</v>
      </c>
      <c r="E58" t="str">
        <v>Percent</v>
      </c>
      <c r="F58" t="str">
        <v>change</v>
      </c>
      <c r="G58" t="str">
        <v>symbol</v>
      </c>
      <c r="H58" t="str">
        <v>extra_name</v>
      </c>
      <c r="K58" s="238" t="s">
        <v>3128</v>
      </c>
      <c r="L58" s="213"/>
      <c r="M58" s="213"/>
      <c r="N58" s="252"/>
      <c r="O58" s="253"/>
      <c r="P58" s="162"/>
      <c r="Q58" s="162"/>
      <c r="R58" s="162"/>
      <c r="S58" s="162"/>
      <c r="T58" s="162"/>
      <c r="U58" s="162"/>
      <c r="W58" s="162"/>
    </row>
    <row r="59" spans="1:24" customFormat="1" ht="26.25" thickBot="1" x14ac:dyDescent="0.25">
      <c r="A59">
        <v>0</v>
      </c>
      <c r="B59" t="str">
        <v>2,887.42 $</v>
      </c>
      <c r="C59" t="str">
        <v>Gold Spot US Dollar</v>
      </c>
      <c r="D59" t="str">
        <v>XAU/USD</v>
      </c>
      <c r="E59">
        <v>-2E-3</v>
      </c>
      <c r="F59">
        <v>-5.75</v>
      </c>
      <c r="G59" t="str">
        <v>USD_XAU</v>
      </c>
      <c r="H59" t="str">
        <v>giá vàng thế giới</v>
      </c>
      <c r="K59" s="239" t="s">
        <v>3134</v>
      </c>
      <c r="L59" s="240" t="s">
        <v>3212</v>
      </c>
      <c r="M59" s="240" t="s">
        <v>3213</v>
      </c>
      <c r="N59" s="255">
        <v>4</v>
      </c>
      <c r="O59" s="256"/>
      <c r="P59" s="162"/>
      <c r="Q59" s="162"/>
      <c r="R59" s="162"/>
      <c r="S59" s="162"/>
      <c r="T59" s="162"/>
      <c r="U59" s="162"/>
      <c r="W59" s="162"/>
    </row>
    <row r="60" spans="1:24" customFormat="1" ht="26.25" thickBot="1" x14ac:dyDescent="0.25">
      <c r="A60">
        <v>1</v>
      </c>
      <c r="B60" t="str">
        <v>91,600</v>
      </c>
      <c r="C60" t="str">
        <v>Vàng SJC TP HCM</v>
      </c>
      <c r="D60" t="str">
        <v>SJC TP HCM</v>
      </c>
      <c r="E60">
        <v>6.6E-3</v>
      </c>
      <c r="F60">
        <v>600</v>
      </c>
      <c r="G60" t="str">
        <v>SJC_TP_HCM</v>
      </c>
      <c r="H60" t="str">
        <v>sjc tp hcm,sjc sài gòn,sjc sg</v>
      </c>
      <c r="K60" s="239" t="s">
        <v>3214</v>
      </c>
      <c r="L60" s="240" t="s">
        <v>3215</v>
      </c>
      <c r="M60" s="240" t="s">
        <v>3216</v>
      </c>
      <c r="N60" s="255">
        <v>4</v>
      </c>
      <c r="O60" s="256"/>
      <c r="P60" s="162"/>
      <c r="Q60" s="162"/>
      <c r="R60" s="162"/>
      <c r="S60" s="162"/>
      <c r="U60" s="162"/>
      <c r="W60" s="162"/>
    </row>
    <row r="61" spans="1:24" customFormat="1" ht="26.25" thickBot="1" x14ac:dyDescent="0.25">
      <c r="A61">
        <v>2</v>
      </c>
      <c r="B61" t="str">
        <v>91,600</v>
      </c>
      <c r="C61" t="str">
        <v>Vàng DOJI SG</v>
      </c>
      <c r="D61" t="str">
        <v>DOJI SG</v>
      </c>
      <c r="E61">
        <v>6.6E-3</v>
      </c>
      <c r="F61">
        <v>600</v>
      </c>
      <c r="G61" t="str">
        <v>DOJI_SG</v>
      </c>
      <c r="H61" t="str">
        <v>doji sg,doji sài gòn</v>
      </c>
      <c r="K61" s="241" t="s">
        <v>3129</v>
      </c>
      <c r="L61" s="213"/>
      <c r="M61" s="242" t="s">
        <v>3217</v>
      </c>
      <c r="N61" s="252"/>
      <c r="O61" s="253"/>
      <c r="P61" s="162"/>
      <c r="Q61" s="162"/>
      <c r="R61" s="162"/>
      <c r="S61" s="162"/>
      <c r="U61" s="162"/>
      <c r="W61" s="162"/>
    </row>
    <row r="62" spans="1:24" customFormat="1" ht="15.75" thickBot="1" x14ac:dyDescent="0.25">
      <c r="A62">
        <v>3</v>
      </c>
      <c r="B62" t="str">
        <v>91,600</v>
      </c>
      <c r="C62" t="str">
        <v>Vàng DOJI HN</v>
      </c>
      <c r="D62" t="str">
        <v>DOJI HN</v>
      </c>
      <c r="E62">
        <v>6.6E-3</v>
      </c>
      <c r="F62">
        <v>600</v>
      </c>
      <c r="G62" t="str">
        <v>DOJI_HN</v>
      </c>
      <c r="H62" t="str">
        <v>doji hn,doji hà nội</v>
      </c>
      <c r="K62" s="238" t="s">
        <v>3218</v>
      </c>
      <c r="L62" s="213"/>
      <c r="M62" s="213"/>
      <c r="N62" s="252"/>
      <c r="O62" s="253"/>
      <c r="U62" s="162"/>
      <c r="W62" s="162"/>
    </row>
    <row r="63" spans="1:24" customFormat="1" ht="26.25" thickBot="1" x14ac:dyDescent="0.25">
      <c r="A63">
        <v>4</v>
      </c>
      <c r="B63" t="str">
        <v>92,100</v>
      </c>
      <c r="C63" t="str">
        <v>Vàng PNJ Hà Nội</v>
      </c>
      <c r="D63" t="str">
        <v>PNJ Hà Nội</v>
      </c>
      <c r="E63">
        <v>1.21E-2</v>
      </c>
      <c r="F63">
        <v>1100</v>
      </c>
      <c r="G63" t="str">
        <v>PNJ_HA_NOI</v>
      </c>
      <c r="H63" t="str">
        <v>pnj_ha_noi</v>
      </c>
      <c r="K63" s="239" t="s">
        <v>3134</v>
      </c>
      <c r="L63" s="240" t="s">
        <v>3190</v>
      </c>
      <c r="M63" s="240" t="s">
        <v>3219</v>
      </c>
      <c r="N63" s="255">
        <v>4</v>
      </c>
      <c r="O63" s="256"/>
      <c r="U63" s="162"/>
      <c r="W63" s="162"/>
    </row>
    <row r="64" spans="1:24" customFormat="1" ht="26.25" thickBot="1" x14ac:dyDescent="0.25">
      <c r="A64">
        <v>5</v>
      </c>
      <c r="B64" t="str">
        <v>92,100</v>
      </c>
      <c r="C64" t="str">
        <v>Vàng PNJ TP.HCM</v>
      </c>
      <c r="D64" t="str">
        <v>PNJ TP.HCM</v>
      </c>
      <c r="E64">
        <v>1.21E-2</v>
      </c>
      <c r="F64">
        <v>1100</v>
      </c>
      <c r="G64" t="str">
        <v>PNJ_TP_HCM</v>
      </c>
      <c r="H64" t="str">
        <v>pnj_tp_hcm</v>
      </c>
      <c r="K64" s="241" t="s">
        <v>3129</v>
      </c>
      <c r="L64" s="213"/>
      <c r="M64" s="242" t="s">
        <v>3219</v>
      </c>
      <c r="N64" s="252"/>
      <c r="O64" s="253"/>
      <c r="U64" s="162"/>
      <c r="W64" s="162"/>
    </row>
    <row r="65" spans="11:23" customFormat="1" x14ac:dyDescent="0.2">
      <c r="K65" s="254"/>
      <c r="L65" s="254"/>
      <c r="M65" s="254"/>
      <c r="N65" s="254"/>
      <c r="O65" s="254"/>
      <c r="U65" s="162"/>
      <c r="W65" s="162"/>
    </row>
    <row r="66" spans="11:23" customFormat="1" x14ac:dyDescent="0.2">
      <c r="U66" s="162"/>
      <c r="W66" s="162"/>
    </row>
    <row r="67" spans="11:23" customFormat="1" x14ac:dyDescent="0.2">
      <c r="U67" s="162"/>
      <c r="W67" s="162"/>
    </row>
    <row r="68" spans="11:23" customFormat="1" x14ac:dyDescent="0.2">
      <c r="U68" s="162"/>
      <c r="W68" s="162"/>
    </row>
    <row r="69" spans="11:23" customFormat="1" x14ac:dyDescent="0.2">
      <c r="U69" s="162"/>
      <c r="W69" s="162"/>
    </row>
    <row r="70" spans="11:23" customFormat="1" x14ac:dyDescent="0.2">
      <c r="U70" s="162"/>
      <c r="W70" s="162"/>
    </row>
    <row r="71" spans="11:23" customFormat="1" x14ac:dyDescent="0.2">
      <c r="U71" s="162"/>
      <c r="W71" s="162"/>
    </row>
    <row r="72" spans="11:23" customFormat="1" x14ac:dyDescent="0.2">
      <c r="U72" s="162"/>
      <c r="W72" s="162"/>
    </row>
    <row r="73" spans="11:23" customFormat="1" x14ac:dyDescent="0.2">
      <c r="U73" s="162"/>
      <c r="W73" s="162"/>
    </row>
    <row r="74" spans="11:23" customFormat="1" x14ac:dyDescent="0.2">
      <c r="U74" s="162"/>
    </row>
    <row r="75" spans="11:23" customFormat="1" x14ac:dyDescent="0.2">
      <c r="U75" s="162"/>
    </row>
    <row r="76" spans="11:23" customFormat="1" x14ac:dyDescent="0.2">
      <c r="U76" s="162"/>
    </row>
    <row r="77" spans="11:23" customFormat="1" x14ac:dyDescent="0.2">
      <c r="U77" s="162"/>
    </row>
    <row r="78" spans="11:23" customFormat="1" x14ac:dyDescent="0.2">
      <c r="U78" s="162"/>
    </row>
    <row r="79" spans="11:23" customFormat="1" x14ac:dyDescent="0.2">
      <c r="U79" s="162"/>
    </row>
    <row r="80" spans="11:23" customFormat="1" x14ac:dyDescent="0.2">
      <c r="U80" s="162"/>
    </row>
    <row r="81" spans="21:21" customFormat="1" x14ac:dyDescent="0.2">
      <c r="U81" s="162"/>
    </row>
    <row r="82" spans="21:21" customFormat="1" x14ac:dyDescent="0.2">
      <c r="U82" s="162"/>
    </row>
    <row r="83" spans="21:21" customFormat="1" x14ac:dyDescent="0.2">
      <c r="U83" s="162"/>
    </row>
    <row r="84" spans="21:21" customFormat="1" x14ac:dyDescent="0.2">
      <c r="U84" s="162"/>
    </row>
    <row r="85" spans="21:21" customFormat="1" x14ac:dyDescent="0.2">
      <c r="U85" s="162"/>
    </row>
    <row r="86" spans="21:21" customFormat="1" x14ac:dyDescent="0.2">
      <c r="U86" s="162"/>
    </row>
    <row r="87" spans="21:21" customFormat="1" x14ac:dyDescent="0.2">
      <c r="U87" s="162"/>
    </row>
    <row r="88" spans="21:21" customFormat="1" x14ac:dyDescent="0.2">
      <c r="U88" s="162"/>
    </row>
    <row r="89" spans="21:21" customFormat="1" x14ac:dyDescent="0.2">
      <c r="U89" s="162"/>
    </row>
    <row r="90" spans="21:21" customFormat="1" x14ac:dyDescent="0.2">
      <c r="U90" s="162"/>
    </row>
    <row r="91" spans="21:21" customFormat="1" x14ac:dyDescent="0.2">
      <c r="U91" s="162"/>
    </row>
    <row r="92" spans="21:21" customFormat="1" x14ac:dyDescent="0.2">
      <c r="U92" s="162"/>
    </row>
    <row r="93" spans="21:21" customFormat="1" x14ac:dyDescent="0.2">
      <c r="U93" s="162"/>
    </row>
    <row r="94" spans="21:21" customFormat="1" x14ac:dyDescent="0.2">
      <c r="U94" s="162"/>
    </row>
    <row r="95" spans="21:21" customFormat="1" x14ac:dyDescent="0.2">
      <c r="U95" s="162"/>
    </row>
    <row r="96" spans="21:21" customFormat="1" x14ac:dyDescent="0.2">
      <c r="U96" s="162"/>
    </row>
    <row r="97" spans="21:21" customFormat="1" x14ac:dyDescent="0.2">
      <c r="U97" s="162"/>
    </row>
    <row r="98" spans="21:21" customFormat="1" x14ac:dyDescent="0.2">
      <c r="U98" s="162"/>
    </row>
    <row r="99" spans="21:21" customFormat="1" x14ac:dyDescent="0.2">
      <c r="U99" s="162"/>
    </row>
    <row r="100" spans="21:21" customFormat="1" x14ac:dyDescent="0.2">
      <c r="U100" s="162"/>
    </row>
    <row r="101" spans="21:21" customFormat="1" x14ac:dyDescent="0.2">
      <c r="U101" s="162"/>
    </row>
    <row r="102" spans="21:21" customFormat="1" x14ac:dyDescent="0.2">
      <c r="U102" s="162"/>
    </row>
    <row r="103" spans="21:21" customFormat="1" x14ac:dyDescent="0.2">
      <c r="U103" s="162"/>
    </row>
    <row r="104" spans="21:21" customFormat="1" x14ac:dyDescent="0.2">
      <c r="U104" s="162"/>
    </row>
    <row r="105" spans="21:21" customFormat="1" x14ac:dyDescent="0.2">
      <c r="U105" s="162"/>
    </row>
    <row r="106" spans="21:21" customFormat="1" x14ac:dyDescent="0.2">
      <c r="U106" s="162"/>
    </row>
    <row r="107" spans="21:21" customFormat="1" x14ac:dyDescent="0.2">
      <c r="U107" s="162"/>
    </row>
    <row r="108" spans="21:21" customFormat="1" x14ac:dyDescent="0.2">
      <c r="U108" s="162"/>
    </row>
    <row r="109" spans="21:21" customFormat="1" x14ac:dyDescent="0.2">
      <c r="U109" s="162"/>
    </row>
    <row r="110" spans="21:21" customFormat="1" x14ac:dyDescent="0.2">
      <c r="U110" s="162"/>
    </row>
    <row r="111" spans="21:21" customFormat="1" x14ac:dyDescent="0.2">
      <c r="U111" s="162"/>
    </row>
    <row r="112" spans="21:21" customFormat="1" x14ac:dyDescent="0.2">
      <c r="U112" s="162"/>
    </row>
    <row r="113" spans="21:21" customFormat="1" x14ac:dyDescent="0.2">
      <c r="U113" s="162"/>
    </row>
    <row r="114" spans="21:21" customFormat="1" x14ac:dyDescent="0.2">
      <c r="U114" s="162"/>
    </row>
    <row r="115" spans="21:21" customFormat="1" x14ac:dyDescent="0.2">
      <c r="U115" s="162"/>
    </row>
    <row r="116" spans="21:21" customFormat="1" x14ac:dyDescent="0.2">
      <c r="U116" s="162"/>
    </row>
    <row r="117" spans="21:21" customFormat="1" x14ac:dyDescent="0.2">
      <c r="U117" s="162"/>
    </row>
    <row r="118" spans="21:21" customFormat="1" x14ac:dyDescent="0.2"/>
    <row r="119" spans="21:21" customFormat="1" x14ac:dyDescent="0.2"/>
    <row r="120" spans="21:21" customFormat="1" x14ac:dyDescent="0.2"/>
    <row r="121" spans="21:21" customFormat="1" x14ac:dyDescent="0.2"/>
    <row r="122" spans="21:21" customFormat="1" x14ac:dyDescent="0.2"/>
    <row r="123" spans="21:21" customFormat="1" x14ac:dyDescent="0.2"/>
    <row r="124" spans="21:21" customFormat="1" x14ac:dyDescent="0.2"/>
    <row r="125" spans="21:21" customFormat="1" x14ac:dyDescent="0.2"/>
    <row r="126" spans="21:21" customFormat="1" x14ac:dyDescent="0.2"/>
    <row r="127" spans="21:21" customFormat="1" x14ac:dyDescent="0.2"/>
    <row r="128" spans="21:21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</sheetData>
  <mergeCells count="22">
    <mergeCell ref="P29:U29"/>
    <mergeCell ref="I29:I32"/>
    <mergeCell ref="I33:I35"/>
    <mergeCell ref="J22:K22"/>
    <mergeCell ref="P22:Q22"/>
    <mergeCell ref="A1:K3"/>
    <mergeCell ref="I21:O21"/>
    <mergeCell ref="P21:U21"/>
    <mergeCell ref="I23:I28"/>
    <mergeCell ref="L1:N3"/>
    <mergeCell ref="K56:K57"/>
    <mergeCell ref="L56:L57"/>
    <mergeCell ref="N56:O56"/>
    <mergeCell ref="N57:O57"/>
    <mergeCell ref="N58:O58"/>
    <mergeCell ref="N64:O64"/>
    <mergeCell ref="K65:O65"/>
    <mergeCell ref="N59:O59"/>
    <mergeCell ref="N60:O60"/>
    <mergeCell ref="N61:O61"/>
    <mergeCell ref="N62:O62"/>
    <mergeCell ref="N63:O63"/>
  </mergeCells>
  <conditionalFormatting sqref="O23:O35">
    <cfRule type="expression" dxfId="1429" priority="26" stopIfTrue="1">
      <formula>O23="giảm"</formula>
    </cfRule>
    <cfRule type="expression" dxfId="1428" priority="27" stopIfTrue="1">
      <formula>O23="tăng"</formula>
    </cfRule>
  </conditionalFormatting>
  <conditionalFormatting sqref="J23:J35">
    <cfRule type="expression" dxfId="1427" priority="24" stopIfTrue="1">
      <formula>O23="giảm"</formula>
    </cfRule>
    <cfRule type="expression" dxfId="1426" priority="25" stopIfTrue="1">
      <formula>O23="tăng"</formula>
    </cfRule>
  </conditionalFormatting>
  <conditionalFormatting sqref="L23:L35">
    <cfRule type="expression" dxfId="1425" priority="22" stopIfTrue="1">
      <formula>O23="giảm"</formula>
    </cfRule>
    <cfRule type="expression" dxfId="1424" priority="23" stopIfTrue="1">
      <formula>O23="tăng"</formula>
    </cfRule>
  </conditionalFormatting>
  <conditionalFormatting sqref="M23:M35">
    <cfRule type="expression" dxfId="1423" priority="20" stopIfTrue="1">
      <formula>O23="giảm"</formula>
    </cfRule>
    <cfRule type="expression" dxfId="1422" priority="21" stopIfTrue="1">
      <formula>O23="tăng"</formula>
    </cfRule>
  </conditionalFormatting>
  <conditionalFormatting sqref="N23:N35">
    <cfRule type="expression" dxfId="1421" priority="18" stopIfTrue="1">
      <formula>O23="giảm"</formula>
    </cfRule>
    <cfRule type="expression" dxfId="1420" priority="19" stopIfTrue="1">
      <formula>O23="tăng"</formula>
    </cfRule>
  </conditionalFormatting>
  <conditionalFormatting sqref="U23:U28">
    <cfRule type="expression" dxfId="1419" priority="5" stopIfTrue="1">
      <formula>U23="không đổi"</formula>
    </cfRule>
    <cfRule type="expression" dxfId="1418" priority="16" stopIfTrue="1">
      <formula>U23="giảm"</formula>
    </cfRule>
    <cfRule type="expression" dxfId="1417" priority="17" stopIfTrue="1">
      <formula>U23="tăng"</formula>
    </cfRule>
  </conditionalFormatting>
  <conditionalFormatting sqref="T23:T28">
    <cfRule type="expression" dxfId="1416" priority="4" stopIfTrue="1">
      <formula>U23="không đổi"</formula>
    </cfRule>
    <cfRule type="expression" dxfId="1415" priority="14" stopIfTrue="1">
      <formula>U23="giảm"</formula>
    </cfRule>
    <cfRule type="expression" dxfId="1414" priority="15" stopIfTrue="1">
      <formula>U23="tăng"</formula>
    </cfRule>
  </conditionalFormatting>
  <conditionalFormatting sqref="S23:S28">
    <cfRule type="expression" dxfId="1413" priority="3" stopIfTrue="1">
      <formula>U23="không đổi"</formula>
    </cfRule>
    <cfRule type="expression" dxfId="1412" priority="12" stopIfTrue="1">
      <formula>U23="giảm"</formula>
    </cfRule>
    <cfRule type="expression" dxfId="1411" priority="13" stopIfTrue="1">
      <formula>U23="tăng"</formula>
    </cfRule>
  </conditionalFormatting>
  <conditionalFormatting sqref="P23:P28">
    <cfRule type="expression" dxfId="1410" priority="1" stopIfTrue="1">
      <formula>U23="không đổi"</formula>
    </cfRule>
    <cfRule type="expression" dxfId="1409" priority="10" stopIfTrue="1">
      <formula>U23="giảm"</formula>
    </cfRule>
    <cfRule type="expression" dxfId="1408" priority="11" stopIfTrue="1">
      <formula>U23="tăng"</formula>
    </cfRule>
  </conditionalFormatting>
  <conditionalFormatting sqref="R23:R28">
    <cfRule type="expression" dxfId="1407" priority="2" stopIfTrue="1">
      <formula>U23="không đổi"</formula>
    </cfRule>
    <cfRule type="expression" dxfId="1406" priority="8" stopIfTrue="1">
      <formula>U23="giảm"</formula>
    </cfRule>
    <cfRule type="expression" dxfId="1405" priority="9" stopIfTrue="1">
      <formula>U23="tăng"</formula>
    </cfRule>
  </conditionalFormatting>
  <conditionalFormatting sqref="Q23:Q28">
    <cfRule type="expression" dxfId="1404" priority="6" stopIfTrue="1">
      <formula>S23="giảm"</formula>
    </cfRule>
    <cfRule type="expression" dxfId="1403" priority="7" stopIfTrue="1">
      <formula>S23="tăng"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7328-E731-40FE-8AD7-79D19BE7BA36}">
  <sheetPr codeName="Sheet12">
    <tabColor rgb="FFD000B7"/>
  </sheetPr>
  <dimension ref="A1:V118"/>
  <sheetViews>
    <sheetView zoomScaleNormal="100" workbookViewId="0">
      <selection activeCell="O21" sqref="O21"/>
    </sheetView>
  </sheetViews>
  <sheetFormatPr defaultRowHeight="15" x14ac:dyDescent="0.2"/>
  <cols>
    <col min="1" max="1" width="11.88671875" bestFit="1" customWidth="1"/>
    <col min="2" max="2" width="8.109375" bestFit="1" customWidth="1"/>
    <col min="3" max="3" width="10.109375" bestFit="1" customWidth="1"/>
    <col min="4" max="4" width="4.44140625" customWidth="1"/>
    <col min="5" max="12" width="12.109375" customWidth="1"/>
    <col min="13" max="14" width="9.109375" customWidth="1"/>
    <col min="15" max="15" width="10.88671875" customWidth="1"/>
    <col min="16" max="16" width="11.109375" customWidth="1"/>
    <col min="17" max="17" width="9.109375" customWidth="1"/>
    <col min="18" max="18" width="13" customWidth="1"/>
    <col min="19" max="19" width="10.21875" customWidth="1"/>
    <col min="20" max="20" width="11.109375" customWidth="1"/>
    <col min="21" max="21" width="7.88671875" customWidth="1"/>
    <col min="22" max="22" width="11.77734375" customWidth="1"/>
    <col min="23" max="23" width="8.88671875" bestFit="1" customWidth="1"/>
    <col min="24" max="24" width="4.88671875" bestFit="1" customWidth="1"/>
    <col min="25" max="26" width="9.44140625" bestFit="1" customWidth="1"/>
    <col min="27" max="27" width="4.88671875" bestFit="1" customWidth="1"/>
    <col min="28" max="29" width="9.44140625" bestFit="1" customWidth="1"/>
    <col min="30" max="30" width="8.44140625" bestFit="1" customWidth="1"/>
    <col min="31" max="32" width="8.88671875" bestFit="1" customWidth="1"/>
    <col min="33" max="33" width="8.44140625" bestFit="1" customWidth="1"/>
    <col min="34" max="34" width="9.44140625" bestFit="1" customWidth="1"/>
    <col min="35" max="35" width="8.88671875" bestFit="1" customWidth="1"/>
    <col min="36" max="36" width="9.44140625" bestFit="1" customWidth="1"/>
    <col min="37" max="37" width="8.88671875" bestFit="1" customWidth="1"/>
    <col min="38" max="38" width="9.44140625" bestFit="1" customWidth="1"/>
    <col min="39" max="39" width="8.88671875" bestFit="1" customWidth="1"/>
    <col min="40" max="40" width="10.33203125" bestFit="1" customWidth="1"/>
    <col min="41" max="41" width="4.88671875" bestFit="1" customWidth="1"/>
    <col min="42" max="42" width="9.44140625" bestFit="1" customWidth="1"/>
    <col min="43" max="43" width="4.88671875" bestFit="1" customWidth="1"/>
    <col min="44" max="46" width="9.44140625" bestFit="1" customWidth="1"/>
    <col min="47" max="47" width="10.33203125" bestFit="1" customWidth="1"/>
  </cols>
  <sheetData>
    <row r="1" spans="1:21" s="96" customFormat="1" ht="15.75" customHeight="1" x14ac:dyDescent="0.2">
      <c r="A1" s="275" t="str">
        <f>"BIẾN ĐỘNG CÁC CHỈ SỐ TRONG VN30 HÔM NAY"</f>
        <v>BIẾN ĐỘNG CÁC CHỈ SỐ TRONG VN30 HÔM NAY</v>
      </c>
      <c r="B1" s="275"/>
      <c r="C1" s="275"/>
      <c r="D1" s="275"/>
      <c r="E1" s="275"/>
      <c r="F1" s="275"/>
      <c r="G1" s="275"/>
      <c r="H1" s="275"/>
      <c r="I1" s="275"/>
      <c r="J1" s="276">
        <f ca="1">TODAY()</f>
        <v>45720</v>
      </c>
      <c r="K1" s="276"/>
      <c r="L1" s="276"/>
      <c r="M1" s="97"/>
      <c r="N1" s="97"/>
      <c r="O1" s="97"/>
      <c r="P1" s="97"/>
      <c r="Q1" s="97"/>
      <c r="R1" s="97"/>
      <c r="S1" s="97"/>
      <c r="T1" s="97"/>
    </row>
    <row r="2" spans="1:21" s="96" customFormat="1" ht="16.5" customHeight="1" x14ac:dyDescent="0.2">
      <c r="A2" s="275"/>
      <c r="B2" s="275"/>
      <c r="C2" s="275"/>
      <c r="D2" s="275"/>
      <c r="E2" s="275"/>
      <c r="F2" s="275"/>
      <c r="G2" s="275"/>
      <c r="H2" s="275"/>
      <c r="I2" s="275"/>
      <c r="J2" s="276"/>
      <c r="K2" s="276"/>
      <c r="L2" s="276"/>
      <c r="M2" s="97"/>
      <c r="N2" s="97"/>
      <c r="O2" s="97"/>
      <c r="P2" s="97"/>
      <c r="Q2" s="97"/>
      <c r="R2" s="97"/>
      <c r="S2" s="97"/>
    </row>
    <row r="3" spans="1:21" ht="16.5" customHeight="1" x14ac:dyDescent="0.25">
      <c r="A3" s="333" t="s">
        <v>3050</v>
      </c>
      <c r="B3" s="333" t="s">
        <v>3119</v>
      </c>
      <c r="C3" s="333" t="s">
        <v>3092</v>
      </c>
      <c r="N3" s="181"/>
      <c r="O3" s="182"/>
      <c r="P3" s="182" t="s">
        <v>3086</v>
      </c>
      <c r="Q3" s="182"/>
      <c r="R3" s="182">
        <f ca="1">TODAY()</f>
        <v>45720</v>
      </c>
      <c r="S3" s="182"/>
      <c r="T3" s="182"/>
      <c r="U3" s="183"/>
    </row>
    <row r="4" spans="1:21" ht="15.75" x14ac:dyDescent="0.25">
      <c r="A4" s="334" t="s">
        <v>530</v>
      </c>
      <c r="B4" s="335">
        <v>-1.406E-2</v>
      </c>
      <c r="C4" s="336">
        <v>0.31132648888790654</v>
      </c>
      <c r="N4" s="86" t="str">
        <f t="array" ref="N4:T9">get_data_index()</f>
        <v>name</v>
      </c>
      <c r="O4" s="87" t="str">
        <v>change</v>
      </c>
      <c r="P4" s="87" t="str">
        <v>index</v>
      </c>
      <c r="Q4" s="88" t="str">
        <v>percent</v>
      </c>
      <c r="R4" s="87" t="str">
        <v>volume</v>
      </c>
      <c r="S4" s="87" t="str">
        <v>value</v>
      </c>
      <c r="T4" s="87" t="str">
        <v>value/value</v>
      </c>
      <c r="U4" s="89" t="s">
        <v>3028</v>
      </c>
    </row>
    <row r="5" spans="1:21" x14ac:dyDescent="0.2">
      <c r="A5" s="334" t="s">
        <v>106</v>
      </c>
      <c r="B5" s="335">
        <v>-1.1278E-2</v>
      </c>
      <c r="C5" s="336">
        <v>0.56023611408475327</v>
      </c>
      <c r="N5" s="90" t="str">
        <v>VNINDEX</v>
      </c>
      <c r="O5" s="154">
        <v>-6.22</v>
      </c>
      <c r="P5" s="156" t="str">
        <v>1,303.15</v>
      </c>
      <c r="Q5" s="155">
        <v>-4.7999999999999996E-3</v>
      </c>
      <c r="R5" s="156" t="str">
        <v>500,832,417</v>
      </c>
      <c r="S5" s="161">
        <v>10302.530000000001</v>
      </c>
      <c r="T5" s="155">
        <v>-0.5124489025222444</v>
      </c>
      <c r="U5" s="91" t="str">
        <f>IF(Q5&lt;0,"giảm","tăng")</f>
        <v>giảm</v>
      </c>
    </row>
    <row r="6" spans="1:21" x14ac:dyDescent="0.2">
      <c r="A6" s="334" t="s">
        <v>2877</v>
      </c>
      <c r="B6" s="335">
        <v>-1.0417000000000001E-2</v>
      </c>
      <c r="C6" s="336">
        <v>0.35727883405183802</v>
      </c>
      <c r="N6" s="90" t="str">
        <v>VN30</v>
      </c>
      <c r="O6" s="154">
        <v>-6.92</v>
      </c>
      <c r="P6" s="156" t="str">
        <v>1,354.24</v>
      </c>
      <c r="Q6" s="155">
        <v>-5.1000000000000004E-3</v>
      </c>
      <c r="R6" s="156" t="str">
        <v>135,253,276</v>
      </c>
      <c r="S6" s="161">
        <v>4021.97</v>
      </c>
      <c r="T6" s="155">
        <v>-0.57107679510285925</v>
      </c>
      <c r="U6" s="91" t="str">
        <f>IF(Q6&lt;0,"giảm","tăng")</f>
        <v>giảm</v>
      </c>
    </row>
    <row r="7" spans="1:21" x14ac:dyDescent="0.2">
      <c r="A7" s="334" t="s">
        <v>415</v>
      </c>
      <c r="B7" s="335">
        <v>-9.7680000000000006E-3</v>
      </c>
      <c r="C7" s="336">
        <v>0.31619776673045885</v>
      </c>
      <c r="N7" s="90" t="str">
        <v>HNX</v>
      </c>
      <c r="O7" s="154">
        <v>-1.85</v>
      </c>
      <c r="P7" s="156" t="str">
        <v>236.49</v>
      </c>
      <c r="Q7" s="155">
        <v>-7.8000000000000005E-3</v>
      </c>
      <c r="R7" s="156" t="str">
        <v>33,730,679</v>
      </c>
      <c r="S7" s="161">
        <v>617.07000000000005</v>
      </c>
      <c r="T7" s="155">
        <v>-0.59667573008444663</v>
      </c>
      <c r="U7" s="91" t="str">
        <f>IF(Q7&lt;0,"giảm","tăng")</f>
        <v>giảm</v>
      </c>
    </row>
    <row r="8" spans="1:21" ht="15.75" customHeight="1" x14ac:dyDescent="0.2">
      <c r="A8" s="334" t="s">
        <v>1233</v>
      </c>
      <c r="B8" s="335">
        <v>-8.6960000000000006E-3</v>
      </c>
      <c r="C8" s="336">
        <v>0.42296524457178236</v>
      </c>
      <c r="N8" s="90" t="str">
        <v>HNX30</v>
      </c>
      <c r="O8" s="154">
        <v>-4.63</v>
      </c>
      <c r="P8" s="156" t="str">
        <v>496.27</v>
      </c>
      <c r="Q8" s="155">
        <v>-9.300000000000001E-3</v>
      </c>
      <c r="R8" s="156" t="str">
        <v>18,375,600</v>
      </c>
      <c r="S8" s="161">
        <v>387.39</v>
      </c>
      <c r="T8" s="155">
        <v>-0.60788501442380694</v>
      </c>
      <c r="U8" s="91" t="str">
        <f>IF(Q8&lt;0,"giảm","tăng")</f>
        <v>giảm</v>
      </c>
    </row>
    <row r="9" spans="1:21" ht="15.75" customHeight="1" x14ac:dyDescent="0.2">
      <c r="A9" s="334" t="s">
        <v>1974</v>
      </c>
      <c r="B9" s="335">
        <v>-7.9190000000000007E-3</v>
      </c>
      <c r="C9" s="336">
        <v>0.50335784715903154</v>
      </c>
      <c r="N9" s="90" t="str">
        <v>UPCOM</v>
      </c>
      <c r="O9" s="154">
        <v>-0.57999999999999996</v>
      </c>
      <c r="P9" s="156" t="str">
        <v>98.88</v>
      </c>
      <c r="Q9" s="155">
        <v>-5.7999999999999996E-3</v>
      </c>
      <c r="R9" s="156" t="str">
        <v>30,237,600</v>
      </c>
      <c r="S9" s="161">
        <v>353.08</v>
      </c>
      <c r="T9" s="155">
        <v>-0.50722938647909344</v>
      </c>
      <c r="U9" s="91" t="str">
        <f>IF(Q9&lt;0,"giảm","tăng")</f>
        <v>giảm</v>
      </c>
    </row>
    <row r="10" spans="1:21" ht="15.75" customHeight="1" x14ac:dyDescent="0.2">
      <c r="A10" s="334" t="s">
        <v>2366</v>
      </c>
      <c r="B10" s="335">
        <v>-7.7120000000000001E-3</v>
      </c>
      <c r="C10" s="336">
        <v>0.23669289868013349</v>
      </c>
    </row>
    <row r="11" spans="1:21" ht="15.75" customHeight="1" x14ac:dyDescent="0.2">
      <c r="A11" s="334" t="s">
        <v>109</v>
      </c>
      <c r="B11" s="335">
        <v>-7.1300000000000001E-3</v>
      </c>
      <c r="C11" s="336">
        <v>0.61602626690640339</v>
      </c>
      <c r="N11" s="277" t="str">
        <f>"Tổng điểm VN30 hôm nay"&amp;" "&amp;SUM($S$24:$S$53)&amp;" "&amp;"trên tổng"&amp;" "&amp;$S$23</f>
        <v>Tổng điểm VN30 hôm nay -12 trên tổng 30</v>
      </c>
      <c r="O11" s="278"/>
      <c r="P11" s="278"/>
      <c r="Q11" s="279"/>
      <c r="R11" s="288" t="s">
        <v>3103</v>
      </c>
      <c r="S11" s="289"/>
      <c r="T11" s="290"/>
    </row>
    <row r="12" spans="1:21" ht="15.75" customHeight="1" x14ac:dyDescent="0.2">
      <c r="A12" s="334" t="s">
        <v>1634</v>
      </c>
      <c r="B12" s="335">
        <v>-6.4939999999999998E-3</v>
      </c>
      <c r="C12" s="336">
        <v>0.53692170634408698</v>
      </c>
      <c r="N12" s="280"/>
      <c r="O12" s="281"/>
      <c r="P12" s="281"/>
      <c r="Q12" s="282"/>
      <c r="R12" s="291"/>
      <c r="S12" s="292"/>
      <c r="T12" s="293"/>
    </row>
    <row r="13" spans="1:21" ht="15.75" customHeight="1" x14ac:dyDescent="0.25">
      <c r="A13" s="334" t="s">
        <v>1064</v>
      </c>
      <c r="B13" s="335">
        <v>-6.4059999999999994E-3</v>
      </c>
      <c r="C13" s="336">
        <v>0.26698937236578363</v>
      </c>
      <c r="N13" s="280"/>
      <c r="O13" s="281"/>
      <c r="P13" s="281"/>
      <c r="Q13" s="282"/>
      <c r="R13" s="125" t="str">
        <f t="array" ref="R13:T18">get_PE_PB_vnindex()</f>
        <v/>
      </c>
      <c r="S13" s="124" t="str">
        <v>Hiện tại</v>
      </c>
      <c r="T13" s="125" t="str">
        <v>Năm trước</v>
      </c>
    </row>
    <row r="14" spans="1:21" ht="15.75" customHeight="1" x14ac:dyDescent="0.25">
      <c r="A14" s="334" t="s">
        <v>1706</v>
      </c>
      <c r="B14" s="335">
        <v>-5.8819999999999992E-3</v>
      </c>
      <c r="C14" s="336">
        <v>0.36134433316675779</v>
      </c>
      <c r="N14" s="283"/>
      <c r="O14" s="284"/>
      <c r="P14" s="284"/>
      <c r="Q14" s="285"/>
      <c r="R14" s="127" t="str">
        <v>PE</v>
      </c>
      <c r="S14" s="126">
        <v>14.98</v>
      </c>
      <c r="T14" s="127">
        <v>13.28</v>
      </c>
    </row>
    <row r="15" spans="1:21" ht="18" customHeight="1" x14ac:dyDescent="0.25">
      <c r="A15" s="334" t="s">
        <v>118</v>
      </c>
      <c r="B15" s="335">
        <v>-5.7689999999999998E-3</v>
      </c>
      <c r="C15" s="336">
        <v>0.33423410466781567</v>
      </c>
      <c r="N15" s="119" t="s">
        <v>3120</v>
      </c>
      <c r="O15" s="119"/>
      <c r="P15" s="286">
        <f>SUM(G24:G53)*1000</f>
        <v>113742707.59999999</v>
      </c>
      <c r="Q15" s="287"/>
      <c r="R15" s="126" t="str">
        <v>PB</v>
      </c>
      <c r="S15" s="126">
        <v>1.58</v>
      </c>
      <c r="T15" s="127">
        <v>1.37</v>
      </c>
    </row>
    <row r="16" spans="1:21" ht="18" customHeight="1" x14ac:dyDescent="0.25">
      <c r="A16" s="334" t="s">
        <v>123</v>
      </c>
      <c r="B16" s="335">
        <v>-5.359E-3</v>
      </c>
      <c r="C16" s="336">
        <v>0.58603752101786022</v>
      </c>
      <c r="N16" s="122" t="str">
        <f>"Tổng điểm tăng"</f>
        <v>Tổng điểm tăng</v>
      </c>
      <c r="O16" s="120"/>
      <c r="P16" s="122">
        <f>$T$23</f>
        <v>7</v>
      </c>
      <c r="Q16" s="118"/>
      <c r="R16" s="126" t="str">
        <v>ROA</v>
      </c>
      <c r="S16" s="126">
        <v>0</v>
      </c>
      <c r="T16" s="127">
        <v>2.6</v>
      </c>
    </row>
    <row r="17" spans="1:22" ht="18" customHeight="1" x14ac:dyDescent="0.25">
      <c r="A17" s="334" t="s">
        <v>754</v>
      </c>
      <c r="B17" s="335">
        <v>-4.8479999999999999E-3</v>
      </c>
      <c r="C17" s="336">
        <v>0.29783865199642012</v>
      </c>
      <c r="N17" s="122" t="str">
        <f>"Tổng điểm giảm"</f>
        <v>Tổng điểm giảm</v>
      </c>
      <c r="O17" s="121"/>
      <c r="P17" s="122">
        <f>$U$23</f>
        <v>19</v>
      </c>
      <c r="Q17" s="118"/>
      <c r="R17" s="126" t="str">
        <v>ROE</v>
      </c>
      <c r="S17" s="126">
        <v>0</v>
      </c>
      <c r="T17" s="127">
        <v>13.62</v>
      </c>
    </row>
    <row r="18" spans="1:22" ht="18" customHeight="1" x14ac:dyDescent="0.25">
      <c r="A18" s="334" t="s">
        <v>368</v>
      </c>
      <c r="B18" s="335">
        <v>-3.9680000000000002E-3</v>
      </c>
      <c r="C18" s="336">
        <v>0.53794839521711768</v>
      </c>
      <c r="N18" s="123" t="str">
        <f>"Tổng điểm tham chiếu"</f>
        <v>Tổng điểm tham chiếu</v>
      </c>
      <c r="O18" s="121"/>
      <c r="P18" s="123">
        <f>$V$23</f>
        <v>4</v>
      </c>
      <c r="Q18" s="118"/>
      <c r="R18" s="128" t="str">
        <v>MaketCap</v>
      </c>
      <c r="S18" s="129">
        <v>4719608689298040</v>
      </c>
      <c r="T18" s="130">
        <v>4759881862313500</v>
      </c>
    </row>
    <row r="19" spans="1:22" x14ac:dyDescent="0.2">
      <c r="A19" s="334" t="s">
        <v>2813</v>
      </c>
      <c r="B19" s="335">
        <v>-3.0959999999999998E-3</v>
      </c>
      <c r="C19" s="336">
        <v>0.51227811257327927</v>
      </c>
    </row>
    <row r="20" spans="1:22" ht="17.25" customHeight="1" x14ac:dyDescent="0.2">
      <c r="A20" s="334" t="s">
        <v>2383</v>
      </c>
      <c r="B20" s="335">
        <v>-2.5740000000000003E-3</v>
      </c>
      <c r="C20" s="336">
        <v>0.20386581934226247</v>
      </c>
    </row>
    <row r="21" spans="1:22" ht="19.5" customHeight="1" x14ac:dyDescent="0.2">
      <c r="A21" s="334" t="s">
        <v>2793</v>
      </c>
      <c r="B21" s="335">
        <v>-2.3809999999999999E-3</v>
      </c>
      <c r="C21" s="336">
        <v>0.54028051912895292</v>
      </c>
    </row>
    <row r="22" spans="1:22" ht="27.75" customHeight="1" x14ac:dyDescent="0.2">
      <c r="A22" s="334" t="s">
        <v>2172</v>
      </c>
      <c r="B22" s="335">
        <v>0</v>
      </c>
      <c r="C22" s="336">
        <v>0.48108340498710234</v>
      </c>
      <c r="E22" s="274" t="s">
        <v>3100</v>
      </c>
      <c r="F22" s="274" t="s">
        <v>3031</v>
      </c>
      <c r="G22" s="274" t="s">
        <v>3032</v>
      </c>
      <c r="H22" s="274" t="s">
        <v>3033</v>
      </c>
      <c r="I22" s="274" t="s">
        <v>3034</v>
      </c>
      <c r="J22" s="274" t="s">
        <v>3052</v>
      </c>
      <c r="K22" s="274" t="s">
        <v>3053</v>
      </c>
      <c r="L22" s="274" t="s">
        <v>3036</v>
      </c>
      <c r="M22" s="274" t="s">
        <v>3038</v>
      </c>
      <c r="N22" s="274" t="s">
        <v>3037</v>
      </c>
      <c r="O22" s="274" t="s">
        <v>3039</v>
      </c>
      <c r="P22" s="274" t="s">
        <v>3045</v>
      </c>
      <c r="Q22" s="274" t="s">
        <v>3104</v>
      </c>
      <c r="R22" s="274" t="s">
        <v>3040</v>
      </c>
      <c r="S22" s="199" t="s">
        <v>3041</v>
      </c>
      <c r="T22" s="199" t="s">
        <v>3054</v>
      </c>
      <c r="U22" s="199" t="s">
        <v>3108</v>
      </c>
      <c r="V22" s="199" t="s">
        <v>3109</v>
      </c>
    </row>
    <row r="23" spans="1:22" ht="21.75" customHeight="1" x14ac:dyDescent="0.2">
      <c r="A23" s="334" t="s">
        <v>1728</v>
      </c>
      <c r="B23" s="335">
        <v>0</v>
      </c>
      <c r="C23" s="336">
        <v>0.21988662183329397</v>
      </c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199">
        <f>COUNT(S24:S53)</f>
        <v>30</v>
      </c>
      <c r="T23" s="199">
        <f>SUM(T24:T53)</f>
        <v>7</v>
      </c>
      <c r="U23" s="199">
        <f>SUM(U24:U53)</f>
        <v>19</v>
      </c>
      <c r="V23" s="199">
        <f>SUM(V24:V53)</f>
        <v>4</v>
      </c>
    </row>
    <row r="24" spans="1:22" x14ac:dyDescent="0.2">
      <c r="A24" s="334" t="s">
        <v>2587</v>
      </c>
      <c r="B24" s="335">
        <v>0</v>
      </c>
      <c r="C24" s="336">
        <v>0.55743428252464799</v>
      </c>
      <c r="E24" s="3" t="s">
        <v>118</v>
      </c>
      <c r="F24" s="101" cm="1">
        <f t="array" ref="F24:P24">tinh_du_lieu_cp(E24)</f>
        <v>25.85</v>
      </c>
      <c r="G24" s="103">
        <v>2738.1001000000001</v>
      </c>
      <c r="H24" s="102">
        <v>-5.7689999999999998E-3</v>
      </c>
      <c r="I24" s="98">
        <v>0.33423410466781567</v>
      </c>
      <c r="J24" s="98">
        <v>1.0077273395034523</v>
      </c>
      <c r="K24" s="98">
        <v>0.30089530057679514</v>
      </c>
      <c r="L24" s="93">
        <v>6.2880324543610575E-2</v>
      </c>
      <c r="M24" s="92">
        <v>24.65</v>
      </c>
      <c r="N24" s="92">
        <v>26.2</v>
      </c>
      <c r="O24" s="102">
        <v>4.8681541582150219E-2</v>
      </c>
      <c r="P24" s="102">
        <v>-1.3358778625954117E-2</v>
      </c>
      <c r="Q24" s="153">
        <f>(F24*G24)/($S$6*1000)</f>
        <v>1.7598313161212045E-2</v>
      </c>
      <c r="R24" s="92"/>
      <c r="S24" s="92">
        <f t="shared" ref="S24:S53" si="0">IF(H24&gt;0,1,IF(H24=0,0,-1))</f>
        <v>-1</v>
      </c>
      <c r="T24" s="92">
        <f>IF(S24=1,1,0)</f>
        <v>0</v>
      </c>
      <c r="U24" s="92">
        <f>IF(S24&lt;0,1,0)</f>
        <v>1</v>
      </c>
      <c r="V24" s="92">
        <f>IF(S24=0,1,0)</f>
        <v>0</v>
      </c>
    </row>
    <row r="25" spans="1:22" x14ac:dyDescent="0.2">
      <c r="A25" s="334" t="s">
        <v>2897</v>
      </c>
      <c r="B25" s="335">
        <v>0</v>
      </c>
      <c r="C25" s="336">
        <v>0.68010221663519921</v>
      </c>
      <c r="E25" s="3" t="s">
        <v>368</v>
      </c>
      <c r="F25" s="101" cm="1">
        <f t="array" ref="F25:P25">tinh_du_lieu_cp(E25)</f>
        <v>75.3</v>
      </c>
      <c r="G25" s="103">
        <v>213.7</v>
      </c>
      <c r="H25" s="102">
        <v>-3.9680000000000002E-3</v>
      </c>
      <c r="I25" s="98">
        <v>0.53794839521711768</v>
      </c>
      <c r="J25" s="98">
        <v>1.0489346561178785</v>
      </c>
      <c r="K25" s="98">
        <v>0.46085831356480483</v>
      </c>
      <c r="L25" s="102">
        <v>0.17484662576687102</v>
      </c>
      <c r="M25" s="92">
        <v>65.2</v>
      </c>
      <c r="N25" s="92">
        <v>76.599999999999994</v>
      </c>
      <c r="O25" s="102">
        <v>0.15490797546012261</v>
      </c>
      <c r="P25" s="102">
        <v>-1.697127937336811E-2</v>
      </c>
      <c r="Q25" s="153">
        <f>(F25*G25)/($S$6*1000)</f>
        <v>4.0009274062213288E-3</v>
      </c>
      <c r="R25" s="92"/>
      <c r="S25" s="92">
        <f t="shared" si="0"/>
        <v>-1</v>
      </c>
      <c r="T25" s="92">
        <f t="shared" ref="T25:T53" si="1">IF(S25=1,1,0)</f>
        <v>0</v>
      </c>
      <c r="U25" s="92">
        <f t="shared" ref="U25:U53" si="2">IF(S25&lt;0,1,0)</f>
        <v>1</v>
      </c>
      <c r="V25" s="92">
        <f t="shared" ref="V25:V53" si="3">IF(S25=0,1,0)</f>
        <v>0</v>
      </c>
    </row>
    <row r="26" spans="1:22" x14ac:dyDescent="0.2">
      <c r="A26" s="334" t="s">
        <v>1121</v>
      </c>
      <c r="B26" s="335">
        <v>1.4580000000000001E-3</v>
      </c>
      <c r="C26" s="336">
        <v>1.2984969021294399</v>
      </c>
      <c r="E26" s="3" t="s">
        <v>415</v>
      </c>
      <c r="F26" s="101" cm="1">
        <f t="array" ref="F26:P26">tinh_du_lieu_cp(E26)</f>
        <v>40.549999999999997</v>
      </c>
      <c r="G26" s="103">
        <v>1149.8</v>
      </c>
      <c r="H26" s="102">
        <v>-9.7680000000000006E-3</v>
      </c>
      <c r="I26" s="98">
        <v>0.31619776673045885</v>
      </c>
      <c r="J26" s="98">
        <v>1.0120691590883575</v>
      </c>
      <c r="K26" s="98">
        <v>0.42879785190848235</v>
      </c>
      <c r="L26" s="102">
        <v>0.24766977363515327</v>
      </c>
      <c r="M26" s="92">
        <v>37.549999999999997</v>
      </c>
      <c r="N26" s="92">
        <v>46.85</v>
      </c>
      <c r="O26" s="102">
        <v>7.989347536617844E-2</v>
      </c>
      <c r="P26" s="102">
        <v>-0.13447171824973328</v>
      </c>
      <c r="Q26" s="153">
        <f t="shared" ref="Q26:Q53" si="4">(F26*G26)/($S$6*1000)</f>
        <v>1.1592426099647684E-2</v>
      </c>
      <c r="R26" s="92"/>
      <c r="S26" s="92">
        <f t="shared" si="0"/>
        <v>-1</v>
      </c>
      <c r="T26" s="92">
        <f t="shared" si="1"/>
        <v>0</v>
      </c>
      <c r="U26" s="92">
        <f t="shared" si="2"/>
        <v>1</v>
      </c>
      <c r="V26" s="92">
        <f t="shared" si="3"/>
        <v>0</v>
      </c>
    </row>
    <row r="27" spans="1:22" x14ac:dyDescent="0.2">
      <c r="A27" s="334" t="s">
        <v>2857</v>
      </c>
      <c r="B27" s="335">
        <v>1.5820000000000001E-3</v>
      </c>
      <c r="C27" s="336">
        <v>0.64141607835557202</v>
      </c>
      <c r="E27" s="3" t="s">
        <v>530</v>
      </c>
      <c r="F27" s="101" cm="1">
        <f t="array" ref="F27:P27">tinh_du_lieu_cp(E27)</f>
        <v>56.1</v>
      </c>
      <c r="G27" s="103">
        <v>256.10000000000002</v>
      </c>
      <c r="H27" s="102">
        <v>-1.406E-2</v>
      </c>
      <c r="I27" s="98">
        <v>0.31132648888790654</v>
      </c>
      <c r="J27" s="98">
        <v>1.0385198665453441</v>
      </c>
      <c r="K27" s="98">
        <v>0.39854752950330696</v>
      </c>
      <c r="L27" s="102">
        <v>0.21030927835051552</v>
      </c>
      <c r="M27" s="92">
        <v>48.5</v>
      </c>
      <c r="N27" s="92">
        <v>58.7</v>
      </c>
      <c r="O27" s="102">
        <v>0.15670103092783508</v>
      </c>
      <c r="P27" s="102">
        <v>-4.4293015332197636E-2</v>
      </c>
      <c r="Q27" s="153">
        <f t="shared" si="4"/>
        <v>3.572182288778882E-3</v>
      </c>
      <c r="R27" s="92"/>
      <c r="S27" s="92">
        <f t="shared" si="0"/>
        <v>-1</v>
      </c>
      <c r="T27" s="92">
        <f t="shared" si="1"/>
        <v>0</v>
      </c>
      <c r="U27" s="92">
        <f t="shared" si="2"/>
        <v>1</v>
      </c>
      <c r="V27" s="92">
        <f t="shared" si="3"/>
        <v>0</v>
      </c>
    </row>
    <row r="28" spans="1:22" x14ac:dyDescent="0.2">
      <c r="A28" s="334" t="s">
        <v>111</v>
      </c>
      <c r="B28" s="335">
        <v>1.916E-3</v>
      </c>
      <c r="C28" s="336">
        <v>0.35407000054097193</v>
      </c>
      <c r="E28" s="3" t="s">
        <v>754</v>
      </c>
      <c r="F28" s="101" cm="1">
        <f t="array" ref="F28:P28">tinh_du_lieu_cp(E28)</f>
        <v>41.05</v>
      </c>
      <c r="G28" s="103">
        <v>2228.1999999999998</v>
      </c>
      <c r="H28" s="102">
        <v>-4.8479999999999999E-3</v>
      </c>
      <c r="I28" s="98">
        <v>0.29783865199642012</v>
      </c>
      <c r="J28" s="98">
        <v>1.0195442169258886</v>
      </c>
      <c r="K28" s="98">
        <v>0.36143229835493856</v>
      </c>
      <c r="L28" s="102">
        <v>0.18696883852691223</v>
      </c>
      <c r="M28" s="92">
        <v>35.299999999999997</v>
      </c>
      <c r="N28" s="92">
        <v>41.9</v>
      </c>
      <c r="O28" s="102">
        <v>0.16288951841359775</v>
      </c>
      <c r="P28" s="102">
        <v>-2.0286396181384284E-2</v>
      </c>
      <c r="Q28" s="153">
        <f t="shared" si="4"/>
        <v>2.2741992108344912E-2</v>
      </c>
      <c r="R28" s="92"/>
      <c r="S28" s="92">
        <f t="shared" si="0"/>
        <v>-1</v>
      </c>
      <c r="T28" s="92">
        <f t="shared" si="1"/>
        <v>0</v>
      </c>
      <c r="U28" s="92">
        <f t="shared" si="2"/>
        <v>1</v>
      </c>
      <c r="V28" s="92">
        <f t="shared" si="3"/>
        <v>0</v>
      </c>
    </row>
    <row r="29" spans="1:22" x14ac:dyDescent="0.2">
      <c r="A29" s="334" t="s">
        <v>2795</v>
      </c>
      <c r="B29" s="335">
        <v>2.3779999999999999E-3</v>
      </c>
      <c r="C29" s="336">
        <v>0.39647690267391561</v>
      </c>
      <c r="E29" s="3" t="s">
        <v>1064</v>
      </c>
      <c r="F29" s="101" cm="1">
        <f t="array" ref="F29:P29">tinh_du_lieu_cp(E29)</f>
        <v>139.6</v>
      </c>
      <c r="G29" s="103">
        <v>1308.2</v>
      </c>
      <c r="H29" s="102">
        <v>-6.4059999999999994E-3</v>
      </c>
      <c r="I29" s="98">
        <v>0.26698937236578363</v>
      </c>
      <c r="J29" s="98">
        <v>0.98053219065756747</v>
      </c>
      <c r="K29" s="98">
        <v>0.29715047189275751</v>
      </c>
      <c r="L29" s="102">
        <v>0.11007194244604325</v>
      </c>
      <c r="M29" s="92">
        <v>139</v>
      </c>
      <c r="N29" s="92">
        <v>154.30000000000001</v>
      </c>
      <c r="O29" s="102">
        <v>4.3165467625898872E-3</v>
      </c>
      <c r="P29" s="102">
        <v>-9.5268956578094727E-2</v>
      </c>
      <c r="Q29" s="153">
        <f t="shared" si="4"/>
        <v>4.5406783243037617E-2</v>
      </c>
      <c r="R29" s="92"/>
      <c r="S29" s="92">
        <f t="shared" si="0"/>
        <v>-1</v>
      </c>
      <c r="T29" s="92">
        <f t="shared" si="1"/>
        <v>0</v>
      </c>
      <c r="U29" s="92">
        <f t="shared" si="2"/>
        <v>1</v>
      </c>
      <c r="V29" s="92">
        <f t="shared" si="3"/>
        <v>0</v>
      </c>
    </row>
    <row r="30" spans="1:22" x14ac:dyDescent="0.2">
      <c r="A30" s="334" t="s">
        <v>110</v>
      </c>
      <c r="B30" s="335">
        <v>3.0240000000000002E-3</v>
      </c>
      <c r="C30" s="336">
        <v>0.69227437928229796</v>
      </c>
      <c r="E30" s="3" t="s">
        <v>1121</v>
      </c>
      <c r="F30" s="101" cm="1">
        <f t="array" ref="F30:P30">tinh_du_lieu_cp(E30)</f>
        <v>68.7</v>
      </c>
      <c r="G30" s="103">
        <v>959.3</v>
      </c>
      <c r="H30" s="102">
        <v>1.4580000000000001E-3</v>
      </c>
      <c r="I30" s="98">
        <v>1.2984969021294399</v>
      </c>
      <c r="J30" s="98">
        <v>1.0076335877862599</v>
      </c>
      <c r="K30" s="98">
        <v>1.2641219362206799</v>
      </c>
      <c r="L30" s="102">
        <v>4.3674698795180593E-2</v>
      </c>
      <c r="M30" s="92">
        <v>66.400000000000006</v>
      </c>
      <c r="N30" s="92">
        <v>69.3</v>
      </c>
      <c r="O30" s="102">
        <v>3.4638554216867422E-2</v>
      </c>
      <c r="P30" s="102">
        <v>-8.6580086580085765E-3</v>
      </c>
      <c r="Q30" s="153">
        <f t="shared" si="4"/>
        <v>1.6385977518479752E-2</v>
      </c>
      <c r="R30" s="92"/>
      <c r="S30" s="92">
        <f t="shared" si="0"/>
        <v>1</v>
      </c>
      <c r="T30" s="92">
        <f t="shared" si="1"/>
        <v>1</v>
      </c>
      <c r="U30" s="92">
        <f t="shared" si="2"/>
        <v>0</v>
      </c>
      <c r="V30" s="92">
        <f t="shared" si="3"/>
        <v>0</v>
      </c>
    </row>
    <row r="31" spans="1:22" x14ac:dyDescent="0.2">
      <c r="A31" s="334" t="s">
        <v>2791</v>
      </c>
      <c r="B31" s="335">
        <v>7.0509999999999991E-3</v>
      </c>
      <c r="C31" s="336">
        <v>1.0907529227304218</v>
      </c>
      <c r="E31" s="3" t="s">
        <v>1177</v>
      </c>
      <c r="F31" s="101" cm="1">
        <f t="array" ref="F31:P31">tinh_du_lieu_cp(E31)</f>
        <v>33.35</v>
      </c>
      <c r="G31" s="103">
        <v>2016.5</v>
      </c>
      <c r="H31" s="102">
        <v>7.5529999999999998E-3</v>
      </c>
      <c r="I31" s="98">
        <v>0.6304705897400551</v>
      </c>
      <c r="J31" s="98">
        <v>1.062743369333627</v>
      </c>
      <c r="K31" s="98">
        <v>0.56385353509462799</v>
      </c>
      <c r="L31" s="102">
        <v>0.20360360360360355</v>
      </c>
      <c r="M31" s="92">
        <v>27.75</v>
      </c>
      <c r="N31" s="92">
        <v>33.4</v>
      </c>
      <c r="O31" s="102">
        <v>0.20180180180180185</v>
      </c>
      <c r="P31" s="102">
        <v>-1.497005988023867E-3</v>
      </c>
      <c r="Q31" s="153">
        <f t="shared" si="4"/>
        <v>1.6720730139707658E-2</v>
      </c>
      <c r="R31" s="92"/>
      <c r="S31" s="92">
        <f t="shared" si="0"/>
        <v>1</v>
      </c>
      <c r="T31" s="92">
        <f t="shared" si="1"/>
        <v>1</v>
      </c>
      <c r="U31" s="92">
        <f t="shared" si="2"/>
        <v>0</v>
      </c>
      <c r="V31" s="92">
        <f t="shared" si="3"/>
        <v>0</v>
      </c>
    </row>
    <row r="32" spans="1:22" x14ac:dyDescent="0.2">
      <c r="A32" s="334" t="s">
        <v>1177</v>
      </c>
      <c r="B32" s="335">
        <v>7.5529999999999998E-3</v>
      </c>
      <c r="C32" s="336">
        <v>0.6304705897400551</v>
      </c>
      <c r="E32" s="3" t="s">
        <v>1233</v>
      </c>
      <c r="F32" s="101" cm="1">
        <f t="array" ref="F32:P32">tinh_du_lieu_cp(E32)</f>
        <v>22.8</v>
      </c>
      <c r="G32" s="103">
        <v>4639.5</v>
      </c>
      <c r="H32" s="102">
        <v>-8.6960000000000006E-3</v>
      </c>
      <c r="I32" s="98">
        <v>0.42296524457178236</v>
      </c>
      <c r="J32" s="98">
        <v>1.0091542288557211</v>
      </c>
      <c r="K32" s="98">
        <v>0.44243933684165354</v>
      </c>
      <c r="L32" s="102">
        <v>0.3238770685579197</v>
      </c>
      <c r="M32" s="92">
        <v>21.15</v>
      </c>
      <c r="N32" s="92">
        <v>28</v>
      </c>
      <c r="O32" s="102">
        <v>7.8014184397163233E-2</v>
      </c>
      <c r="P32" s="102">
        <v>-0.18571428571428569</v>
      </c>
      <c r="Q32" s="153">
        <f t="shared" si="4"/>
        <v>2.6300693441273806E-2</v>
      </c>
      <c r="R32" s="92"/>
      <c r="S32" s="92">
        <f t="shared" si="0"/>
        <v>-1</v>
      </c>
      <c r="T32" s="92">
        <f t="shared" si="1"/>
        <v>0</v>
      </c>
      <c r="U32" s="92">
        <f t="shared" si="2"/>
        <v>1</v>
      </c>
      <c r="V32" s="92">
        <f t="shared" si="3"/>
        <v>0</v>
      </c>
    </row>
    <row r="33" spans="1:22" x14ac:dyDescent="0.2">
      <c r="A33" s="334" t="s">
        <v>3051</v>
      </c>
      <c r="B33" s="335">
        <v>-9.879499999999998E-2</v>
      </c>
      <c r="C33" s="336">
        <v>14.544284298325561</v>
      </c>
      <c r="E33" s="3" t="s">
        <v>109</v>
      </c>
      <c r="F33" s="101" cm="1">
        <f t="array" ref="F33:P33">tinh_du_lieu_cp(E33)</f>
        <v>27.85</v>
      </c>
      <c r="G33" s="103">
        <v>15677.1</v>
      </c>
      <c r="H33" s="102">
        <v>-7.1300000000000001E-3</v>
      </c>
      <c r="I33" s="98">
        <v>0.61602626690640339</v>
      </c>
      <c r="J33" s="98">
        <v>1.0409643996499256</v>
      </c>
      <c r="K33" s="98">
        <v>0.51892999438383869</v>
      </c>
      <c r="L33" s="102">
        <v>0.12007874015748035</v>
      </c>
      <c r="M33" s="92">
        <v>25.4</v>
      </c>
      <c r="N33" s="92">
        <v>28.45</v>
      </c>
      <c r="O33" s="102">
        <v>9.6456692913385947E-2</v>
      </c>
      <c r="P33" s="102">
        <v>-2.1089630931458624E-2</v>
      </c>
      <c r="Q33" s="153">
        <f t="shared" si="4"/>
        <v>0.1085555672966233</v>
      </c>
      <c r="R33" s="92"/>
      <c r="S33" s="92">
        <f t="shared" si="0"/>
        <v>-1</v>
      </c>
      <c r="T33" s="92">
        <f t="shared" si="1"/>
        <v>0</v>
      </c>
      <c r="U33" s="92">
        <f t="shared" si="2"/>
        <v>1</v>
      </c>
      <c r="V33" s="92">
        <f t="shared" si="3"/>
        <v>0</v>
      </c>
    </row>
    <row r="34" spans="1:22" x14ac:dyDescent="0.2">
      <c r="E34" s="3" t="s">
        <v>1615</v>
      </c>
      <c r="F34" s="101" cm="1">
        <f t="array" ref="F34:P34">tinh_du_lieu_cp(E34)</f>
        <v>35.200000000000003</v>
      </c>
      <c r="G34" s="103">
        <v>2449.6999999999998</v>
      </c>
      <c r="H34" s="102">
        <v>-1.9498999999999999E-2</v>
      </c>
      <c r="I34" s="98">
        <v>0.67114567014443227</v>
      </c>
      <c r="J34" s="98">
        <v>0.99429223744292228</v>
      </c>
      <c r="K34" s="98">
        <v>0.84044943820224716</v>
      </c>
      <c r="L34" s="102">
        <v>0.24834437086092728</v>
      </c>
      <c r="M34" s="92">
        <v>30.2</v>
      </c>
      <c r="N34" s="92">
        <v>37.700000000000003</v>
      </c>
      <c r="O34" s="102">
        <v>0.16556291390728489</v>
      </c>
      <c r="P34" s="102">
        <v>-6.6312997347480099E-2</v>
      </c>
      <c r="Q34" s="153">
        <f t="shared" si="4"/>
        <v>2.1439602980628896E-2</v>
      </c>
      <c r="R34" s="92"/>
      <c r="S34" s="92">
        <f t="shared" si="0"/>
        <v>-1</v>
      </c>
      <c r="T34" s="92">
        <f t="shared" si="1"/>
        <v>0</v>
      </c>
      <c r="U34" s="92">
        <f t="shared" si="2"/>
        <v>1</v>
      </c>
      <c r="V34" s="92">
        <f t="shared" si="3"/>
        <v>0</v>
      </c>
    </row>
    <row r="35" spans="1:22" x14ac:dyDescent="0.2">
      <c r="E35" s="3" t="s">
        <v>1634</v>
      </c>
      <c r="F35" s="101" cm="1">
        <f t="array" ref="F35:P35">tinh_du_lieu_cp(E35)</f>
        <v>22.95</v>
      </c>
      <c r="G35" s="103">
        <v>7274.2004999999999</v>
      </c>
      <c r="H35" s="102">
        <v>-6.4939999999999998E-3</v>
      </c>
      <c r="I35" s="98">
        <v>0.53692170634408698</v>
      </c>
      <c r="J35" s="98">
        <v>1.0131674958540631</v>
      </c>
      <c r="K35" s="98">
        <v>0.4657107428597056</v>
      </c>
      <c r="L35" s="102">
        <v>0.19148936170212771</v>
      </c>
      <c r="M35" s="92">
        <v>21.15</v>
      </c>
      <c r="N35" s="92">
        <v>25.2</v>
      </c>
      <c r="O35" s="102">
        <v>8.5106382978723444E-2</v>
      </c>
      <c r="P35" s="102">
        <v>-8.9285714285714288E-2</v>
      </c>
      <c r="Q35" s="153">
        <f t="shared" si="4"/>
        <v>4.1507744084366617E-2</v>
      </c>
      <c r="R35" s="92"/>
      <c r="S35" s="92">
        <f t="shared" si="0"/>
        <v>-1</v>
      </c>
      <c r="T35" s="92">
        <f t="shared" si="1"/>
        <v>0</v>
      </c>
      <c r="U35" s="92">
        <f t="shared" si="2"/>
        <v>1</v>
      </c>
      <c r="V35" s="92">
        <f t="shared" si="3"/>
        <v>0</v>
      </c>
    </row>
    <row r="36" spans="1:22" x14ac:dyDescent="0.2">
      <c r="E36" s="3" t="s">
        <v>1706</v>
      </c>
      <c r="F36" s="101" cm="1">
        <f t="array" ref="F36:P36">tinh_du_lieu_cp(E36)</f>
        <v>67.599999999999994</v>
      </c>
      <c r="G36" s="103">
        <v>1686.1</v>
      </c>
      <c r="H36" s="102">
        <v>-5.8819999999999992E-3</v>
      </c>
      <c r="I36" s="98">
        <v>0.36134433316675779</v>
      </c>
      <c r="J36" s="98">
        <v>1.001783962180002</v>
      </c>
      <c r="K36" s="98">
        <v>0.50238614298980488</v>
      </c>
      <c r="L36" s="102">
        <v>0.15698587127158556</v>
      </c>
      <c r="M36" s="92">
        <v>63.7</v>
      </c>
      <c r="N36" s="92">
        <v>73.7</v>
      </c>
      <c r="O36" s="102">
        <v>6.1224489795918234E-2</v>
      </c>
      <c r="P36" s="102">
        <v>-8.2767978290366459E-2</v>
      </c>
      <c r="Q36" s="153">
        <f t="shared" si="4"/>
        <v>2.8339435649694052E-2</v>
      </c>
      <c r="R36" s="92"/>
      <c r="S36" s="92">
        <f t="shared" si="0"/>
        <v>-1</v>
      </c>
      <c r="T36" s="92">
        <f t="shared" si="1"/>
        <v>0</v>
      </c>
      <c r="U36" s="92">
        <f t="shared" si="2"/>
        <v>1</v>
      </c>
      <c r="V36" s="92">
        <f t="shared" si="3"/>
        <v>0</v>
      </c>
    </row>
    <row r="37" spans="1:22" x14ac:dyDescent="0.2">
      <c r="E37" s="3" t="s">
        <v>1728</v>
      </c>
      <c r="F37" s="101" cm="1">
        <f t="array" ref="F37:P37">tinh_du_lieu_cp(E37)</f>
        <v>58.8</v>
      </c>
      <c r="G37" s="103">
        <v>1771.65</v>
      </c>
      <c r="H37" s="102">
        <v>0</v>
      </c>
      <c r="I37" s="98">
        <v>0.21988662183329397</v>
      </c>
      <c r="J37" s="98">
        <v>1.0181162282434106</v>
      </c>
      <c r="K37" s="98">
        <v>0.25134154516210261</v>
      </c>
      <c r="L37" s="102">
        <v>0.14972273567467656</v>
      </c>
      <c r="M37" s="92">
        <v>54.1</v>
      </c>
      <c r="N37" s="92">
        <v>62.2</v>
      </c>
      <c r="O37" s="102">
        <v>8.6876155268022101E-2</v>
      </c>
      <c r="P37" s="102">
        <v>-5.4662379421221957E-2</v>
      </c>
      <c r="Q37" s="153">
        <f t="shared" si="4"/>
        <v>2.5900993791599641E-2</v>
      </c>
      <c r="R37" s="92"/>
      <c r="S37" s="92">
        <f t="shared" si="0"/>
        <v>0</v>
      </c>
      <c r="T37" s="92">
        <f t="shared" si="1"/>
        <v>0</v>
      </c>
      <c r="U37" s="92">
        <f t="shared" si="2"/>
        <v>0</v>
      </c>
      <c r="V37" s="92">
        <f t="shared" si="3"/>
        <v>1</v>
      </c>
    </row>
    <row r="38" spans="1:22" x14ac:dyDescent="0.2">
      <c r="B38" s="115"/>
      <c r="E38" s="3" t="s">
        <v>1974</v>
      </c>
      <c r="F38" s="101" cm="1">
        <f t="array" ref="F38:P38">tinh_du_lieu_cp(E38)</f>
        <v>43.85</v>
      </c>
      <c r="G38" s="103">
        <v>766.9</v>
      </c>
      <c r="H38" s="102">
        <v>-7.9190000000000007E-3</v>
      </c>
      <c r="I38" s="98">
        <v>0.50335784715903154</v>
      </c>
      <c r="J38" s="98">
        <v>1.0355507481521546</v>
      </c>
      <c r="K38" s="98">
        <v>0.49980448383733056</v>
      </c>
      <c r="L38" s="102">
        <v>0.17866666666666675</v>
      </c>
      <c r="M38" s="92">
        <v>37.5</v>
      </c>
      <c r="N38" s="92">
        <v>44.2</v>
      </c>
      <c r="O38" s="102">
        <v>0.16933333333333336</v>
      </c>
      <c r="P38" s="102">
        <v>-7.9185520361991259E-3</v>
      </c>
      <c r="Q38" s="153">
        <f t="shared" si="4"/>
        <v>8.3612172641765112E-3</v>
      </c>
      <c r="R38" s="92"/>
      <c r="S38" s="92">
        <f t="shared" si="0"/>
        <v>-1</v>
      </c>
      <c r="T38" s="92">
        <f t="shared" si="1"/>
        <v>0</v>
      </c>
      <c r="U38" s="92">
        <f t="shared" si="2"/>
        <v>1</v>
      </c>
      <c r="V38" s="92">
        <f t="shared" si="3"/>
        <v>0</v>
      </c>
    </row>
    <row r="39" spans="1:22" x14ac:dyDescent="0.2">
      <c r="E39" s="3" t="s">
        <v>2172</v>
      </c>
      <c r="F39" s="101" cm="1">
        <f t="array" ref="F39:P39">tinh_du_lieu_cp(E39)</f>
        <v>51.7</v>
      </c>
      <c r="G39" s="103">
        <v>335.7</v>
      </c>
      <c r="H39" s="102">
        <v>0</v>
      </c>
      <c r="I39" s="98">
        <v>0.48108340498710234</v>
      </c>
      <c r="J39" s="98">
        <v>0.99947529514647981</v>
      </c>
      <c r="K39" s="98">
        <v>0.52217872605190152</v>
      </c>
      <c r="L39" s="102">
        <v>0.13698630136986301</v>
      </c>
      <c r="M39" s="92">
        <v>51.1</v>
      </c>
      <c r="N39" s="92">
        <v>58.1</v>
      </c>
      <c r="O39" s="102">
        <v>1.1741682974559714E-2</v>
      </c>
      <c r="P39" s="102">
        <v>-0.1101549053356282</v>
      </c>
      <c r="Q39" s="153">
        <f t="shared" si="4"/>
        <v>4.3152211478454583E-3</v>
      </c>
      <c r="R39" s="92"/>
      <c r="S39" s="92">
        <f t="shared" si="0"/>
        <v>0</v>
      </c>
      <c r="T39" s="92">
        <f t="shared" si="1"/>
        <v>0</v>
      </c>
      <c r="U39" s="92">
        <f t="shared" si="2"/>
        <v>0</v>
      </c>
      <c r="V39" s="92">
        <f t="shared" si="3"/>
        <v>1</v>
      </c>
    </row>
    <row r="40" spans="1:22" x14ac:dyDescent="0.2">
      <c r="E40" s="3" t="s">
        <v>110</v>
      </c>
      <c r="F40" s="101" cm="1">
        <f t="array" ref="F40:P40">tinh_du_lieu_cp(E40)</f>
        <v>9.9499999999999993</v>
      </c>
      <c r="G40" s="103">
        <v>12728.1001</v>
      </c>
      <c r="H40" s="102">
        <v>3.0240000000000002E-3</v>
      </c>
      <c r="I40" s="98">
        <v>0.69227437928229796</v>
      </c>
      <c r="J40" s="98">
        <v>0.961709973415659</v>
      </c>
      <c r="K40" s="98">
        <v>0.5668122667585922</v>
      </c>
      <c r="L40" s="102">
        <v>0.12399193548387101</v>
      </c>
      <c r="M40" s="92">
        <v>9.92</v>
      </c>
      <c r="N40" s="92">
        <v>11.15</v>
      </c>
      <c r="O40" s="102">
        <v>3.0241935483870325E-3</v>
      </c>
      <c r="P40" s="102">
        <v>-0.10762331838565031</v>
      </c>
      <c r="Q40" s="153">
        <f t="shared" si="4"/>
        <v>3.1488200059920882E-2</v>
      </c>
      <c r="R40" s="92"/>
      <c r="S40" s="92">
        <f t="shared" si="0"/>
        <v>1</v>
      </c>
      <c r="T40" s="92">
        <f t="shared" si="1"/>
        <v>1</v>
      </c>
      <c r="U40" s="92">
        <f t="shared" si="2"/>
        <v>0</v>
      </c>
      <c r="V40" s="92">
        <f t="shared" si="3"/>
        <v>0</v>
      </c>
    </row>
    <row r="41" spans="1:22" x14ac:dyDescent="0.2">
      <c r="E41" s="3" t="s">
        <v>2366</v>
      </c>
      <c r="F41" s="101" cm="1">
        <f t="array" ref="F41:P41">tinh_du_lieu_cp(E41)</f>
        <v>19.3</v>
      </c>
      <c r="G41" s="103">
        <v>833.8</v>
      </c>
      <c r="H41" s="102">
        <v>-7.7120000000000001E-3</v>
      </c>
      <c r="I41" s="98">
        <v>0.23669289868013349</v>
      </c>
      <c r="J41" s="98">
        <v>1.0098062381852553</v>
      </c>
      <c r="K41" s="98">
        <v>0.42284448877131003</v>
      </c>
      <c r="L41" s="102">
        <v>0.20303030303030312</v>
      </c>
      <c r="M41" s="92">
        <v>16.5</v>
      </c>
      <c r="N41" s="92">
        <v>19.850000000000001</v>
      </c>
      <c r="O41" s="102">
        <v>0.16969696969696973</v>
      </c>
      <c r="P41" s="102">
        <v>-2.7707808564231773E-2</v>
      </c>
      <c r="Q41" s="153">
        <f t="shared" si="4"/>
        <v>4.0011089093155844E-3</v>
      </c>
      <c r="R41" s="92"/>
      <c r="S41" s="92">
        <f t="shared" si="0"/>
        <v>-1</v>
      </c>
      <c r="T41" s="92">
        <f t="shared" si="1"/>
        <v>0</v>
      </c>
      <c r="U41" s="92">
        <f t="shared" si="2"/>
        <v>1</v>
      </c>
      <c r="V41" s="92">
        <f t="shared" si="3"/>
        <v>0</v>
      </c>
    </row>
    <row r="42" spans="1:22" x14ac:dyDescent="0.2">
      <c r="E42" s="3" t="s">
        <v>106</v>
      </c>
      <c r="F42" s="101" cm="1">
        <f t="array" ref="F42:P42">tinh_du_lieu_cp(E42)</f>
        <v>26.3</v>
      </c>
      <c r="G42" s="103">
        <v>9245.5001999999986</v>
      </c>
      <c r="H42" s="102">
        <v>-1.1278E-2</v>
      </c>
      <c r="I42" s="98">
        <v>0.56023611408475327</v>
      </c>
      <c r="J42" s="98">
        <v>1.0312910545801983</v>
      </c>
      <c r="K42" s="98">
        <v>0.36595575867099905</v>
      </c>
      <c r="L42" s="102">
        <v>0.12236286919831232</v>
      </c>
      <c r="M42" s="92">
        <v>23.7</v>
      </c>
      <c r="N42" s="92">
        <v>26.6</v>
      </c>
      <c r="O42" s="102">
        <v>0.10970464135021103</v>
      </c>
      <c r="P42" s="102">
        <v>-1.127819548872183E-2</v>
      </c>
      <c r="Q42" s="153">
        <f t="shared" si="4"/>
        <v>6.0457103175806874E-2</v>
      </c>
      <c r="R42" s="92"/>
      <c r="S42" s="92">
        <f t="shared" si="0"/>
        <v>-1</v>
      </c>
      <c r="T42" s="92">
        <f t="shared" si="1"/>
        <v>0</v>
      </c>
      <c r="U42" s="92">
        <f t="shared" si="2"/>
        <v>1</v>
      </c>
      <c r="V42" s="92">
        <f t="shared" si="3"/>
        <v>0</v>
      </c>
    </row>
    <row r="43" spans="1:22" x14ac:dyDescent="0.2">
      <c r="E43" s="3" t="s">
        <v>2383</v>
      </c>
      <c r="F43" s="101" cm="1">
        <f t="array" ref="F43:P43">tinh_du_lieu_cp(E43)</f>
        <v>38.75</v>
      </c>
      <c r="G43" s="103">
        <v>1886.3</v>
      </c>
      <c r="H43" s="102">
        <v>-2.5740000000000003E-3</v>
      </c>
      <c r="I43" s="98">
        <v>0.20386581934226247</v>
      </c>
      <c r="J43" s="98">
        <v>1.0086377292852624</v>
      </c>
      <c r="K43" s="98">
        <v>0.21982414534521236</v>
      </c>
      <c r="L43" s="102">
        <v>0.2160493827160494</v>
      </c>
      <c r="M43" s="92">
        <v>32.4</v>
      </c>
      <c r="N43" s="92">
        <v>39.4</v>
      </c>
      <c r="O43" s="102">
        <v>0.19598765432098772</v>
      </c>
      <c r="P43" s="102">
        <v>-1.6497461928933976E-2</v>
      </c>
      <c r="Q43" s="153">
        <f t="shared" si="4"/>
        <v>1.817371213609251E-2</v>
      </c>
      <c r="R43" s="92"/>
      <c r="S43" s="92">
        <f t="shared" si="0"/>
        <v>-1</v>
      </c>
      <c r="T43" s="92">
        <f t="shared" si="1"/>
        <v>0</v>
      </c>
      <c r="U43" s="92">
        <f t="shared" si="2"/>
        <v>1</v>
      </c>
      <c r="V43" s="92">
        <f t="shared" si="3"/>
        <v>0</v>
      </c>
    </row>
    <row r="44" spans="1:22" x14ac:dyDescent="0.2">
      <c r="E44" s="3" t="s">
        <v>111</v>
      </c>
      <c r="F44" s="101" cm="1">
        <f t="array" ref="F44:P44">tinh_du_lieu_cp(E44)</f>
        <v>26.15</v>
      </c>
      <c r="G44" s="103">
        <v>6790.6000999999997</v>
      </c>
      <c r="H44" s="102">
        <v>1.916E-3</v>
      </c>
      <c r="I44" s="98">
        <v>0.35407000054097193</v>
      </c>
      <c r="J44" s="98">
        <v>1.0148089498841677</v>
      </c>
      <c r="K44" s="98">
        <v>0.3534659904905178</v>
      </c>
      <c r="L44" s="102">
        <v>0.13461538461538472</v>
      </c>
      <c r="M44" s="92">
        <v>23.4</v>
      </c>
      <c r="N44" s="92">
        <v>26.55</v>
      </c>
      <c r="O44" s="102">
        <v>0.11752136752136753</v>
      </c>
      <c r="P44" s="102">
        <v>-1.5065913370998196E-2</v>
      </c>
      <c r="Q44" s="153">
        <f t="shared" si="4"/>
        <v>4.4151048519755237E-2</v>
      </c>
      <c r="R44" s="92"/>
      <c r="S44" s="92">
        <f t="shared" si="0"/>
        <v>1</v>
      </c>
      <c r="T44" s="92">
        <f t="shared" si="1"/>
        <v>1</v>
      </c>
      <c r="U44" s="92">
        <f t="shared" si="2"/>
        <v>0</v>
      </c>
      <c r="V44" s="92">
        <f t="shared" si="3"/>
        <v>0</v>
      </c>
    </row>
    <row r="45" spans="1:22" x14ac:dyDescent="0.2">
      <c r="E45" s="3" t="s">
        <v>2587</v>
      </c>
      <c r="F45" s="101" cm="1">
        <f t="array" ref="F45:P45">tinh_du_lieu_cp(E45)</f>
        <v>16.2</v>
      </c>
      <c r="G45" s="103">
        <v>8736.4002</v>
      </c>
      <c r="H45" s="102">
        <v>0</v>
      </c>
      <c r="I45" s="98">
        <v>0.55743428252464799</v>
      </c>
      <c r="J45" s="98">
        <v>0.99376017362995128</v>
      </c>
      <c r="K45" s="98">
        <v>0.37865944575993887</v>
      </c>
      <c r="L45" s="102">
        <v>8.2278481012658264E-2</v>
      </c>
      <c r="M45" s="92">
        <v>15.8</v>
      </c>
      <c r="N45" s="92">
        <v>17.100000000000001</v>
      </c>
      <c r="O45" s="102">
        <v>2.5316455696202441E-2</v>
      </c>
      <c r="P45" s="102">
        <v>-5.2631578947368543E-2</v>
      </c>
      <c r="Q45" s="153">
        <f t="shared" si="4"/>
        <v>3.5189144434195178E-2</v>
      </c>
      <c r="R45" s="92"/>
      <c r="S45" s="92">
        <f t="shared" si="0"/>
        <v>0</v>
      </c>
      <c r="T45" s="92">
        <f t="shared" si="1"/>
        <v>0</v>
      </c>
      <c r="U45" s="92">
        <f t="shared" si="2"/>
        <v>0</v>
      </c>
      <c r="V45" s="92">
        <f t="shared" si="3"/>
        <v>1</v>
      </c>
    </row>
    <row r="46" spans="1:22" x14ac:dyDescent="0.2">
      <c r="E46" s="3" t="s">
        <v>123</v>
      </c>
      <c r="F46" s="101" cm="1">
        <f t="array" ref="F46:P46">tinh_du_lieu_cp(E46)</f>
        <v>92.8</v>
      </c>
      <c r="G46" s="103">
        <v>1006</v>
      </c>
      <c r="H46" s="102">
        <v>-5.359E-3</v>
      </c>
      <c r="I46" s="98">
        <v>0.58603752101786022</v>
      </c>
      <c r="J46" s="98">
        <v>1.0072328281834284</v>
      </c>
      <c r="K46" s="98">
        <v>0.48230123851378348</v>
      </c>
      <c r="L46" s="102">
        <v>4.4956140350877132E-2</v>
      </c>
      <c r="M46" s="92">
        <v>91.2</v>
      </c>
      <c r="N46" s="92">
        <v>95.3</v>
      </c>
      <c r="O46" s="102">
        <v>1.7543859649122744E-2</v>
      </c>
      <c r="P46" s="102">
        <v>-2.6232948583420776E-2</v>
      </c>
      <c r="Q46" s="153">
        <f t="shared" si="4"/>
        <v>2.3211709684557567E-2</v>
      </c>
      <c r="R46" s="92"/>
      <c r="S46" s="92">
        <f t="shared" si="0"/>
        <v>-1</v>
      </c>
      <c r="T46" s="92">
        <f t="shared" si="1"/>
        <v>0</v>
      </c>
      <c r="U46" s="92">
        <f t="shared" si="2"/>
        <v>1</v>
      </c>
      <c r="V46" s="92">
        <f t="shared" si="3"/>
        <v>0</v>
      </c>
    </row>
    <row r="47" spans="1:22" x14ac:dyDescent="0.2">
      <c r="E47" s="3" t="s">
        <v>2791</v>
      </c>
      <c r="F47" s="101" cm="1">
        <f t="array" ref="F47:P47">tinh_du_lieu_cp(E47)</f>
        <v>42.85</v>
      </c>
      <c r="G47" s="103">
        <v>6526.1559999999999</v>
      </c>
      <c r="H47" s="102">
        <v>7.0509999999999991E-3</v>
      </c>
      <c r="I47" s="98">
        <v>1.0907529227304218</v>
      </c>
      <c r="J47" s="98">
        <v>1.047138626158403</v>
      </c>
      <c r="K47" s="98">
        <v>0.7774268714839826</v>
      </c>
      <c r="L47" s="102">
        <v>0.1350993377483444</v>
      </c>
      <c r="M47" s="92">
        <v>37.75</v>
      </c>
      <c r="N47" s="92">
        <v>42.85</v>
      </c>
      <c r="O47" s="102">
        <v>0.1350993377483444</v>
      </c>
      <c r="P47" s="102">
        <v>0</v>
      </c>
      <c r="Q47" s="153">
        <f>(F47*G47)/($S$6*1000)</f>
        <v>6.9529555068784707E-2</v>
      </c>
      <c r="R47" s="92"/>
      <c r="S47" s="92">
        <f t="shared" si="0"/>
        <v>1</v>
      </c>
      <c r="T47" s="92">
        <f t="shared" si="1"/>
        <v>1</v>
      </c>
      <c r="U47" s="92">
        <f t="shared" si="2"/>
        <v>0</v>
      </c>
      <c r="V47" s="92">
        <f t="shared" si="3"/>
        <v>0</v>
      </c>
    </row>
    <row r="48" spans="1:22" x14ac:dyDescent="0.2">
      <c r="E48" s="3" t="s">
        <v>2793</v>
      </c>
      <c r="F48" s="101" cm="1">
        <f t="array" ref="F48:P48">tinh_du_lieu_cp(E48)</f>
        <v>20.95</v>
      </c>
      <c r="G48" s="103">
        <v>4790.4003000000002</v>
      </c>
      <c r="H48" s="102">
        <v>-2.3809999999999999E-3</v>
      </c>
      <c r="I48" s="98">
        <v>0.54028051912895292</v>
      </c>
      <c r="J48" s="98">
        <v>1.0109072149753113</v>
      </c>
      <c r="K48" s="98">
        <v>0.43819245726367961</v>
      </c>
      <c r="L48" s="102">
        <v>0.11702127659574464</v>
      </c>
      <c r="M48" s="92">
        <v>18.8</v>
      </c>
      <c r="N48" s="92">
        <v>21</v>
      </c>
      <c r="O48" s="102">
        <v>0.11436170212765949</v>
      </c>
      <c r="P48" s="102">
        <v>-2.380952380952415E-3</v>
      </c>
      <c r="Q48" s="153">
        <f t="shared" si="4"/>
        <v>2.4952669036566656E-2</v>
      </c>
      <c r="R48" s="92"/>
      <c r="S48" s="92">
        <f t="shared" si="0"/>
        <v>-1</v>
      </c>
      <c r="T48" s="92">
        <f t="shared" si="1"/>
        <v>0</v>
      </c>
      <c r="U48" s="92">
        <f t="shared" si="2"/>
        <v>1</v>
      </c>
      <c r="V48" s="92">
        <f t="shared" si="3"/>
        <v>0</v>
      </c>
    </row>
    <row r="49" spans="5:22" x14ac:dyDescent="0.2">
      <c r="E49" s="3" t="s">
        <v>2795</v>
      </c>
      <c r="F49" s="101" cm="1">
        <f t="array" ref="F49:P49">tinh_du_lieu_cp(E49)</f>
        <v>42.15</v>
      </c>
      <c r="G49" s="103">
        <v>1557.3</v>
      </c>
      <c r="H49" s="102">
        <v>2.3779999999999999E-3</v>
      </c>
      <c r="I49" s="98">
        <v>0.39647690267391561</v>
      </c>
      <c r="J49" s="98">
        <v>1.0192487211082484</v>
      </c>
      <c r="K49" s="98">
        <v>0.77583114683317278</v>
      </c>
      <c r="L49" s="102">
        <v>5.6390977443609026E-2</v>
      </c>
      <c r="M49" s="92">
        <v>39.9</v>
      </c>
      <c r="N49" s="92">
        <v>42.15</v>
      </c>
      <c r="O49" s="102">
        <v>5.6390977443609026E-2</v>
      </c>
      <c r="P49" s="102">
        <v>0</v>
      </c>
      <c r="Q49" s="153">
        <f t="shared" si="4"/>
        <v>1.6320408904094259E-2</v>
      </c>
      <c r="R49" s="92"/>
      <c r="S49" s="92">
        <f t="shared" si="0"/>
        <v>1</v>
      </c>
      <c r="T49" s="92">
        <f t="shared" si="1"/>
        <v>1</v>
      </c>
      <c r="U49" s="92">
        <f t="shared" si="2"/>
        <v>0</v>
      </c>
      <c r="V49" s="92">
        <f t="shared" si="3"/>
        <v>0</v>
      </c>
    </row>
    <row r="50" spans="5:22" x14ac:dyDescent="0.2">
      <c r="E50" s="3" t="s">
        <v>2813</v>
      </c>
      <c r="F50" s="101" cm="1">
        <f t="array" ref="F50:P50">tinh_du_lieu_cp(E50)</f>
        <v>96.6</v>
      </c>
      <c r="G50" s="103">
        <v>340.8</v>
      </c>
      <c r="H50" s="102">
        <v>-3.0959999999999998E-3</v>
      </c>
      <c r="I50" s="98">
        <v>0.51227811257327927</v>
      </c>
      <c r="J50" s="98">
        <v>0.99536321483771262</v>
      </c>
      <c r="K50" s="98">
        <v>0.45471324690342235</v>
      </c>
      <c r="L50" s="102">
        <v>7.2916666666666671E-2</v>
      </c>
      <c r="M50" s="92">
        <v>96</v>
      </c>
      <c r="N50" s="92">
        <v>103</v>
      </c>
      <c r="O50" s="102">
        <v>6.2499999999999405E-3</v>
      </c>
      <c r="P50" s="102">
        <v>-6.213592233009714E-2</v>
      </c>
      <c r="Q50" s="153">
        <f t="shared" si="4"/>
        <v>8.1853618997655368E-3</v>
      </c>
      <c r="R50" s="92"/>
      <c r="S50" s="92">
        <f t="shared" si="0"/>
        <v>-1</v>
      </c>
      <c r="T50" s="92">
        <f t="shared" si="1"/>
        <v>0</v>
      </c>
      <c r="U50" s="92">
        <f t="shared" si="2"/>
        <v>1</v>
      </c>
      <c r="V50" s="92">
        <f t="shared" si="3"/>
        <v>0</v>
      </c>
    </row>
    <row r="51" spans="5:22" x14ac:dyDescent="0.2">
      <c r="E51" s="3" t="s">
        <v>2857</v>
      </c>
      <c r="F51" s="101" cm="1">
        <f t="array" ref="F51:P51">tinh_du_lieu_cp(E51)</f>
        <v>63.3</v>
      </c>
      <c r="G51" s="103">
        <v>2850.8</v>
      </c>
      <c r="H51" s="102">
        <v>1.5820000000000001E-3</v>
      </c>
      <c r="I51" s="98">
        <v>0.64141607835557202</v>
      </c>
      <c r="J51" s="98">
        <v>1.0232242460141172</v>
      </c>
      <c r="K51" s="98">
        <v>0.73515279150728496</v>
      </c>
      <c r="L51" s="102">
        <v>8.3333333333333329E-2</v>
      </c>
      <c r="M51" s="92">
        <v>60</v>
      </c>
      <c r="N51" s="92">
        <v>65</v>
      </c>
      <c r="O51" s="102">
        <v>5.4999999999999952E-2</v>
      </c>
      <c r="P51" s="102">
        <v>-2.6153846153846198E-2</v>
      </c>
      <c r="Q51" s="153">
        <f t="shared" si="4"/>
        <v>4.486747539141267E-2</v>
      </c>
      <c r="R51" s="92"/>
      <c r="S51" s="92">
        <f t="shared" si="0"/>
        <v>1</v>
      </c>
      <c r="T51" s="92">
        <f t="shared" si="1"/>
        <v>1</v>
      </c>
      <c r="U51" s="92">
        <f t="shared" si="2"/>
        <v>0</v>
      </c>
      <c r="V51" s="92">
        <f t="shared" si="3"/>
        <v>0</v>
      </c>
    </row>
    <row r="52" spans="5:22" x14ac:dyDescent="0.2">
      <c r="E52" s="3" t="s">
        <v>2877</v>
      </c>
      <c r="F52" s="101" cm="1">
        <f t="array" ref="F52:P52">tinh_du_lieu_cp(E52)</f>
        <v>19</v>
      </c>
      <c r="G52" s="103">
        <v>5884.4000999999998</v>
      </c>
      <c r="H52" s="102">
        <v>-1.0417000000000001E-2</v>
      </c>
      <c r="I52" s="98">
        <v>0.35727883405183802</v>
      </c>
      <c r="J52" s="98">
        <v>1.0091422211622545</v>
      </c>
      <c r="K52" s="98">
        <v>0.58757724975897518</v>
      </c>
      <c r="L52" s="102">
        <v>7.7134986225895444E-2</v>
      </c>
      <c r="M52" s="92">
        <v>18.149999999999999</v>
      </c>
      <c r="N52" s="92">
        <v>19.55</v>
      </c>
      <c r="O52" s="102">
        <v>4.6831955922865098E-2</v>
      </c>
      <c r="P52" s="102">
        <v>-2.8132992327365765E-2</v>
      </c>
      <c r="Q52" s="153">
        <f t="shared" si="4"/>
        <v>2.7798218758469107E-2</v>
      </c>
      <c r="R52" s="92"/>
      <c r="S52" s="92">
        <f t="shared" si="0"/>
        <v>-1</v>
      </c>
      <c r="T52" s="92">
        <f t="shared" si="1"/>
        <v>0</v>
      </c>
      <c r="U52" s="92">
        <f t="shared" si="2"/>
        <v>1</v>
      </c>
      <c r="V52" s="92">
        <f t="shared" si="3"/>
        <v>0</v>
      </c>
    </row>
    <row r="53" spans="5:22" x14ac:dyDescent="0.2">
      <c r="E53" s="3" t="s">
        <v>2897</v>
      </c>
      <c r="F53" s="101" cm="1">
        <f t="array" ref="F53:P53">tinh_du_lieu_cp(E53)</f>
        <v>17.7</v>
      </c>
      <c r="G53" s="103">
        <v>5095.3999999999996</v>
      </c>
      <c r="H53" s="102">
        <v>0</v>
      </c>
      <c r="I53" s="98">
        <v>0.68010221663519921</v>
      </c>
      <c r="J53" s="98">
        <v>1.0276510067114095</v>
      </c>
      <c r="K53" s="98">
        <v>0.63781661447565241</v>
      </c>
      <c r="L53" s="102">
        <v>0.10869565217391304</v>
      </c>
      <c r="M53" s="92">
        <v>16.100000000000001</v>
      </c>
      <c r="N53" s="92">
        <v>17.850000000000001</v>
      </c>
      <c r="O53" s="102">
        <v>9.9378881987577494E-2</v>
      </c>
      <c r="P53" s="102">
        <v>-8.4033613445379345E-3</v>
      </c>
      <c r="Q53" s="153">
        <f t="shared" si="4"/>
        <v>2.2423981282804196E-2</v>
      </c>
      <c r="R53" s="92"/>
      <c r="S53" s="92">
        <f t="shared" si="0"/>
        <v>0</v>
      </c>
      <c r="T53" s="92">
        <f t="shared" si="1"/>
        <v>0</v>
      </c>
      <c r="U53" s="92">
        <f t="shared" si="2"/>
        <v>0</v>
      </c>
      <c r="V53" s="92">
        <f t="shared" si="3"/>
        <v>1</v>
      </c>
    </row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</sheetData>
  <mergeCells count="19">
    <mergeCell ref="A1:I2"/>
    <mergeCell ref="J1:L2"/>
    <mergeCell ref="N11:Q14"/>
    <mergeCell ref="P15:Q15"/>
    <mergeCell ref="R11:T12"/>
    <mergeCell ref="E22:E23"/>
    <mergeCell ref="F22:F23"/>
    <mergeCell ref="G22:G23"/>
    <mergeCell ref="H22:H23"/>
    <mergeCell ref="I22:I23"/>
    <mergeCell ref="O22:O23"/>
    <mergeCell ref="P22:P23"/>
    <mergeCell ref="Q22:Q23"/>
    <mergeCell ref="R22:R23"/>
    <mergeCell ref="J22:J23"/>
    <mergeCell ref="K22:K23"/>
    <mergeCell ref="L22:L23"/>
    <mergeCell ref="M22:M23"/>
    <mergeCell ref="N22:N23"/>
  </mergeCells>
  <conditionalFormatting sqref="I25:I53">
    <cfRule type="colorScale" priority="14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J25:J53">
    <cfRule type="expression" dxfId="1402" priority="138" stopIfTrue="1">
      <formula>J25&gt;2</formula>
    </cfRule>
    <cfRule type="expression" dxfId="1401" priority="139" stopIfTrue="1">
      <formula>AND(J25&gt;0.5, J25&lt;1)</formula>
    </cfRule>
    <cfRule type="expression" dxfId="1400" priority="140" stopIfTrue="1">
      <formula>J25&lt;=0.5</formula>
    </cfRule>
    <cfRule type="expression" dxfId="1399" priority="141" stopIfTrue="1">
      <formula>AND(J25&gt;=1,J25&lt;2)</formula>
    </cfRule>
  </conditionalFormatting>
  <conditionalFormatting sqref="K25:K53">
    <cfRule type="expression" dxfId="1398" priority="134" stopIfTrue="1">
      <formula>K25&gt;=2</formula>
    </cfRule>
    <cfRule type="expression" dxfId="1397" priority="135" stopIfTrue="1">
      <formula>AND(K25&gt;=1,K25&lt;2)</formula>
    </cfRule>
    <cfRule type="expression" dxfId="1396" priority="136" stopIfTrue="1">
      <formula>AND(K25&gt;0.5, K25&lt;1)</formula>
    </cfRule>
    <cfRule type="expression" dxfId="1395" priority="137" stopIfTrue="1">
      <formula>K25&lt;=0.5</formula>
    </cfRule>
  </conditionalFormatting>
  <conditionalFormatting sqref="L25:L53">
    <cfRule type="colorScale" priority="133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O25:P53">
    <cfRule type="colorScale" priority="132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N11">
    <cfRule type="expression" dxfId="1394" priority="130" stopIfTrue="1">
      <formula>N11="giảm"</formula>
    </cfRule>
    <cfRule type="expression" dxfId="1393" priority="131" stopIfTrue="1">
      <formula>N11="tăng"</formula>
    </cfRule>
  </conditionalFormatting>
  <conditionalFormatting sqref="P5:P9">
    <cfRule type="expression" dxfId="1392" priority="108" stopIfTrue="1">
      <formula>U5="giảm"</formula>
    </cfRule>
    <cfRule type="expression" dxfId="1391" priority="109" stopIfTrue="1">
      <formula>U5="tăng"</formula>
    </cfRule>
  </conditionalFormatting>
  <conditionalFormatting sqref="U5:U9">
    <cfRule type="expression" dxfId="1390" priority="104" stopIfTrue="1">
      <formula>U5="giảm"</formula>
    </cfRule>
    <cfRule type="expression" dxfId="1389" priority="105" stopIfTrue="1">
      <formula>U5="tăng"</formula>
    </cfRule>
  </conditionalFormatting>
  <conditionalFormatting sqref="I24:I53">
    <cfRule type="expression" dxfId="1388" priority="79" stopIfTrue="1">
      <formula>I24&lt;0</formula>
    </cfRule>
    <cfRule type="expression" dxfId="1387" priority="80" stopIfTrue="1">
      <formula>I24=1</formula>
    </cfRule>
    <cfRule type="expression" dxfId="1386" priority="81" stopIfTrue="1">
      <formula>AND(I24&lt;1,I24&gt;0)</formula>
    </cfRule>
    <cfRule type="expression" dxfId="1385" priority="82" stopIfTrue="1">
      <formula>AND(I24&lt;2,I24&gt;1)</formula>
    </cfRule>
    <cfRule type="expression" dxfId="1384" priority="83" stopIfTrue="1">
      <formula>I24&gt;=2</formula>
    </cfRule>
  </conditionalFormatting>
  <conditionalFormatting sqref="J24:J53">
    <cfRule type="expression" dxfId="1383" priority="74" stopIfTrue="1">
      <formula>J24&lt;0</formula>
    </cfRule>
    <cfRule type="expression" dxfId="1382" priority="75" stopIfTrue="1">
      <formula>J24=1</formula>
    </cfRule>
    <cfRule type="expression" dxfId="1381" priority="76" stopIfTrue="1">
      <formula>AND(J24&lt;1,J24&gt;0)</formula>
    </cfRule>
    <cfRule type="expression" dxfId="1380" priority="77" stopIfTrue="1">
      <formula>AND(J24&lt;2,J24&gt;1)</formula>
    </cfRule>
    <cfRule type="expression" dxfId="1379" priority="78" stopIfTrue="1">
      <formula>J24&gt;=2</formula>
    </cfRule>
  </conditionalFormatting>
  <conditionalFormatting sqref="K24:K53">
    <cfRule type="expression" dxfId="1378" priority="69" stopIfTrue="1">
      <formula>K24&lt;0</formula>
    </cfRule>
    <cfRule type="expression" dxfId="1377" priority="70" stopIfTrue="1">
      <formula>K24=1</formula>
    </cfRule>
    <cfRule type="expression" dxfId="1376" priority="71" stopIfTrue="1">
      <formula>AND(K24&lt;1,K24&gt;0)</formula>
    </cfRule>
    <cfRule type="expression" dxfId="1375" priority="72" stopIfTrue="1">
      <formula>AND(K24&lt;2,K24&gt;1)</formula>
    </cfRule>
    <cfRule type="expression" dxfId="1374" priority="73" stopIfTrue="1">
      <formula>K24&gt;=2</formula>
    </cfRule>
  </conditionalFormatting>
  <conditionalFormatting sqref="L24:L53">
    <cfRule type="colorScale" priority="53">
      <colorScale>
        <cfvo type="min"/>
        <cfvo type="max"/>
        <color theme="0" tint="-4.9989318521683403E-2"/>
        <color rgb="FF00B050"/>
      </colorScale>
    </cfRule>
  </conditionalFormatting>
  <conditionalFormatting sqref="O24:O53">
    <cfRule type="colorScale" priority="52">
      <colorScale>
        <cfvo type="min"/>
        <cfvo type="max"/>
        <color theme="0" tint="-4.9989318521683403E-2"/>
        <color rgb="FF00B050"/>
      </colorScale>
    </cfRule>
  </conditionalFormatting>
  <conditionalFormatting sqref="P24:P53">
    <cfRule type="colorScale" priority="51">
      <colorScale>
        <cfvo type="min"/>
        <cfvo type="max"/>
        <color rgb="FFFF7C80"/>
        <color theme="0" tint="-4.9989318521683403E-2"/>
      </colorScale>
    </cfRule>
  </conditionalFormatting>
  <conditionalFormatting sqref="Q24:Q53">
    <cfRule type="colorScale" priority="50">
      <colorScale>
        <cfvo type="min"/>
        <cfvo type="max"/>
        <color theme="0" tint="-4.9989318521683403E-2"/>
        <color rgb="FFFF0000"/>
      </colorScale>
    </cfRule>
  </conditionalFormatting>
  <conditionalFormatting sqref="O5:O9">
    <cfRule type="expression" dxfId="1373" priority="13740" stopIfTrue="1">
      <formula>U5="giảm"</formula>
    </cfRule>
    <cfRule type="expression" dxfId="1372" priority="13741" stopIfTrue="1">
      <formula>U5="tăng"</formula>
    </cfRule>
  </conditionalFormatting>
  <conditionalFormatting sqref="H24:H53">
    <cfRule type="expression" dxfId="1371" priority="25" stopIfTrue="1">
      <formula>H24&gt;=6.9%</formula>
    </cfRule>
    <cfRule type="expression" dxfId="1370" priority="26" stopIfTrue="1">
      <formula>AND(H24&gt;0%,H24&lt;6.9%)</formula>
    </cfRule>
    <cfRule type="expression" dxfId="1369" priority="27" stopIfTrue="1">
      <formula>H24=0%</formula>
    </cfRule>
    <cfRule type="expression" dxfId="1368" priority="28" stopIfTrue="1">
      <formula>AND(H24&gt;-6.9%, H24&lt;0%)</formula>
    </cfRule>
    <cfRule type="expression" dxfId="1367" priority="29" stopIfTrue="1">
      <formula>H24&lt;=-6.9%</formula>
    </cfRule>
  </conditionalFormatting>
  <conditionalFormatting sqref="F24:F53">
    <cfRule type="expression" dxfId="1366" priority="20" stopIfTrue="1">
      <formula>H24&gt;=6.9%</formula>
    </cfRule>
    <cfRule type="expression" dxfId="1365" priority="21" stopIfTrue="1">
      <formula>AND(H24&gt;0%,H24&lt;6.9%)</formula>
    </cfRule>
    <cfRule type="expression" dxfId="1364" priority="22" stopIfTrue="1">
      <formula>H24=0%</formula>
    </cfRule>
    <cfRule type="expression" dxfId="1363" priority="23" stopIfTrue="1">
      <formula>AND(H24&gt;-6.8%, H24&lt;0%)</formula>
    </cfRule>
    <cfRule type="expression" dxfId="1362" priority="24" stopIfTrue="1">
      <formula>H24&lt;=-6.9%</formula>
    </cfRule>
  </conditionalFormatting>
  <conditionalFormatting sqref="E24:E53">
    <cfRule type="expression" dxfId="1361" priority="15" stopIfTrue="1">
      <formula>H24&gt;=6.9%</formula>
    </cfRule>
    <cfRule type="expression" dxfId="1360" priority="16" stopIfTrue="1">
      <formula>AND(H24&gt;0%,H24&lt;6.9%)</formula>
    </cfRule>
    <cfRule type="expression" dxfId="1359" priority="17" stopIfTrue="1">
      <formula>H24=0%</formula>
    </cfRule>
    <cfRule type="expression" dxfId="1358" priority="18" stopIfTrue="1">
      <formula>AND(H24&gt;-6.9%, H24&lt;0%)</formula>
    </cfRule>
    <cfRule type="expression" dxfId="1357" priority="19" stopIfTrue="1">
      <formula>H24&lt;=-6.9%</formula>
    </cfRule>
  </conditionalFormatting>
  <conditionalFormatting sqref="G24:G53">
    <cfRule type="expression" dxfId="1356" priority="10" stopIfTrue="1">
      <formula>G24&gt;20000</formula>
    </cfRule>
    <cfRule type="expression" dxfId="1355" priority="11" stopIfTrue="1">
      <formula>AND(G24&gt;10000,G24&lt;=20000)</formula>
    </cfRule>
    <cfRule type="expression" dxfId="1354" priority="12" stopIfTrue="1">
      <formula>AND(G24&gt;1000,G24&lt;=10000)</formula>
    </cfRule>
    <cfRule type="expression" dxfId="1353" priority="13" stopIfTrue="1">
      <formula>AND(G24&gt;200,G24&lt;=1000)</formula>
    </cfRule>
    <cfRule type="expression" dxfId="1352" priority="14" stopIfTrue="1">
      <formula>G24&lt;=200</formula>
    </cfRule>
  </conditionalFormatting>
  <conditionalFormatting sqref="Q5:Q9">
    <cfRule type="expression" dxfId="1351" priority="13756" stopIfTrue="1">
      <formula>U5="giảm"</formula>
    </cfRule>
    <cfRule type="expression" dxfId="1350" priority="13757" stopIfTrue="1">
      <formula>U5="tăng"</formula>
    </cfRule>
  </conditionalFormatting>
  <conditionalFormatting sqref="N5:N9">
    <cfRule type="expression" dxfId="1349" priority="13760" stopIfTrue="1">
      <formula>U5="giảm"</formula>
    </cfRule>
    <cfRule type="expression" dxfId="1348" priority="13761" stopIfTrue="1">
      <formula>U5="tăng"</formula>
    </cfRule>
  </conditionalFormatting>
  <conditionalFormatting sqref="T5:T9">
    <cfRule type="expression" dxfId="1347" priority="5" stopIfTrue="1">
      <formula>T5=0</formula>
    </cfRule>
    <cfRule type="expression" dxfId="1346" priority="6" stopIfTrue="1">
      <formula>T5&lt;0</formula>
    </cfRule>
    <cfRule type="expression" dxfId="1345" priority="7" stopIfTrue="1">
      <formula>T5&gt;0</formula>
    </cfRule>
  </conditionalFormatting>
  <conditionalFormatting sqref="R5:R9">
    <cfRule type="expression" dxfId="1344" priority="3" stopIfTrue="1">
      <formula>U5="tăng"</formula>
    </cfRule>
    <cfRule type="expression" dxfId="1343" priority="4" stopIfTrue="1">
      <formula>U5="giảm"</formula>
    </cfRule>
  </conditionalFormatting>
  <conditionalFormatting sqref="S5:S9">
    <cfRule type="expression" dxfId="1342" priority="1" stopIfTrue="1">
      <formula>U5="tăng"</formula>
    </cfRule>
    <cfRule type="expression" dxfId="1341" priority="2" stopIfTrue="1">
      <formula>U5="giảm"</formula>
    </cfRule>
  </conditionalFormatting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34A878-9118-42DC-A1D8-3E3708D8B985}">
          <x14:formula1>
            <xm:f>'Nơi chứ dữ liệu'!$I$2:$N$2</xm:f>
          </x14:formula1>
          <xm:sqref>R24:R53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5251-4CD2-4012-AB90-8FCCE41422FA}">
  <sheetPr codeName="Sheet10">
    <tabColor rgb="FFFF00FF"/>
  </sheetPr>
  <dimension ref="A1:W1646"/>
  <sheetViews>
    <sheetView zoomScaleNormal="100" workbookViewId="0">
      <selection activeCell="D20" sqref="D20:D37"/>
    </sheetView>
  </sheetViews>
  <sheetFormatPr defaultRowHeight="15" x14ac:dyDescent="0.2"/>
  <cols>
    <col min="1" max="1" width="8.6640625" style="168" customWidth="1"/>
    <col min="2" max="2" width="9.6640625" style="168" customWidth="1"/>
    <col min="3" max="3" width="9" style="168"/>
    <col min="4" max="4" width="13.88671875" style="168" customWidth="1"/>
    <col min="5" max="5" width="14.88671875" style="168" customWidth="1"/>
    <col min="6" max="6" width="12.33203125" style="168" customWidth="1"/>
    <col min="7" max="9" width="12.21875" style="168" customWidth="1"/>
    <col min="10" max="10" width="10.33203125" style="168" bestFit="1" customWidth="1"/>
    <col min="11" max="12" width="10.33203125" style="168" customWidth="1"/>
    <col min="13" max="14" width="11.21875" style="168" customWidth="1"/>
    <col min="15" max="15" width="9.88671875" style="168" customWidth="1"/>
    <col min="16" max="18" width="6.21875" style="168" customWidth="1"/>
    <col min="20" max="20" width="11.109375" bestFit="1" customWidth="1"/>
    <col min="21" max="21" width="11.33203125" bestFit="1" customWidth="1"/>
    <col min="22" max="22" width="18.77734375" bestFit="1" customWidth="1"/>
  </cols>
  <sheetData>
    <row r="1" spans="1:18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I1"/>
      <c r="J1"/>
      <c r="K1" s="179"/>
      <c r="L1"/>
      <c r="M1"/>
      <c r="N1"/>
      <c r="O1"/>
      <c r="P1"/>
      <c r="Q1"/>
      <c r="R1"/>
    </row>
    <row r="2" spans="1:18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  <c r="I2"/>
      <c r="J2"/>
      <c r="K2"/>
      <c r="L2"/>
      <c r="M2"/>
      <c r="N2"/>
      <c r="O2"/>
      <c r="P2"/>
      <c r="Q2"/>
      <c r="R2"/>
    </row>
    <row r="3" spans="1:18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  <c r="I3"/>
      <c r="J3"/>
      <c r="K3"/>
      <c r="L3"/>
      <c r="M3"/>
      <c r="N3"/>
      <c r="O3"/>
      <c r="P3"/>
      <c r="Q3"/>
      <c r="R3"/>
    </row>
    <row r="4" spans="1:18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  <c r="I4"/>
      <c r="J4"/>
      <c r="K4"/>
      <c r="L4"/>
      <c r="M4"/>
      <c r="N4"/>
      <c r="O4"/>
      <c r="P4"/>
      <c r="Q4"/>
      <c r="R4"/>
    </row>
    <row r="5" spans="1:18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  <c r="I5"/>
      <c r="J5"/>
      <c r="K5"/>
      <c r="L5"/>
      <c r="M5"/>
      <c r="N5"/>
      <c r="O5"/>
      <c r="P5"/>
      <c r="Q5"/>
      <c r="R5"/>
    </row>
    <row r="6" spans="1:18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  <c r="I6"/>
      <c r="J6"/>
      <c r="K6"/>
      <c r="L6"/>
      <c r="M6"/>
      <c r="N6"/>
      <c r="O6"/>
      <c r="P6"/>
      <c r="Q6"/>
      <c r="R6"/>
    </row>
    <row r="7" spans="1:18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  <c r="I7"/>
      <c r="J7"/>
      <c r="K7"/>
      <c r="L7"/>
      <c r="M7"/>
      <c r="N7"/>
      <c r="O7"/>
      <c r="P7"/>
      <c r="Q7"/>
      <c r="R7"/>
    </row>
    <row r="8" spans="1:18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8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18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</row>
    <row r="11" spans="1:18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1:18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8" ht="18" customHeight="1" x14ac:dyDescent="0.2">
      <c r="A13"/>
      <c r="B13"/>
      <c r="C13"/>
      <c r="D13" s="178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8" ht="15.75" x14ac:dyDescent="0.2">
      <c r="A14" s="184" t="str">
        <f>"Tổng điểm nhóm Ngân Hàng hôm nay"&amp;" "&amp;SUM(P20:P37)&amp;" "&amp;"trên tổng"&amp;" "&amp;P19</f>
        <v>Tổng điểm nhóm Ngân Hàng hôm nay -9 trên tổng 18</v>
      </c>
      <c r="B14" s="184"/>
      <c r="C14" s="184"/>
      <c r="D14" s="184"/>
      <c r="E14" s="184"/>
      <c r="F14" s="298" t="s">
        <v>3098</v>
      </c>
      <c r="G14" s="299"/>
      <c r="H14"/>
      <c r="I14"/>
      <c r="J14"/>
      <c r="K14"/>
      <c r="L14"/>
      <c r="M14"/>
      <c r="N14"/>
      <c r="O14"/>
      <c r="P14"/>
      <c r="Q14"/>
      <c r="R14"/>
    </row>
    <row r="15" spans="1:18" ht="15.75" x14ac:dyDescent="0.2">
      <c r="A15" s="184" t="str">
        <f>"Tổng điểm tăng nhóm Ngân Hàng  hôm nay"&amp;" "&amp;$Q$19</f>
        <v>Tổng điểm tăng nhóm Ngân Hàng  hôm nay 3</v>
      </c>
      <c r="B15" s="184"/>
      <c r="C15" s="184"/>
      <c r="D15" s="184"/>
      <c r="E15" s="184"/>
      <c r="F15" s="184" t="s">
        <v>3099</v>
      </c>
      <c r="G15" s="185" t="s">
        <v>3092</v>
      </c>
      <c r="H15"/>
      <c r="I15"/>
      <c r="J15"/>
      <c r="K15"/>
      <c r="L15"/>
      <c r="M15"/>
      <c r="N15"/>
      <c r="O15"/>
      <c r="P15"/>
      <c r="Q15"/>
      <c r="R15"/>
    </row>
    <row r="16" spans="1:18" ht="15.75" x14ac:dyDescent="0.2">
      <c r="A16" s="184" t="str">
        <f>"Tổng điểm giảm nhóm Ngân Hàng hôm nay"&amp;" "&amp;$R$19</f>
        <v>Tổng điểm giảm nhóm Ngân Hàng hôm nay 12</v>
      </c>
      <c r="B16" s="184"/>
      <c r="C16" s="184"/>
      <c r="D16" s="184"/>
      <c r="E16" s="184"/>
      <c r="F16" s="203">
        <f>AVERAGE(F20:F37)</f>
        <v>-4.36211111111111E-3</v>
      </c>
      <c r="G16" s="191">
        <f>AVERAGE(G20:G37)</f>
        <v>0.41905148102916712</v>
      </c>
      <c r="H16"/>
      <c r="I16"/>
      <c r="J16"/>
      <c r="K16"/>
      <c r="L16"/>
      <c r="M16"/>
      <c r="N16"/>
      <c r="O16"/>
      <c r="P16"/>
      <c r="Q16"/>
      <c r="R16"/>
    </row>
    <row r="17" spans="1:23" ht="15.75" x14ac:dyDescent="0.2">
      <c r="A17" s="184" t="str">
        <f>"Tổng điểm tham chiếu nhóm Ngân Hàng hôm nay"&amp;" "&amp;(P19-(Q19+R19))</f>
        <v>Tổng điểm tham chiếu nhóm Ngân Hàng hôm nay 3</v>
      </c>
      <c r="B17" s="184"/>
      <c r="C17" s="184"/>
      <c r="D17" s="184"/>
      <c r="E17" s="184"/>
      <c r="F17" s="184"/>
      <c r="G17" s="185"/>
      <c r="H17"/>
      <c r="I17"/>
      <c r="J17"/>
      <c r="K17"/>
      <c r="L17"/>
      <c r="M17"/>
      <c r="N17"/>
      <c r="O17"/>
      <c r="P17"/>
      <c r="Q17"/>
      <c r="R17"/>
    </row>
    <row r="18" spans="1:23" s="100" customFormat="1" x14ac:dyDescent="0.25">
      <c r="A18" s="297" t="s">
        <v>127</v>
      </c>
      <c r="B18" s="297" t="s">
        <v>128</v>
      </c>
      <c r="C18" s="297" t="s">
        <v>16</v>
      </c>
      <c r="D18" s="297" t="s">
        <v>3031</v>
      </c>
      <c r="E18" s="297" t="s">
        <v>3032</v>
      </c>
      <c r="F18" s="297" t="s">
        <v>3033</v>
      </c>
      <c r="G18" s="296" t="s">
        <v>3034</v>
      </c>
      <c r="H18" s="296" t="s">
        <v>3046</v>
      </c>
      <c r="I18" s="296" t="s">
        <v>3035</v>
      </c>
      <c r="J18" s="296" t="s">
        <v>3036</v>
      </c>
      <c r="K18" s="296" t="s">
        <v>3038</v>
      </c>
      <c r="L18" s="296" t="s">
        <v>3037</v>
      </c>
      <c r="M18" s="296" t="s">
        <v>3039</v>
      </c>
      <c r="N18" s="296" t="s">
        <v>3045</v>
      </c>
      <c r="O18" s="296" t="s">
        <v>3040</v>
      </c>
      <c r="P18" s="198" t="s">
        <v>3041</v>
      </c>
      <c r="Q18" s="158" t="s">
        <v>3054</v>
      </c>
      <c r="R18" s="158" t="s">
        <v>3055</v>
      </c>
      <c r="T18" s="338" t="s">
        <v>3050</v>
      </c>
      <c r="U18" s="338" t="s">
        <v>3056</v>
      </c>
      <c r="V18" s="338" t="s">
        <v>3057</v>
      </c>
    </row>
    <row r="19" spans="1:23" s="100" customFormat="1" ht="15.75" x14ac:dyDescent="0.25">
      <c r="A19" s="297"/>
      <c r="B19" s="297"/>
      <c r="C19" s="297"/>
      <c r="D19" s="297"/>
      <c r="E19" s="297"/>
      <c r="F19" s="297"/>
      <c r="G19" s="297"/>
      <c r="H19" s="297"/>
      <c r="I19" s="297"/>
      <c r="J19" s="297"/>
      <c r="K19" s="297"/>
      <c r="L19" s="296"/>
      <c r="M19" s="296"/>
      <c r="N19" s="296"/>
      <c r="O19" s="296"/>
      <c r="P19" s="158">
        <f>COUNT(P20:P37)</f>
        <v>18</v>
      </c>
      <c r="Q19" s="158">
        <f>SUM(Q20:Q37)</f>
        <v>3</v>
      </c>
      <c r="R19" s="158">
        <f>SUM(R20:R37)</f>
        <v>12</v>
      </c>
      <c r="T19" s="334" t="s">
        <v>1615</v>
      </c>
      <c r="U19" s="339">
        <v>-1.9498999999999999E-2</v>
      </c>
      <c r="V19" s="340">
        <v>0.67114567014443227</v>
      </c>
      <c r="W19" s="180"/>
    </row>
    <row r="20" spans="1:23" ht="15.75" customHeight="1" x14ac:dyDescent="0.2">
      <c r="A20" s="295" t="s">
        <v>3030</v>
      </c>
      <c r="B20" s="294" t="s">
        <v>143</v>
      </c>
      <c r="C20" s="3" t="s">
        <v>118</v>
      </c>
      <c r="D20" s="101" cm="1">
        <f t="array" ref="D20:N20">tinh_du_lieu_cp(C20)</f>
        <v>25.85</v>
      </c>
      <c r="E20" s="103">
        <v>2738.1001000000001</v>
      </c>
      <c r="F20" s="102">
        <v>-5.7689999999999998E-3</v>
      </c>
      <c r="G20" s="98">
        <v>0.33423410466781567</v>
      </c>
      <c r="H20" s="98">
        <v>1.0077273395034523</v>
      </c>
      <c r="I20" s="98">
        <v>0.30089530057679514</v>
      </c>
      <c r="J20" s="102">
        <v>6.2880324543610575E-2</v>
      </c>
      <c r="K20" s="101">
        <v>24.65</v>
      </c>
      <c r="L20" s="101">
        <v>26.2</v>
      </c>
      <c r="M20" s="102">
        <v>4.8681541582150219E-2</v>
      </c>
      <c r="N20" s="102">
        <v>-1.3358778625954117E-2</v>
      </c>
      <c r="O20" s="92"/>
      <c r="P20" s="92">
        <f>IF(F20&gt;0,1,IF(F20=0,0,-1))</f>
        <v>-1</v>
      </c>
      <c r="Q20" s="92">
        <f>IF(P20=1,1,0)</f>
        <v>0</v>
      </c>
      <c r="R20" s="92">
        <f>IF(P20&lt;0,1,0)</f>
        <v>1</v>
      </c>
      <c r="T20" s="334" t="s">
        <v>2877</v>
      </c>
      <c r="U20" s="339">
        <v>-1.0417000000000001E-2</v>
      </c>
      <c r="V20" s="340">
        <v>0.35727883405183802</v>
      </c>
      <c r="W20" s="116"/>
    </row>
    <row r="21" spans="1:23" x14ac:dyDescent="0.2">
      <c r="A21" s="295"/>
      <c r="B21" s="294"/>
      <c r="C21" s="3" t="s">
        <v>415</v>
      </c>
      <c r="D21" s="101" cm="1">
        <f t="array" ref="D21:N21">tinh_du_lieu_cp(C21)</f>
        <v>40.549999999999997</v>
      </c>
      <c r="E21" s="103">
        <v>1149.8</v>
      </c>
      <c r="F21" s="102">
        <v>-9.7680000000000006E-3</v>
      </c>
      <c r="G21" s="98">
        <v>0.31619776673045885</v>
      </c>
      <c r="H21" s="98">
        <v>1.0120691590883575</v>
      </c>
      <c r="I21" s="98">
        <v>0.42879785190848235</v>
      </c>
      <c r="J21" s="102">
        <v>0.24766977363515327</v>
      </c>
      <c r="K21" s="101">
        <v>37.549999999999997</v>
      </c>
      <c r="L21" s="101">
        <v>46.85</v>
      </c>
      <c r="M21" s="102">
        <v>7.989347536617844E-2</v>
      </c>
      <c r="N21" s="102">
        <v>-0.13447171824973328</v>
      </c>
      <c r="O21" s="92"/>
      <c r="P21" s="92">
        <f t="shared" ref="P21:P37" si="0">IF(F21&gt;0,1,IF(F21=0,0,-1))</f>
        <v>-1</v>
      </c>
      <c r="Q21" s="92">
        <f t="shared" ref="Q21:Q37" si="1">IF(P21=1,1,0)</f>
        <v>0</v>
      </c>
      <c r="R21" s="92">
        <f t="shared" ref="R21:R37" si="2">IF(P21&lt;0,1,0)</f>
        <v>1</v>
      </c>
      <c r="T21" s="334" t="s">
        <v>415</v>
      </c>
      <c r="U21" s="339">
        <v>-9.7680000000000006E-3</v>
      </c>
      <c r="V21" s="340">
        <v>0.31619776673045885</v>
      </c>
      <c r="W21" s="116"/>
    </row>
    <row r="22" spans="1:23" x14ac:dyDescent="0.2">
      <c r="A22" s="295"/>
      <c r="B22" s="294"/>
      <c r="C22" s="3" t="s">
        <v>754</v>
      </c>
      <c r="D22" s="101" cm="1">
        <f t="array" ref="D22:N22">tinh_du_lieu_cp(C22)</f>
        <v>41.05</v>
      </c>
      <c r="E22" s="103">
        <v>2228.1999999999998</v>
      </c>
      <c r="F22" s="102">
        <v>-4.8479999999999999E-3</v>
      </c>
      <c r="G22" s="98">
        <v>0.29783865199642012</v>
      </c>
      <c r="H22" s="98">
        <v>1.0195442169258886</v>
      </c>
      <c r="I22" s="98">
        <v>0.36143229835493856</v>
      </c>
      <c r="J22" s="102">
        <v>0.18696883852691223</v>
      </c>
      <c r="K22" s="101">
        <v>35.299999999999997</v>
      </c>
      <c r="L22" s="101">
        <v>41.9</v>
      </c>
      <c r="M22" s="102">
        <v>0.16288951841359775</v>
      </c>
      <c r="N22" s="102">
        <v>-2.0286396181384284E-2</v>
      </c>
      <c r="O22" s="92"/>
      <c r="P22" s="92">
        <f t="shared" si="0"/>
        <v>-1</v>
      </c>
      <c r="Q22" s="92">
        <f t="shared" si="1"/>
        <v>0</v>
      </c>
      <c r="R22" s="92">
        <f t="shared" si="2"/>
        <v>1</v>
      </c>
      <c r="T22" s="334" t="s">
        <v>1233</v>
      </c>
      <c r="U22" s="339">
        <v>-8.6960000000000006E-3</v>
      </c>
      <c r="V22" s="340">
        <v>0.42296524457178236</v>
      </c>
      <c r="W22" s="116"/>
    </row>
    <row r="23" spans="1:23" x14ac:dyDescent="0.2">
      <c r="A23" s="295"/>
      <c r="B23" s="294"/>
      <c r="C23" s="3" t="s">
        <v>1003</v>
      </c>
      <c r="D23" s="101" cm="1">
        <f t="array" ref="D23:N23">tinh_du_lieu_cp(C23)</f>
        <v>21.65</v>
      </c>
      <c r="E23" s="103">
        <v>4986.9895999999999</v>
      </c>
      <c r="F23" s="102">
        <v>0</v>
      </c>
      <c r="G23" s="98">
        <v>0.41543791850490552</v>
      </c>
      <c r="H23" s="98">
        <v>1.0695322376738303</v>
      </c>
      <c r="I23" s="98">
        <v>0.26166356446353939</v>
      </c>
      <c r="J23" s="102">
        <v>0.20949720670391064</v>
      </c>
      <c r="K23" s="101">
        <v>17.899999999999999</v>
      </c>
      <c r="L23" s="101">
        <v>21.65</v>
      </c>
      <c r="M23" s="102">
        <v>0.20949720670391064</v>
      </c>
      <c r="N23" s="102">
        <v>0</v>
      </c>
      <c r="O23" s="92" t="s">
        <v>3044</v>
      </c>
      <c r="P23" s="92">
        <f t="shared" si="0"/>
        <v>0</v>
      </c>
      <c r="Q23" s="92">
        <f t="shared" si="1"/>
        <v>0</v>
      </c>
      <c r="R23" s="92">
        <f t="shared" si="2"/>
        <v>0</v>
      </c>
      <c r="T23" s="334" t="s">
        <v>2366</v>
      </c>
      <c r="U23" s="339">
        <v>-7.7120000000000001E-3</v>
      </c>
      <c r="V23" s="340">
        <v>0.23669289868013349</v>
      </c>
      <c r="W23" s="116"/>
    </row>
    <row r="24" spans="1:23" x14ac:dyDescent="0.2">
      <c r="A24" s="295"/>
      <c r="B24" s="294"/>
      <c r="C24" s="3" t="s">
        <v>1233</v>
      </c>
      <c r="D24" s="101" cm="1">
        <f t="array" ref="D24:N24">tinh_du_lieu_cp(C24)</f>
        <v>22.8</v>
      </c>
      <c r="E24" s="103">
        <v>4639.5</v>
      </c>
      <c r="F24" s="102">
        <v>-8.6960000000000006E-3</v>
      </c>
      <c r="G24" s="98">
        <v>0.42296524457178236</v>
      </c>
      <c r="H24" s="98">
        <v>1.0091542288557211</v>
      </c>
      <c r="I24" s="98">
        <v>0.44243933684165354</v>
      </c>
      <c r="J24" s="102">
        <v>0.3238770685579197</v>
      </c>
      <c r="K24" s="101">
        <v>21.15</v>
      </c>
      <c r="L24" s="101">
        <v>28</v>
      </c>
      <c r="M24" s="102">
        <v>7.8014184397163233E-2</v>
      </c>
      <c r="N24" s="102">
        <v>-0.18571428571428569</v>
      </c>
      <c r="O24" s="92"/>
      <c r="P24" s="92">
        <f t="shared" si="0"/>
        <v>-1</v>
      </c>
      <c r="Q24" s="92">
        <f t="shared" si="1"/>
        <v>0</v>
      </c>
      <c r="R24" s="92">
        <f t="shared" si="2"/>
        <v>1</v>
      </c>
      <c r="T24" s="334" t="s">
        <v>1634</v>
      </c>
      <c r="U24" s="339">
        <v>-6.4939999999999998E-3</v>
      </c>
      <c r="V24" s="340">
        <v>0.53692170634408698</v>
      </c>
      <c r="W24" s="116"/>
    </row>
    <row r="25" spans="1:23" x14ac:dyDescent="0.2">
      <c r="A25" s="295"/>
      <c r="B25" s="294"/>
      <c r="C25" s="3" t="s">
        <v>1615</v>
      </c>
      <c r="D25" s="101" cm="1">
        <f t="array" ref="D25:N25">tinh_du_lieu_cp(C25)</f>
        <v>35.200000000000003</v>
      </c>
      <c r="E25" s="103">
        <v>2449.6999999999998</v>
      </c>
      <c r="F25" s="102">
        <v>-1.9498999999999999E-2</v>
      </c>
      <c r="G25" s="98">
        <v>0.67114567014443227</v>
      </c>
      <c r="H25" s="98">
        <v>0.99429223744292228</v>
      </c>
      <c r="I25" s="98">
        <v>0.84044943820224716</v>
      </c>
      <c r="J25" s="102">
        <v>0.24834437086092728</v>
      </c>
      <c r="K25" s="101">
        <v>30.2</v>
      </c>
      <c r="L25" s="101">
        <v>37.700000000000003</v>
      </c>
      <c r="M25" s="102">
        <v>0.16556291390728489</v>
      </c>
      <c r="N25" s="102">
        <v>-6.6312997347480099E-2</v>
      </c>
      <c r="O25" s="92"/>
      <c r="P25" s="92">
        <f t="shared" si="0"/>
        <v>-1</v>
      </c>
      <c r="Q25" s="92">
        <f t="shared" si="1"/>
        <v>0</v>
      </c>
      <c r="R25" s="92">
        <f t="shared" si="2"/>
        <v>1</v>
      </c>
      <c r="T25" s="334" t="s">
        <v>118</v>
      </c>
      <c r="U25" s="339">
        <v>-5.7689999999999998E-3</v>
      </c>
      <c r="V25" s="340">
        <v>0.33423410466781567</v>
      </c>
      <c r="W25" s="116"/>
    </row>
    <row r="26" spans="1:23" x14ac:dyDescent="0.2">
      <c r="A26" s="295"/>
      <c r="B26" s="294"/>
      <c r="C26" s="3" t="s">
        <v>1634</v>
      </c>
      <c r="D26" s="101" cm="1">
        <f t="array" ref="D26:N26">tinh_du_lieu_cp(C26)</f>
        <v>22.95</v>
      </c>
      <c r="E26" s="103">
        <v>7274.2004999999999</v>
      </c>
      <c r="F26" s="102">
        <v>-6.4939999999999998E-3</v>
      </c>
      <c r="G26" s="98">
        <v>0.53692170634408698</v>
      </c>
      <c r="H26" s="98">
        <v>1.0131674958540631</v>
      </c>
      <c r="I26" s="98">
        <v>0.4657107428597056</v>
      </c>
      <c r="J26" s="102">
        <v>0.19148936170212771</v>
      </c>
      <c r="K26" s="101">
        <v>21.15</v>
      </c>
      <c r="L26" s="101">
        <v>25.2</v>
      </c>
      <c r="M26" s="102">
        <v>8.5106382978723444E-2</v>
      </c>
      <c r="N26" s="102">
        <v>-8.9285714285714288E-2</v>
      </c>
      <c r="O26" s="92"/>
      <c r="P26" s="92">
        <f t="shared" si="0"/>
        <v>-1</v>
      </c>
      <c r="Q26" s="92">
        <f t="shared" si="1"/>
        <v>0</v>
      </c>
      <c r="R26" s="92">
        <f t="shared" si="2"/>
        <v>1</v>
      </c>
      <c r="T26" s="334" t="s">
        <v>123</v>
      </c>
      <c r="U26" s="339">
        <v>-5.359E-3</v>
      </c>
      <c r="V26" s="340">
        <v>0.58603752101786022</v>
      </c>
      <c r="W26" s="116"/>
    </row>
    <row r="27" spans="1:23" x14ac:dyDescent="0.2">
      <c r="A27" s="295"/>
      <c r="B27" s="294"/>
      <c r="C27" s="3" t="s">
        <v>1702</v>
      </c>
      <c r="D27" s="101" cm="1">
        <f t="array" ref="D27:N27">tinh_du_lieu_cp(C27)</f>
        <v>11.3</v>
      </c>
      <c r="E27" s="103">
        <v>3700.4</v>
      </c>
      <c r="F27" s="102">
        <v>-4.4050000000000001E-3</v>
      </c>
      <c r="G27" s="98">
        <v>0.33859185196747332</v>
      </c>
      <c r="H27" s="98">
        <v>1.0003988831272437</v>
      </c>
      <c r="I27" s="98">
        <v>0.25980488024412557</v>
      </c>
      <c r="J27" s="102">
        <v>8.8372093023255743E-2</v>
      </c>
      <c r="K27" s="101">
        <v>10.75</v>
      </c>
      <c r="L27" s="101">
        <v>11.7</v>
      </c>
      <c r="M27" s="102">
        <v>5.1162790697674487E-2</v>
      </c>
      <c r="N27" s="102">
        <v>-3.4188034188034067E-2</v>
      </c>
      <c r="O27" s="92"/>
      <c r="P27" s="92">
        <f t="shared" si="0"/>
        <v>-1</v>
      </c>
      <c r="Q27" s="92">
        <f t="shared" si="1"/>
        <v>0</v>
      </c>
      <c r="R27" s="92">
        <f t="shared" si="2"/>
        <v>1</v>
      </c>
      <c r="T27" s="334" t="s">
        <v>754</v>
      </c>
      <c r="U27" s="339">
        <v>-4.8479999999999999E-3</v>
      </c>
      <c r="V27" s="340">
        <v>0.29783865199642012</v>
      </c>
      <c r="W27" s="116"/>
    </row>
    <row r="28" spans="1:23" x14ac:dyDescent="0.2">
      <c r="A28" s="295"/>
      <c r="B28" s="294"/>
      <c r="C28" s="3" t="s">
        <v>1730</v>
      </c>
      <c r="D28" s="101" cm="1">
        <f t="array" ref="D28:N28">tinh_du_lieu_cp(C28)</f>
        <v>16.899999999999999</v>
      </c>
      <c r="E28" s="103">
        <v>1781.3</v>
      </c>
      <c r="F28" s="102">
        <v>0</v>
      </c>
      <c r="G28" s="98">
        <v>0.49174086752261159</v>
      </c>
      <c r="H28" s="98">
        <v>1.0098218962807755</v>
      </c>
      <c r="I28" s="98">
        <v>0.24459559042287818</v>
      </c>
      <c r="J28" s="102">
        <v>0.16774193548387106</v>
      </c>
      <c r="K28" s="101">
        <v>15.5</v>
      </c>
      <c r="L28" s="101">
        <v>18.100000000000001</v>
      </c>
      <c r="M28" s="102">
        <v>9.0322580645161202E-2</v>
      </c>
      <c r="N28" s="102">
        <v>-6.6298342541436614E-2</v>
      </c>
      <c r="O28" s="92"/>
      <c r="P28" s="92">
        <f t="shared" si="0"/>
        <v>0</v>
      </c>
      <c r="Q28" s="92">
        <f t="shared" si="1"/>
        <v>0</v>
      </c>
      <c r="R28" s="92">
        <f t="shared" si="2"/>
        <v>0</v>
      </c>
      <c r="T28" s="334" t="s">
        <v>1702</v>
      </c>
      <c r="U28" s="339">
        <v>-4.4050000000000001E-3</v>
      </c>
      <c r="V28" s="340">
        <v>0.33859185196747332</v>
      </c>
      <c r="W28" s="116"/>
    </row>
    <row r="29" spans="1:23" x14ac:dyDescent="0.2">
      <c r="A29" s="295"/>
      <c r="B29" s="294"/>
      <c r="C29" s="3" t="s">
        <v>1859</v>
      </c>
      <c r="D29" s="101" cm="1">
        <f t="array" ref="D29:N29">tinh_du_lieu_cp(C29)</f>
        <v>11.25</v>
      </c>
      <c r="E29" s="103">
        <v>1121.2</v>
      </c>
      <c r="F29" s="102">
        <v>4.4640000000000001E-3</v>
      </c>
      <c r="G29" s="98">
        <v>0.18991862150605565</v>
      </c>
      <c r="H29" s="98">
        <v>0.99215686274509818</v>
      </c>
      <c r="I29" s="98">
        <v>0.64402236348318909</v>
      </c>
      <c r="J29" s="102">
        <v>0.12918660287081354</v>
      </c>
      <c r="K29" s="101">
        <v>10.45</v>
      </c>
      <c r="L29" s="101">
        <v>11.8</v>
      </c>
      <c r="M29" s="102">
        <v>7.6555023923445042E-2</v>
      </c>
      <c r="N29" s="102">
        <v>-4.661016949152548E-2</v>
      </c>
      <c r="O29" s="92"/>
      <c r="P29" s="92">
        <f t="shared" si="0"/>
        <v>1</v>
      </c>
      <c r="Q29" s="92">
        <f t="shared" si="1"/>
        <v>1</v>
      </c>
      <c r="R29" s="92">
        <f t="shared" si="2"/>
        <v>0</v>
      </c>
      <c r="T29" s="334" t="s">
        <v>2383</v>
      </c>
      <c r="U29" s="339">
        <v>-2.5740000000000003E-3</v>
      </c>
      <c r="V29" s="340">
        <v>0.20386581934226247</v>
      </c>
      <c r="W29" s="116"/>
    </row>
    <row r="30" spans="1:23" x14ac:dyDescent="0.2">
      <c r="A30" s="295"/>
      <c r="B30" s="294"/>
      <c r="C30" s="3" t="s">
        <v>110</v>
      </c>
      <c r="D30" s="101" cm="1">
        <f t="array" ref="D30:N30">tinh_du_lieu_cp(C30)</f>
        <v>9.9499999999999993</v>
      </c>
      <c r="E30" s="103">
        <v>12728.1001</v>
      </c>
      <c r="F30" s="102">
        <v>3.0240000000000002E-3</v>
      </c>
      <c r="G30" s="98">
        <v>0.69227437928229796</v>
      </c>
      <c r="H30" s="98">
        <v>0.961709973415659</v>
      </c>
      <c r="I30" s="98">
        <v>0.5668122667585922</v>
      </c>
      <c r="J30" s="102">
        <v>0.12399193548387101</v>
      </c>
      <c r="K30" s="101">
        <v>9.92</v>
      </c>
      <c r="L30" s="101">
        <v>11.15</v>
      </c>
      <c r="M30" s="102">
        <v>3.0241935483870325E-3</v>
      </c>
      <c r="N30" s="102">
        <v>-0.10762331838565031</v>
      </c>
      <c r="O30" s="92"/>
      <c r="P30" s="92">
        <f t="shared" si="0"/>
        <v>1</v>
      </c>
      <c r="Q30" s="92">
        <f t="shared" si="1"/>
        <v>1</v>
      </c>
      <c r="R30" s="92">
        <f t="shared" si="2"/>
        <v>0</v>
      </c>
      <c r="T30" s="334" t="s">
        <v>2793</v>
      </c>
      <c r="U30" s="339">
        <v>-2.3809999999999999E-3</v>
      </c>
      <c r="V30" s="340">
        <v>0.54028051912895292</v>
      </c>
      <c r="W30" s="116"/>
    </row>
    <row r="31" spans="1:23" x14ac:dyDescent="0.2">
      <c r="A31" s="295"/>
      <c r="B31" s="294"/>
      <c r="C31" s="3" t="s">
        <v>2366</v>
      </c>
      <c r="D31" s="101" cm="1">
        <f t="array" ref="D31:N31">tinh_du_lieu_cp(C31)</f>
        <v>19.3</v>
      </c>
      <c r="E31" s="103">
        <v>833.8</v>
      </c>
      <c r="F31" s="102">
        <v>-7.7120000000000001E-3</v>
      </c>
      <c r="G31" s="98">
        <v>0.23669289868013349</v>
      </c>
      <c r="H31" s="98">
        <v>1.0098062381852553</v>
      </c>
      <c r="I31" s="98">
        <v>0.42284448877131003</v>
      </c>
      <c r="J31" s="102">
        <v>0.20303030303030312</v>
      </c>
      <c r="K31" s="101">
        <v>16.5</v>
      </c>
      <c r="L31" s="101">
        <v>19.850000000000001</v>
      </c>
      <c r="M31" s="102">
        <v>0.16969696969696973</v>
      </c>
      <c r="N31" s="102">
        <v>-2.7707808564231773E-2</v>
      </c>
      <c r="O31" s="92"/>
      <c r="P31" s="92">
        <f t="shared" si="0"/>
        <v>-1</v>
      </c>
      <c r="Q31" s="92">
        <f t="shared" si="1"/>
        <v>0</v>
      </c>
      <c r="R31" s="92">
        <f t="shared" si="2"/>
        <v>1</v>
      </c>
      <c r="T31" s="334" t="s">
        <v>1730</v>
      </c>
      <c r="U31" s="339">
        <v>0</v>
      </c>
      <c r="V31" s="340">
        <v>0.49174086752261159</v>
      </c>
      <c r="W31" s="116"/>
    </row>
    <row r="32" spans="1:23" x14ac:dyDescent="0.2">
      <c r="A32" s="295"/>
      <c r="B32" s="294"/>
      <c r="C32" s="3" t="s">
        <v>2383</v>
      </c>
      <c r="D32" s="101" cm="1">
        <f t="array" ref="D32:N32">tinh_du_lieu_cp(C32)</f>
        <v>38.75</v>
      </c>
      <c r="E32" s="103">
        <v>1886.3</v>
      </c>
      <c r="F32" s="102">
        <v>-2.5740000000000003E-3</v>
      </c>
      <c r="G32" s="98">
        <v>0.20386581934226247</v>
      </c>
      <c r="H32" s="98">
        <v>1.0086377292852624</v>
      </c>
      <c r="I32" s="98">
        <v>0.21982414534521236</v>
      </c>
      <c r="J32" s="102">
        <v>0.2160493827160494</v>
      </c>
      <c r="K32" s="101">
        <v>32.4</v>
      </c>
      <c r="L32" s="101">
        <v>39.4</v>
      </c>
      <c r="M32" s="102">
        <v>0.19598765432098772</v>
      </c>
      <c r="N32" s="102">
        <v>-1.6497461928933976E-2</v>
      </c>
      <c r="O32" s="92"/>
      <c r="P32" s="92">
        <f t="shared" si="0"/>
        <v>-1</v>
      </c>
      <c r="Q32" s="92">
        <f t="shared" si="1"/>
        <v>0</v>
      </c>
      <c r="R32" s="92">
        <f t="shared" si="2"/>
        <v>1</v>
      </c>
      <c r="T32" s="334" t="s">
        <v>2587</v>
      </c>
      <c r="U32" s="339">
        <v>0</v>
      </c>
      <c r="V32" s="340">
        <v>0.55743428252464799</v>
      </c>
      <c r="W32" s="116"/>
    </row>
    <row r="33" spans="1:23" x14ac:dyDescent="0.2">
      <c r="A33" s="295"/>
      <c r="B33" s="294"/>
      <c r="C33" s="3" t="s">
        <v>111</v>
      </c>
      <c r="D33" s="101" cm="1">
        <f t="array" ref="D33:N33">tinh_du_lieu_cp(C33)</f>
        <v>26.15</v>
      </c>
      <c r="E33" s="103">
        <v>6790.6000999999997</v>
      </c>
      <c r="F33" s="102">
        <v>1.916E-3</v>
      </c>
      <c r="G33" s="98">
        <v>0.35407000054097193</v>
      </c>
      <c r="H33" s="98">
        <v>1.0148089498841677</v>
      </c>
      <c r="I33" s="98">
        <v>0.3534659904905178</v>
      </c>
      <c r="J33" s="102">
        <v>0.13461538461538472</v>
      </c>
      <c r="K33" s="101">
        <v>23.4</v>
      </c>
      <c r="L33" s="101">
        <v>26.55</v>
      </c>
      <c r="M33" s="102">
        <v>0.11752136752136753</v>
      </c>
      <c r="N33" s="102">
        <v>-1.5065913370998196E-2</v>
      </c>
      <c r="O33" s="92"/>
      <c r="P33" s="92">
        <f t="shared" si="0"/>
        <v>1</v>
      </c>
      <c r="Q33" s="92">
        <f t="shared" si="1"/>
        <v>1</v>
      </c>
      <c r="R33" s="92">
        <f t="shared" si="2"/>
        <v>0</v>
      </c>
      <c r="T33" s="334" t="s">
        <v>1003</v>
      </c>
      <c r="U33" s="339">
        <v>0</v>
      </c>
      <c r="V33" s="340">
        <v>0.41543791850490552</v>
      </c>
      <c r="W33" s="116"/>
    </row>
    <row r="34" spans="1:23" x14ac:dyDescent="0.2">
      <c r="A34" s="295"/>
      <c r="B34" s="294"/>
      <c r="C34" s="3" t="s">
        <v>2587</v>
      </c>
      <c r="D34" s="101" cm="1">
        <f t="array" ref="D34:N34">tinh_du_lieu_cp(C34)</f>
        <v>16.2</v>
      </c>
      <c r="E34" s="103">
        <v>8736.4002</v>
      </c>
      <c r="F34" s="102">
        <v>0</v>
      </c>
      <c r="G34" s="98">
        <v>0.55743428252464799</v>
      </c>
      <c r="H34" s="98">
        <v>0.99376017362995128</v>
      </c>
      <c r="I34" s="98">
        <v>0.37865944575993887</v>
      </c>
      <c r="J34" s="102">
        <v>8.2278481012658264E-2</v>
      </c>
      <c r="K34" s="101">
        <v>15.8</v>
      </c>
      <c r="L34" s="101">
        <v>17.100000000000001</v>
      </c>
      <c r="M34" s="102">
        <v>2.5316455696202441E-2</v>
      </c>
      <c r="N34" s="102">
        <v>-5.2631578947368543E-2</v>
      </c>
      <c r="O34" s="92"/>
      <c r="P34" s="92">
        <f t="shared" si="0"/>
        <v>0</v>
      </c>
      <c r="Q34" s="92">
        <f t="shared" si="1"/>
        <v>0</v>
      </c>
      <c r="R34" s="92">
        <f t="shared" si="2"/>
        <v>0</v>
      </c>
      <c r="T34" s="334" t="s">
        <v>111</v>
      </c>
      <c r="U34" s="339">
        <v>1.916E-3</v>
      </c>
      <c r="V34" s="340">
        <v>0.35407000054097193</v>
      </c>
      <c r="W34" s="116"/>
    </row>
    <row r="35" spans="1:23" x14ac:dyDescent="0.2">
      <c r="A35" s="295"/>
      <c r="B35" s="294"/>
      <c r="C35" s="3" t="s">
        <v>123</v>
      </c>
      <c r="D35" s="101" cm="1">
        <f t="array" ref="D35:N35">tinh_du_lieu_cp(C35)</f>
        <v>92.8</v>
      </c>
      <c r="E35" s="103">
        <v>1006</v>
      </c>
      <c r="F35" s="102">
        <v>-5.359E-3</v>
      </c>
      <c r="G35" s="98">
        <v>0.58603752101786022</v>
      </c>
      <c r="H35" s="98">
        <v>1.0072328281834284</v>
      </c>
      <c r="I35" s="98">
        <v>0.48230123851378348</v>
      </c>
      <c r="J35" s="102">
        <v>4.4956140350877132E-2</v>
      </c>
      <c r="K35" s="101">
        <v>91.2</v>
      </c>
      <c r="L35" s="101">
        <v>95.3</v>
      </c>
      <c r="M35" s="102">
        <v>1.7543859649122744E-2</v>
      </c>
      <c r="N35" s="102">
        <v>-2.6232948583420776E-2</v>
      </c>
      <c r="O35" s="92"/>
      <c r="P35" s="92">
        <f t="shared" si="0"/>
        <v>-1</v>
      </c>
      <c r="Q35" s="92">
        <f t="shared" si="1"/>
        <v>0</v>
      </c>
      <c r="R35" s="92">
        <f t="shared" si="2"/>
        <v>1</v>
      </c>
      <c r="T35" s="334" t="s">
        <v>110</v>
      </c>
      <c r="U35" s="339">
        <v>3.0240000000000002E-3</v>
      </c>
      <c r="V35" s="340">
        <v>0.69227437928229796</v>
      </c>
      <c r="W35" s="116"/>
    </row>
    <row r="36" spans="1:23" x14ac:dyDescent="0.2">
      <c r="A36" s="295"/>
      <c r="B36" s="294"/>
      <c r="C36" s="3" t="s">
        <v>2793</v>
      </c>
      <c r="D36" s="101" cm="1">
        <f t="array" ref="D36:N36">tinh_du_lieu_cp(C36)</f>
        <v>20.95</v>
      </c>
      <c r="E36" s="103">
        <v>4790.4003000000002</v>
      </c>
      <c r="F36" s="102">
        <v>-2.3809999999999999E-3</v>
      </c>
      <c r="G36" s="98">
        <v>0.54028051912895292</v>
      </c>
      <c r="H36" s="98">
        <v>1.0109072149753113</v>
      </c>
      <c r="I36" s="98">
        <v>0.43819245726367961</v>
      </c>
      <c r="J36" s="102">
        <v>0.11702127659574464</v>
      </c>
      <c r="K36" s="101">
        <v>18.8</v>
      </c>
      <c r="L36" s="101">
        <v>21</v>
      </c>
      <c r="M36" s="102">
        <v>0.11436170212765949</v>
      </c>
      <c r="N36" s="102">
        <v>-2.380952380952415E-3</v>
      </c>
      <c r="O36" s="92"/>
      <c r="P36" s="92">
        <f t="shared" si="0"/>
        <v>-1</v>
      </c>
      <c r="Q36" s="92">
        <f t="shared" si="1"/>
        <v>0</v>
      </c>
      <c r="R36" s="92">
        <f t="shared" si="2"/>
        <v>1</v>
      </c>
      <c r="T36" s="334" t="s">
        <v>1859</v>
      </c>
      <c r="U36" s="339">
        <v>4.4640000000000001E-3</v>
      </c>
      <c r="V36" s="340">
        <v>0.18991862150605565</v>
      </c>
      <c r="W36" s="116"/>
    </row>
    <row r="37" spans="1:23" x14ac:dyDescent="0.2">
      <c r="A37" s="295"/>
      <c r="B37" s="294"/>
      <c r="C37" s="3" t="s">
        <v>2877</v>
      </c>
      <c r="D37" s="101" cm="1">
        <f t="array" ref="D37:N37">tinh_du_lieu_cp(C37)</f>
        <v>19</v>
      </c>
      <c r="E37" s="103">
        <v>5884.4000999999998</v>
      </c>
      <c r="F37" s="102">
        <v>-1.0417000000000001E-2</v>
      </c>
      <c r="G37" s="98">
        <v>0.35727883405183802</v>
      </c>
      <c r="H37" s="98">
        <v>1.0091422211622545</v>
      </c>
      <c r="I37" s="98">
        <v>0.58757724975897518</v>
      </c>
      <c r="J37" s="102">
        <v>7.7134986225895444E-2</v>
      </c>
      <c r="K37" s="101">
        <v>18.149999999999999</v>
      </c>
      <c r="L37" s="101">
        <v>19.55</v>
      </c>
      <c r="M37" s="102">
        <v>4.6831955922865098E-2</v>
      </c>
      <c r="N37" s="102">
        <v>-2.8132992327365765E-2</v>
      </c>
      <c r="O37" s="92"/>
      <c r="P37" s="92">
        <f t="shared" si="0"/>
        <v>-1</v>
      </c>
      <c r="Q37" s="92">
        <f t="shared" si="1"/>
        <v>0</v>
      </c>
      <c r="R37" s="92">
        <f t="shared" si="2"/>
        <v>1</v>
      </c>
      <c r="T37" s="334" t="s">
        <v>3051</v>
      </c>
      <c r="U37" s="339">
        <v>-7.8517999999999977E-2</v>
      </c>
      <c r="V37" s="340">
        <v>7.5429266585250083</v>
      </c>
      <c r="W37" s="116"/>
    </row>
    <row r="38" spans="1:23" x14ac:dyDescent="0.2">
      <c r="A38"/>
      <c r="B38"/>
      <c r="C38"/>
      <c r="D38"/>
      <c r="E38"/>
      <c r="F38" s="115"/>
      <c r="G38"/>
      <c r="H38"/>
      <c r="I38"/>
      <c r="J38"/>
      <c r="K38"/>
      <c r="L38"/>
      <c r="M38"/>
      <c r="N38"/>
      <c r="O38"/>
      <c r="P38"/>
      <c r="Q38"/>
      <c r="R38"/>
    </row>
    <row r="39" spans="1:2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2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2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2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23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23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3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3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3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3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</sheetData>
  <mergeCells count="18">
    <mergeCell ref="F14:G14"/>
    <mergeCell ref="O18:O19"/>
    <mergeCell ref="K18:K19"/>
    <mergeCell ref="L18:L19"/>
    <mergeCell ref="J18:J19"/>
    <mergeCell ref="M18:M19"/>
    <mergeCell ref="B20:B37"/>
    <mergeCell ref="A20:A37"/>
    <mergeCell ref="N18:N19"/>
    <mergeCell ref="I18:I19"/>
    <mergeCell ref="A18:A19"/>
    <mergeCell ref="B18:B19"/>
    <mergeCell ref="C18:C19"/>
    <mergeCell ref="D18:D19"/>
    <mergeCell ref="E18:E19"/>
    <mergeCell ref="F18:F19"/>
    <mergeCell ref="G18:G19"/>
    <mergeCell ref="H18:H19"/>
  </mergeCells>
  <conditionalFormatting sqref="A15:G17 A14:F14">
    <cfRule type="expression" dxfId="1332" priority="251" stopIfTrue="1">
      <formula>A14="giảm"</formula>
    </cfRule>
    <cfRule type="expression" dxfId="1331" priority="252" stopIfTrue="1">
      <formula>A14="tăng"</formula>
    </cfRule>
  </conditionalFormatting>
  <conditionalFormatting sqref="G20:I37">
    <cfRule type="expression" dxfId="1330" priority="158" stopIfTrue="1">
      <formula>G20&lt;0</formula>
    </cfRule>
    <cfRule type="expression" dxfId="1329" priority="159" stopIfTrue="1">
      <formula>G20=1</formula>
    </cfRule>
    <cfRule type="expression" dxfId="1328" priority="160" stopIfTrue="1">
      <formula>AND(G20&lt;1,G20&gt;0)</formula>
    </cfRule>
    <cfRule type="expression" dxfId="1327" priority="161" stopIfTrue="1">
      <formula>AND(G20&lt;2,G20&gt;1)</formula>
    </cfRule>
    <cfRule type="expression" dxfId="1326" priority="162" stopIfTrue="1">
      <formula>G20&gt;=2</formula>
    </cfRule>
  </conditionalFormatting>
  <conditionalFormatting sqref="F20:F37">
    <cfRule type="expression" dxfId="1325" priority="120" stopIfTrue="1">
      <formula>F20&gt;=6.9%</formula>
    </cfRule>
    <cfRule type="expression" dxfId="1324" priority="121" stopIfTrue="1">
      <formula>AND(F20&gt;0%,F20&lt;6.9%)</formula>
    </cfRule>
    <cfRule type="expression" dxfId="1323" priority="122" stopIfTrue="1">
      <formula>F20=0%</formula>
    </cfRule>
    <cfRule type="expression" dxfId="1322" priority="123" stopIfTrue="1">
      <formula>AND(F20&gt;-6.9%, F20&lt;0%)</formula>
    </cfRule>
    <cfRule type="expression" dxfId="1321" priority="124" stopIfTrue="1">
      <formula>F20&lt;=-6.9%</formula>
    </cfRule>
  </conditionalFormatting>
  <conditionalFormatting sqref="D20:D37">
    <cfRule type="expression" dxfId="1320" priority="115" stopIfTrue="1">
      <formula>F20&gt;=6.9%</formula>
    </cfRule>
    <cfRule type="expression" dxfId="1319" priority="116" stopIfTrue="1">
      <formula>AND(F20&gt;0%,F20&lt;6.9%)</formula>
    </cfRule>
    <cfRule type="expression" dxfId="1318" priority="117" stopIfTrue="1">
      <formula>F20=0%</formula>
    </cfRule>
    <cfRule type="expression" dxfId="1317" priority="118" stopIfTrue="1">
      <formula>AND(F20&gt;-6.9%, F20&lt;0%)</formula>
    </cfRule>
    <cfRule type="expression" dxfId="1316" priority="119" stopIfTrue="1">
      <formula>F20&lt;=-6.9%</formula>
    </cfRule>
  </conditionalFormatting>
  <conditionalFormatting sqref="C20:C37">
    <cfRule type="expression" dxfId="1315" priority="110" stopIfTrue="1">
      <formula>F20&gt;=6.9%</formula>
    </cfRule>
    <cfRule type="expression" dxfId="1314" priority="111" stopIfTrue="1">
      <formula>AND(F20&gt;0%,F20&lt;6.9%)</formula>
    </cfRule>
    <cfRule type="expression" dxfId="1313" priority="112" stopIfTrue="1">
      <formula>F20=0%</formula>
    </cfRule>
    <cfRule type="expression" dxfId="1312" priority="113" stopIfTrue="1">
      <formula>AND(F20&gt;-6.9%, F20&lt;0%)</formula>
    </cfRule>
    <cfRule type="expression" dxfId="1311" priority="114" stopIfTrue="1">
      <formula>F20&lt;=-6.9%</formula>
    </cfRule>
  </conditionalFormatting>
  <conditionalFormatting sqref="E20:E37">
    <cfRule type="expression" dxfId="1310" priority="105" stopIfTrue="1">
      <formula>E20&gt;20000</formula>
    </cfRule>
    <cfRule type="expression" dxfId="1309" priority="106" stopIfTrue="1">
      <formula>AND(E20&gt;10000,E20&lt;=20000)</formula>
    </cfRule>
    <cfRule type="expression" dxfId="1308" priority="107" stopIfTrue="1">
      <formula>AND(E20&gt;1000,E20&lt;=10000)</formula>
    </cfRule>
    <cfRule type="expression" dxfId="1307" priority="108" stopIfTrue="1">
      <formula>AND(E20&gt;200,E20&lt;=1000)</formula>
    </cfRule>
    <cfRule type="expression" dxfId="1306" priority="109" stopIfTrue="1">
      <formula>E20&lt;=200</formula>
    </cfRule>
  </conditionalFormatting>
  <conditionalFormatting sqref="C3:C7">
    <cfRule type="expression" dxfId="1305" priority="10" stopIfTrue="1">
      <formula>H3="giảm"</formula>
    </cfRule>
    <cfRule type="expression" dxfId="1304" priority="11" stopIfTrue="1">
      <formula>H3="tăng"</formula>
    </cfRule>
  </conditionalFormatting>
  <conditionalFormatting sqref="H3:H7">
    <cfRule type="expression" dxfId="1303" priority="8" stopIfTrue="1">
      <formula>H3="giảm"</formula>
    </cfRule>
    <cfRule type="expression" dxfId="1302" priority="9" stopIfTrue="1">
      <formula>H3="tăng"</formula>
    </cfRule>
  </conditionalFormatting>
  <conditionalFormatting sqref="B3:B7">
    <cfRule type="expression" dxfId="1301" priority="12" stopIfTrue="1">
      <formula>H3="giảm"</formula>
    </cfRule>
    <cfRule type="expression" dxfId="1300" priority="13" stopIfTrue="1">
      <formula>H3="tăng"</formula>
    </cfRule>
  </conditionalFormatting>
  <conditionalFormatting sqref="D3:D7">
    <cfRule type="expression" dxfId="1299" priority="14" stopIfTrue="1">
      <formula>H3="giảm"</formula>
    </cfRule>
    <cfRule type="expression" dxfId="1298" priority="15" stopIfTrue="1">
      <formula>H3="tăng"</formula>
    </cfRule>
  </conditionalFormatting>
  <conditionalFormatting sqref="A3:A7">
    <cfRule type="expression" dxfId="1297" priority="16" stopIfTrue="1">
      <formula>H3="giảm"</formula>
    </cfRule>
    <cfRule type="expression" dxfId="1296" priority="17" stopIfTrue="1">
      <formula>H3="tăng"</formula>
    </cfRule>
  </conditionalFormatting>
  <conditionalFormatting sqref="G3:G7">
    <cfRule type="expression" dxfId="1295" priority="5" stopIfTrue="1">
      <formula>G3=0</formula>
    </cfRule>
    <cfRule type="expression" dxfId="1294" priority="6" stopIfTrue="1">
      <formula>G3&lt;0</formula>
    </cfRule>
    <cfRule type="expression" dxfId="1293" priority="7" stopIfTrue="1">
      <formula>G3&gt;0</formula>
    </cfRule>
  </conditionalFormatting>
  <conditionalFormatting sqref="E3:E7">
    <cfRule type="expression" dxfId="1292" priority="3" stopIfTrue="1">
      <formula>H3="tăng"</formula>
    </cfRule>
    <cfRule type="expression" dxfId="1291" priority="4" stopIfTrue="1">
      <formula>H3="giảm"</formula>
    </cfRule>
  </conditionalFormatting>
  <conditionalFormatting sqref="F3:F7">
    <cfRule type="expression" dxfId="1290" priority="1" stopIfTrue="1">
      <formula>H3="tăng"</formula>
    </cfRule>
    <cfRule type="expression" dxfId="1289" priority="2" stopIfTrue="1">
      <formula>H3="giảm"</formula>
    </cfRule>
  </conditionalFormatting>
  <conditionalFormatting sqref="M20:M37">
    <cfRule type="colorScale" priority="16343">
      <colorScale>
        <cfvo type="min"/>
        <cfvo type="max"/>
        <color theme="0" tint="-4.9989318521683403E-2"/>
        <color rgb="FF00B050"/>
      </colorScale>
    </cfRule>
  </conditionalFormatting>
  <conditionalFormatting sqref="N20:N37">
    <cfRule type="colorScale" priority="16344">
      <colorScale>
        <cfvo type="min"/>
        <cfvo type="max"/>
        <color rgb="FFFF7C80"/>
        <color theme="0" tint="-4.9989318521683403E-2"/>
      </colorScale>
    </cfRule>
  </conditionalFormatting>
  <conditionalFormatting sqref="J20:J37">
    <cfRule type="colorScale" priority="16345">
      <colorScale>
        <cfvo type="min"/>
        <cfvo type="max"/>
        <color theme="0" tint="-4.9989318521683403E-2"/>
        <color rgb="FF00B050"/>
      </colorScale>
    </cfRule>
  </conditionalFormatting>
  <pageMargins left="0.7" right="0.7" top="0.75" bottom="0.75" header="0.3" footer="0.3"/>
  <pageSetup paperSize="9" scale="3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75D50-35C0-4763-BAF0-48C693102BE2}">
          <x14:formula1>
            <xm:f>'Nơi chứ dữ liệu'!$I$2:$N$2</xm:f>
          </x14:formula1>
          <xm:sqref>O20:O37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3013-BBD4-4958-868A-DF4AC1D22C6F}">
  <sheetPr codeName="Sheet13">
    <tabColor rgb="FF008000"/>
  </sheetPr>
  <dimension ref="A1:X36"/>
  <sheetViews>
    <sheetView topLeftCell="B1" zoomScaleNormal="100" workbookViewId="0">
      <selection activeCell="G45" sqref="G45"/>
    </sheetView>
  </sheetViews>
  <sheetFormatPr defaultRowHeight="15" x14ac:dyDescent="0.2"/>
  <cols>
    <col min="1" max="1" width="8" customWidth="1"/>
    <col min="2" max="2" width="9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4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3" spans="1:11" ht="17.25" customHeight="1" x14ac:dyDescent="0.2"/>
    <row r="14" spans="1:11" ht="15.75" x14ac:dyDescent="0.2">
      <c r="A14" s="184" t="str">
        <f>"Tổng điểm nhóm Chứng Khoán hôm nay"&amp;" "&amp;SUM($P$20:P36)&amp;" "&amp;"trên tổng"&amp;" "&amp;$P$19</f>
        <v>Tổng điểm nhóm Chứng Khoán hôm nay -15 trên tổng 16</v>
      </c>
      <c r="B14" s="184"/>
      <c r="C14" s="184"/>
      <c r="D14" s="184"/>
      <c r="E14" s="184"/>
      <c r="F14" s="184" t="s">
        <v>3098</v>
      </c>
      <c r="G14" s="185"/>
    </row>
    <row r="15" spans="1:11" ht="15.75" x14ac:dyDescent="0.2">
      <c r="A15" s="184" t="str">
        <f>"Tổng điểm tăng nhóm Chứng Khoán hôm nay"&amp;" "&amp;$Q$19</f>
        <v>Tổng điểm tăng nhóm Chứng Khoán hôm nay 0</v>
      </c>
      <c r="B15" s="184"/>
      <c r="C15" s="184"/>
      <c r="D15" s="184"/>
      <c r="E15" s="184"/>
      <c r="F15" s="184" t="s">
        <v>3099</v>
      </c>
      <c r="G15" s="185" t="s">
        <v>3092</v>
      </c>
    </row>
    <row r="16" spans="1:11" ht="15.75" x14ac:dyDescent="0.2">
      <c r="A16" s="184" t="str">
        <f>"Tổng điểm giảm nhóm Chứng Khoán hôm nay"&amp;" "&amp;$R$19</f>
        <v>Tổng điểm giảm nhóm Chứng Khoán hôm nay 15</v>
      </c>
      <c r="B16" s="184"/>
      <c r="C16" s="184"/>
      <c r="D16" s="184"/>
      <c r="E16" s="184"/>
      <c r="F16" s="202">
        <f>AVERAGE(F20:F36)</f>
        <v>-1.4342588235294117E-2</v>
      </c>
      <c r="G16" s="201">
        <f>AVERAGE(G20:G36)</f>
        <v>0.70612821508110235</v>
      </c>
    </row>
    <row r="17" spans="1:24" ht="15.75" x14ac:dyDescent="0.2">
      <c r="A17" s="184" t="str">
        <f>"Tổng điểm tham chiếu nhóm Chứng Khoán hôm nay"&amp;" "&amp;(P19-(Q19+R19))</f>
        <v>Tổng điểm tham chiếu nhóm Chứng Khoán hôm nay 1</v>
      </c>
      <c r="B17" s="184"/>
      <c r="C17" s="184"/>
      <c r="D17" s="184"/>
      <c r="E17" s="184"/>
      <c r="F17" s="184"/>
      <c r="G17" s="186"/>
    </row>
    <row r="18" spans="1:24" s="100" customFormat="1" ht="15.75" x14ac:dyDescent="0.25">
      <c r="A18" s="297" t="s">
        <v>127</v>
      </c>
      <c r="B18" s="297" t="s">
        <v>128</v>
      </c>
      <c r="C18" s="297" t="s">
        <v>16</v>
      </c>
      <c r="D18" s="297" t="s">
        <v>3031</v>
      </c>
      <c r="E18" s="297" t="s">
        <v>3032</v>
      </c>
      <c r="F18" s="301" t="s">
        <v>3033</v>
      </c>
      <c r="G18" s="300" t="s">
        <v>3034</v>
      </c>
      <c r="H18" s="296" t="s">
        <v>3046</v>
      </c>
      <c r="I18" s="296" t="s">
        <v>3035</v>
      </c>
      <c r="J18" s="296" t="s">
        <v>3036</v>
      </c>
      <c r="K18" s="296" t="s">
        <v>3038</v>
      </c>
      <c r="L18" s="296" t="s">
        <v>3037</v>
      </c>
      <c r="M18" s="296" t="s">
        <v>3039</v>
      </c>
      <c r="N18" s="296" t="s">
        <v>3045</v>
      </c>
      <c r="O18" s="296" t="s">
        <v>3040</v>
      </c>
      <c r="P18" s="198" t="s">
        <v>3041</v>
      </c>
      <c r="Q18" s="158" t="s">
        <v>3054</v>
      </c>
      <c r="R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297"/>
      <c r="C19" s="297"/>
      <c r="D19" s="297"/>
      <c r="E19" s="297"/>
      <c r="F19" s="297"/>
      <c r="G19" s="297"/>
      <c r="H19" s="297"/>
      <c r="I19" s="297"/>
      <c r="J19" s="297"/>
      <c r="K19" s="297"/>
      <c r="L19" s="296"/>
      <c r="M19" s="296"/>
      <c r="N19" s="296"/>
      <c r="O19" s="296"/>
      <c r="P19" s="158">
        <f>COUNT(P20:P36)</f>
        <v>16</v>
      </c>
      <c r="Q19" s="158">
        <f>SUM(Q20:Q36)</f>
        <v>0</v>
      </c>
      <c r="R19" s="158">
        <f>SUM(R20:R36)</f>
        <v>15</v>
      </c>
      <c r="T19" s="169" t="s">
        <v>2811</v>
      </c>
      <c r="U19" s="170">
        <v>-4.2373000000000001E-2</v>
      </c>
      <c r="V19" s="341">
        <v>1.6566633179061374</v>
      </c>
      <c r="X19"/>
    </row>
    <row r="20" spans="1:24" ht="15.75" customHeight="1" x14ac:dyDescent="0.2">
      <c r="A20" s="295" t="s">
        <v>3072</v>
      </c>
      <c r="B20" s="302" t="s">
        <v>143</v>
      </c>
      <c r="C20" s="3" t="s">
        <v>243</v>
      </c>
      <c r="D20" s="101">
        <f t="array" ref="D20:N20">tinh_du_lieu_cp(C20)</f>
        <v>18</v>
      </c>
      <c r="E20" s="103">
        <v>797.6</v>
      </c>
      <c r="F20" s="102">
        <v>-1.3698999999999999E-2</v>
      </c>
      <c r="G20" s="98">
        <v>0.98794013985384033</v>
      </c>
      <c r="H20" s="98">
        <v>1.0462312889124388</v>
      </c>
      <c r="I20" s="98">
        <v>0.5186967548936724</v>
      </c>
      <c r="J20" s="93">
        <v>0.140625</v>
      </c>
      <c r="K20" s="101">
        <v>16</v>
      </c>
      <c r="L20" s="101">
        <v>18.25</v>
      </c>
      <c r="M20" s="93">
        <v>0.125</v>
      </c>
      <c r="N20" s="93">
        <v>-1.3698630136986301E-2</v>
      </c>
      <c r="O20" s="92"/>
      <c r="P20" s="92">
        <f>IF(F20&gt;0,1,IF(F20=0,0,-1))</f>
        <v>-1</v>
      </c>
      <c r="Q20" s="92">
        <f>IF(P20=1,1,0)</f>
        <v>0</v>
      </c>
      <c r="R20" s="92">
        <f>IF(P20&lt;0,1,0)</f>
        <v>1</v>
      </c>
      <c r="T20" s="169" t="s">
        <v>3065</v>
      </c>
      <c r="U20" s="170">
        <v>-3.9782999999999999E-2</v>
      </c>
      <c r="V20" s="341">
        <v>0.45967204482438023</v>
      </c>
    </row>
    <row r="21" spans="1:24" ht="15.75" customHeight="1" x14ac:dyDescent="0.2">
      <c r="A21" s="295"/>
      <c r="B21" s="303"/>
      <c r="C21" s="3" t="s">
        <v>279</v>
      </c>
      <c r="D21" s="101" cm="1">
        <f t="array" ref="D21:N21">tinh_du_lieu_cp(C21)</f>
        <v>8.99</v>
      </c>
      <c r="E21" s="103">
        <v>127.2</v>
      </c>
      <c r="F21" s="102">
        <v>-1.2088000000000002E-2</v>
      </c>
      <c r="G21" s="98">
        <v>0.25542401810896415</v>
      </c>
      <c r="H21" s="98">
        <v>1.0512591032727914</v>
      </c>
      <c r="I21" s="98">
        <v>0.51459780190142268</v>
      </c>
      <c r="J21" s="93">
        <v>0.57094017094017091</v>
      </c>
      <c r="K21" s="101">
        <v>5.85</v>
      </c>
      <c r="L21" s="101">
        <v>9.19</v>
      </c>
      <c r="M21" s="93">
        <v>0.53675213675213684</v>
      </c>
      <c r="N21" s="93">
        <v>-2.1762785636561404E-2</v>
      </c>
      <c r="O21" s="92"/>
      <c r="P21" s="92">
        <f t="shared" ref="P21:P33" si="0">IF(F21&gt;0,1,IF(F21=0,0,-1))</f>
        <v>-1</v>
      </c>
      <c r="Q21" s="92">
        <f t="shared" ref="Q21:Q36" si="1">IF(P21=1,1,0)</f>
        <v>0</v>
      </c>
      <c r="R21" s="92">
        <f t="shared" ref="R21:R36" si="2">IF(P21&lt;0,1,0)</f>
        <v>1</v>
      </c>
      <c r="T21" s="169" t="s">
        <v>1875</v>
      </c>
      <c r="U21" s="170">
        <v>-2.3973000000000001E-2</v>
      </c>
      <c r="V21" s="341">
        <v>1.1600597685828233</v>
      </c>
    </row>
    <row r="22" spans="1:24" ht="15.75" customHeight="1" x14ac:dyDescent="0.2">
      <c r="A22" s="295"/>
      <c r="B22" s="303"/>
      <c r="C22" s="3" t="s">
        <v>535</v>
      </c>
      <c r="D22" s="101" cm="1">
        <f t="array" ref="D22:N22">tinh_du_lieu_cp(C22)</f>
        <v>39.1</v>
      </c>
      <c r="E22" s="103">
        <v>706.8</v>
      </c>
      <c r="F22" s="102">
        <v>-1.7587999999999999E-2</v>
      </c>
      <c r="G22" s="98">
        <v>1.1022877773840316</v>
      </c>
      <c r="H22" s="98">
        <v>1.0707842645953396</v>
      </c>
      <c r="I22" s="98">
        <v>0.55646467004392752</v>
      </c>
      <c r="J22" s="93">
        <v>0.18805970149253723</v>
      </c>
      <c r="K22" s="101">
        <v>33.5</v>
      </c>
      <c r="L22" s="101">
        <v>39.799999999999997</v>
      </c>
      <c r="M22" s="93">
        <v>0.16716417910447764</v>
      </c>
      <c r="N22" s="93">
        <v>-1.7587939698492358E-2</v>
      </c>
      <c r="O22" s="92"/>
      <c r="P22" s="92"/>
      <c r="Q22" s="92"/>
      <c r="R22" s="92"/>
      <c r="T22" s="169" t="s">
        <v>535</v>
      </c>
      <c r="U22" s="170">
        <v>-1.7587999999999999E-2</v>
      </c>
      <c r="V22" s="341">
        <v>1.1022877773840316</v>
      </c>
    </row>
    <row r="23" spans="1:24" ht="15.75" customHeight="1" x14ac:dyDescent="0.2">
      <c r="A23" s="295"/>
      <c r="B23" s="303"/>
      <c r="C23" s="3" t="s">
        <v>484</v>
      </c>
      <c r="D23" s="101" cm="1">
        <f t="array" ref="D23:N23">tinh_du_lieu_cp(C23)</f>
        <v>55</v>
      </c>
      <c r="E23" s="103">
        <v>777.8</v>
      </c>
      <c r="F23" s="102">
        <v>-7.2199999999999999E-3</v>
      </c>
      <c r="G23" s="98">
        <v>1.2876417515106366</v>
      </c>
      <c r="H23" s="98">
        <v>1.1110901724300384</v>
      </c>
      <c r="I23" s="98">
        <v>0.61645355595477125</v>
      </c>
      <c r="J23" s="93">
        <v>0.28687572590011617</v>
      </c>
      <c r="K23" s="101">
        <v>43.05</v>
      </c>
      <c r="L23" s="101">
        <v>55.4</v>
      </c>
      <c r="M23" s="93">
        <v>0.27758420441347281</v>
      </c>
      <c r="N23" s="93">
        <v>-7.2202166064981692E-3</v>
      </c>
      <c r="O23" s="92"/>
      <c r="P23" s="92">
        <f t="shared" si="0"/>
        <v>-1</v>
      </c>
      <c r="Q23" s="92">
        <f t="shared" si="1"/>
        <v>0</v>
      </c>
      <c r="R23" s="92">
        <f t="shared" si="2"/>
        <v>1</v>
      </c>
      <c r="T23" s="169" t="s">
        <v>2661</v>
      </c>
      <c r="U23" s="170">
        <v>-1.4924999999999999E-2</v>
      </c>
      <c r="V23" s="341">
        <v>0.19281868644008848</v>
      </c>
    </row>
    <row r="24" spans="1:24" ht="15.75" customHeight="1" x14ac:dyDescent="0.2">
      <c r="A24" s="295"/>
      <c r="B24" s="303"/>
      <c r="C24" s="3" t="s">
        <v>763</v>
      </c>
      <c r="D24" s="101" cm="1">
        <f t="array" ref="D24:N24">tinh_du_lieu_cp(C24)</f>
        <v>38.799999999999997</v>
      </c>
      <c r="E24" s="103">
        <v>951.2</v>
      </c>
      <c r="F24" s="102">
        <v>-7.6730000000000001E-3</v>
      </c>
      <c r="G24" s="98">
        <v>0.87645070634897371</v>
      </c>
      <c r="H24" s="98">
        <v>1.073335450407537</v>
      </c>
      <c r="I24" s="98">
        <v>0.45191226542085672</v>
      </c>
      <c r="J24" s="93">
        <v>0.20122887864823363</v>
      </c>
      <c r="K24" s="101">
        <v>32.549999999999997</v>
      </c>
      <c r="L24" s="101">
        <v>39.1</v>
      </c>
      <c r="M24" s="93">
        <v>0.19201228878648235</v>
      </c>
      <c r="N24" s="93">
        <v>-7.6726342710998529E-3</v>
      </c>
      <c r="O24" s="92"/>
      <c r="P24" s="92">
        <f t="shared" si="0"/>
        <v>-1</v>
      </c>
      <c r="Q24" s="92">
        <f t="shared" si="1"/>
        <v>0</v>
      </c>
      <c r="R24" s="92">
        <f t="shared" si="2"/>
        <v>1</v>
      </c>
      <c r="T24" s="169" t="s">
        <v>119</v>
      </c>
      <c r="U24" s="170">
        <v>-1.4598999999999999E-2</v>
      </c>
      <c r="V24" s="341">
        <v>0.45693439738941538</v>
      </c>
    </row>
    <row r="25" spans="1:24" ht="15.75" customHeight="1" x14ac:dyDescent="0.2">
      <c r="A25" s="295"/>
      <c r="B25" s="303"/>
      <c r="C25" s="3" t="s">
        <v>3065</v>
      </c>
      <c r="D25" s="101" cm="1">
        <f t="array" ref="D25:N25">tinh_du_lieu_cp(C25)</f>
        <v>26.55</v>
      </c>
      <c r="E25" s="103">
        <v>507.9</v>
      </c>
      <c r="F25" s="102">
        <v>-3.9782999999999999E-2</v>
      </c>
      <c r="G25" s="98">
        <v>0.45967204482438023</v>
      </c>
      <c r="H25" s="98">
        <v>1.0491404095523091</v>
      </c>
      <c r="I25" s="98">
        <v>0.20373453137848732</v>
      </c>
      <c r="J25" s="93">
        <v>0.14730290456431522</v>
      </c>
      <c r="K25" s="101">
        <v>24.1</v>
      </c>
      <c r="L25" s="101">
        <v>27.65</v>
      </c>
      <c r="M25" s="93">
        <v>0.10165975103734436</v>
      </c>
      <c r="N25" s="93">
        <v>-3.9783001808318189E-2</v>
      </c>
      <c r="O25" s="92"/>
      <c r="P25" s="92">
        <f t="shared" si="0"/>
        <v>-1</v>
      </c>
      <c r="Q25" s="92">
        <f t="shared" si="1"/>
        <v>0</v>
      </c>
      <c r="R25" s="92">
        <f t="shared" si="2"/>
        <v>1</v>
      </c>
      <c r="T25" s="169" t="s">
        <v>243</v>
      </c>
      <c r="U25" s="170">
        <v>-1.3698999999999999E-2</v>
      </c>
      <c r="V25" s="341">
        <v>0.98794013985384033</v>
      </c>
    </row>
    <row r="26" spans="1:24" ht="15.75" customHeight="1" x14ac:dyDescent="0.2">
      <c r="A26" s="295"/>
      <c r="B26" s="303"/>
      <c r="C26" s="3" t="s">
        <v>1079</v>
      </c>
      <c r="D26" s="101" cm="1">
        <f t="array" ref="D26:N26">tinh_du_lieu_cp(C26)</f>
        <v>49.6</v>
      </c>
      <c r="E26" s="103">
        <v>2073.1</v>
      </c>
      <c r="F26" s="102">
        <v>0</v>
      </c>
      <c r="G26" s="98">
        <v>0.84678696553862487</v>
      </c>
      <c r="H26" s="98">
        <v>1.1019973461833927</v>
      </c>
      <c r="I26" s="98">
        <v>0.49202349637072046</v>
      </c>
      <c r="J26" s="93">
        <v>0.2556962025316456</v>
      </c>
      <c r="K26" s="101">
        <v>39.5</v>
      </c>
      <c r="L26" s="101">
        <v>49.6</v>
      </c>
      <c r="M26" s="93">
        <v>0.2556962025316456</v>
      </c>
      <c r="N26" s="93">
        <v>0</v>
      </c>
      <c r="O26" s="92"/>
      <c r="P26" s="92">
        <f t="shared" si="0"/>
        <v>0</v>
      </c>
      <c r="Q26" s="92">
        <f t="shared" si="1"/>
        <v>0</v>
      </c>
      <c r="R26" s="92">
        <f t="shared" si="2"/>
        <v>0</v>
      </c>
      <c r="T26" s="169" t="s">
        <v>279</v>
      </c>
      <c r="U26" s="170">
        <v>-1.2088000000000002E-2</v>
      </c>
      <c r="V26" s="341">
        <v>0.25542401810896415</v>
      </c>
    </row>
    <row r="27" spans="1:24" ht="15.75" customHeight="1" x14ac:dyDescent="0.2">
      <c r="A27" s="295"/>
      <c r="B27" s="303"/>
      <c r="C27" s="3" t="s">
        <v>1223</v>
      </c>
      <c r="D27" s="101" cm="1">
        <f t="array" ref="D27:N27">tinh_du_lieu_cp(C27)</f>
        <v>31.2</v>
      </c>
      <c r="E27" s="103">
        <v>5387.9</v>
      </c>
      <c r="F27" s="102">
        <v>-9.5239999999999995E-3</v>
      </c>
      <c r="G27" s="98">
        <v>0.55079252009354762</v>
      </c>
      <c r="H27" s="98">
        <v>1.0478580481622308</v>
      </c>
      <c r="I27" s="98">
        <v>0.42158841940532082</v>
      </c>
      <c r="J27" s="93">
        <v>0.16420664206642063</v>
      </c>
      <c r="K27" s="101">
        <v>27.1</v>
      </c>
      <c r="L27" s="101">
        <v>31.55</v>
      </c>
      <c r="M27" s="93">
        <v>0.15129151291512907</v>
      </c>
      <c r="N27" s="93">
        <v>-1.1093502377179126E-2</v>
      </c>
      <c r="O27" s="92"/>
      <c r="P27" s="92">
        <f t="shared" si="0"/>
        <v>-1</v>
      </c>
      <c r="Q27" s="92">
        <f t="shared" si="1"/>
        <v>0</v>
      </c>
      <c r="R27" s="92">
        <f t="shared" si="2"/>
        <v>1</v>
      </c>
      <c r="T27" s="169" t="s">
        <v>106</v>
      </c>
      <c r="U27" s="170">
        <v>-1.1278E-2</v>
      </c>
      <c r="V27" s="341">
        <v>0.56023611408475327</v>
      </c>
    </row>
    <row r="28" spans="1:24" ht="15.75" customHeight="1" x14ac:dyDescent="0.2">
      <c r="A28" s="295"/>
      <c r="B28" s="303"/>
      <c r="C28" s="3" t="s">
        <v>1875</v>
      </c>
      <c r="D28" s="101" cm="1">
        <f t="array" ref="D28:N28">tinh_du_lieu_cp(C28)</f>
        <v>14.25</v>
      </c>
      <c r="E28" s="103">
        <v>12326.6</v>
      </c>
      <c r="F28" s="102">
        <v>-2.3973000000000001E-2</v>
      </c>
      <c r="G28" s="98">
        <v>1.1600597685828233</v>
      </c>
      <c r="H28" s="98">
        <v>1.0311274135208113</v>
      </c>
      <c r="I28" s="98">
        <v>0.7218979498612027</v>
      </c>
      <c r="J28" s="93">
        <v>0.19548872180451124</v>
      </c>
      <c r="K28" s="101">
        <v>13.3</v>
      </c>
      <c r="L28" s="101">
        <v>15.9</v>
      </c>
      <c r="M28" s="93">
        <v>7.1428571428571369E-2</v>
      </c>
      <c r="N28" s="93">
        <v>-0.1037735849056604</v>
      </c>
      <c r="O28" s="92"/>
      <c r="P28" s="92">
        <f t="shared" si="0"/>
        <v>-1</v>
      </c>
      <c r="Q28" s="92">
        <f t="shared" si="1"/>
        <v>0</v>
      </c>
      <c r="R28" s="92">
        <f t="shared" si="2"/>
        <v>1</v>
      </c>
      <c r="T28" s="169" t="s">
        <v>2740</v>
      </c>
      <c r="U28" s="170">
        <v>-9.7090000000000006E-3</v>
      </c>
      <c r="V28" s="341">
        <v>0.81641927775260248</v>
      </c>
    </row>
    <row r="29" spans="1:24" ht="15.75" customHeight="1" x14ac:dyDescent="0.2">
      <c r="A29" s="295"/>
      <c r="B29" s="303"/>
      <c r="C29" s="3" t="s">
        <v>106</v>
      </c>
      <c r="D29" s="101" cm="1">
        <f t="array" ref="D29:N29">tinh_du_lieu_cp(C29)</f>
        <v>26.3</v>
      </c>
      <c r="E29" s="103">
        <v>9245.5001999999986</v>
      </c>
      <c r="F29" s="102">
        <v>-1.1278E-2</v>
      </c>
      <c r="G29" s="98">
        <v>0.56023611408475327</v>
      </c>
      <c r="H29" s="98">
        <v>1.0312910545801983</v>
      </c>
      <c r="I29" s="98">
        <v>0.36595575867099905</v>
      </c>
      <c r="J29" s="93">
        <v>0.12236286919831232</v>
      </c>
      <c r="K29" s="101">
        <v>23.7</v>
      </c>
      <c r="L29" s="101">
        <v>26.6</v>
      </c>
      <c r="M29" s="93">
        <v>0.10970464135021103</v>
      </c>
      <c r="N29" s="93">
        <v>-1.127819548872183E-2</v>
      </c>
      <c r="O29" s="92"/>
      <c r="P29" s="92">
        <f t="shared" si="0"/>
        <v>-1</v>
      </c>
      <c r="Q29" s="92">
        <f t="shared" si="1"/>
        <v>0</v>
      </c>
      <c r="R29" s="92">
        <f t="shared" si="2"/>
        <v>1</v>
      </c>
      <c r="T29" s="169" t="s">
        <v>1223</v>
      </c>
      <c r="U29" s="170">
        <v>-9.5239999999999995E-3</v>
      </c>
      <c r="V29" s="341">
        <v>0.55079252009354762</v>
      </c>
    </row>
    <row r="30" spans="1:24" ht="15.75" customHeight="1" x14ac:dyDescent="0.2">
      <c r="A30" s="295"/>
      <c r="B30" s="303"/>
      <c r="C30" s="3" t="s">
        <v>2444</v>
      </c>
      <c r="D30" s="101" cm="1">
        <f t="array" ref="D30:N30">tinh_du_lieu_cp(C30)</f>
        <v>9.77</v>
      </c>
      <c r="E30" s="103">
        <v>77.2</v>
      </c>
      <c r="F30" s="102">
        <v>-9.127999999999999E-3</v>
      </c>
      <c r="G30" s="98">
        <v>0.22409880192114845</v>
      </c>
      <c r="H30" s="98">
        <v>1.0103400093153236</v>
      </c>
      <c r="I30" s="98">
        <v>0.19871299871299872</v>
      </c>
      <c r="J30" s="93">
        <v>0.30379746835443039</v>
      </c>
      <c r="K30" s="101">
        <v>7.9</v>
      </c>
      <c r="L30" s="101">
        <v>10.3</v>
      </c>
      <c r="M30" s="93">
        <v>0.23670886075949357</v>
      </c>
      <c r="N30" s="93">
        <v>-5.1456310679611754E-2</v>
      </c>
      <c r="O30" s="92"/>
      <c r="P30" s="92">
        <f t="shared" si="0"/>
        <v>-1</v>
      </c>
      <c r="Q30" s="92">
        <f t="shared" si="1"/>
        <v>0</v>
      </c>
      <c r="R30" s="92">
        <f t="shared" si="2"/>
        <v>1</v>
      </c>
      <c r="T30" s="169" t="s">
        <v>2444</v>
      </c>
      <c r="U30" s="170">
        <v>-9.127999999999999E-3</v>
      </c>
      <c r="V30" s="341">
        <v>0.22409880192114845</v>
      </c>
    </row>
    <row r="31" spans="1:24" ht="15.75" customHeight="1" x14ac:dyDescent="0.2">
      <c r="A31" s="295"/>
      <c r="B31" s="303"/>
      <c r="C31" s="3" t="s">
        <v>2650</v>
      </c>
      <c r="D31" s="101" cm="1">
        <f t="array" ref="D31:N31">tinh_du_lieu_cp(C31)</f>
        <v>8.1199999999999992</v>
      </c>
      <c r="E31" s="103">
        <v>15.9</v>
      </c>
      <c r="F31" s="102">
        <v>-4.9020000000000001E-3</v>
      </c>
      <c r="G31" s="98">
        <v>0.19178683041833433</v>
      </c>
      <c r="H31" s="98">
        <v>0.99415973134764235</v>
      </c>
      <c r="I31" s="98">
        <v>0.14507299270072993</v>
      </c>
      <c r="J31" s="93">
        <v>0.18279569892473121</v>
      </c>
      <c r="K31" s="101">
        <v>7.44</v>
      </c>
      <c r="L31" s="101">
        <v>8.8000000000000007</v>
      </c>
      <c r="M31" s="93">
        <v>9.1397849462365427E-2</v>
      </c>
      <c r="N31" s="93">
        <v>-7.7272727272727437E-2</v>
      </c>
      <c r="O31" s="92"/>
      <c r="P31" s="92">
        <f t="shared" si="0"/>
        <v>-1</v>
      </c>
      <c r="Q31" s="92">
        <f t="shared" si="1"/>
        <v>0</v>
      </c>
      <c r="R31" s="92">
        <f t="shared" si="2"/>
        <v>1</v>
      </c>
      <c r="T31" s="169" t="s">
        <v>763</v>
      </c>
      <c r="U31" s="170">
        <v>-7.6730000000000001E-3</v>
      </c>
      <c r="V31" s="341">
        <v>0.87645070634897371</v>
      </c>
    </row>
    <row r="32" spans="1:24" ht="15.75" customHeight="1" x14ac:dyDescent="0.2">
      <c r="A32" s="295"/>
      <c r="B32" s="303"/>
      <c r="C32" s="3" t="s">
        <v>2661</v>
      </c>
      <c r="D32" s="101" cm="1">
        <f t="array" ref="D32:N32">tinh_du_lieu_cp(C32)</f>
        <v>19.8</v>
      </c>
      <c r="E32" s="103">
        <v>63</v>
      </c>
      <c r="F32" s="102">
        <v>-1.4924999999999999E-2</v>
      </c>
      <c r="G32" s="98">
        <v>0.19281868644008848</v>
      </c>
      <c r="H32" s="98">
        <v>1.0544461716290008</v>
      </c>
      <c r="I32" s="98">
        <v>0.53015427769985979</v>
      </c>
      <c r="J32" s="93">
        <v>0.20170454545454528</v>
      </c>
      <c r="K32" s="101">
        <v>17.600000000000001</v>
      </c>
      <c r="L32" s="101">
        <v>21.15</v>
      </c>
      <c r="M32" s="93">
        <v>0.12499999999999994</v>
      </c>
      <c r="N32" s="93">
        <v>-6.3829787234042451E-2</v>
      </c>
      <c r="O32" s="92"/>
      <c r="P32" s="92">
        <f t="shared" si="0"/>
        <v>-1</v>
      </c>
      <c r="Q32" s="92">
        <f t="shared" si="1"/>
        <v>0</v>
      </c>
      <c r="R32" s="92">
        <f t="shared" si="2"/>
        <v>1</v>
      </c>
      <c r="T32" s="169" t="s">
        <v>484</v>
      </c>
      <c r="U32" s="170">
        <v>-7.2199999999999999E-3</v>
      </c>
      <c r="V32" s="341">
        <v>1.2876417515106366</v>
      </c>
    </row>
    <row r="33" spans="1:23" ht="15.75" customHeight="1" x14ac:dyDescent="0.2">
      <c r="A33" s="295"/>
      <c r="B33" s="303"/>
      <c r="C33" s="3" t="s">
        <v>2720</v>
      </c>
      <c r="D33" s="101" cm="1">
        <f t="array" ref="D33:N33">tinh_du_lieu_cp(C33)</f>
        <v>37.1</v>
      </c>
      <c r="E33" s="103">
        <v>3298.8</v>
      </c>
      <c r="F33" s="102">
        <v>-5.3620000000000004E-3</v>
      </c>
      <c r="G33" s="98">
        <v>0.37816653822043877</v>
      </c>
      <c r="H33" s="98">
        <v>1.032439547374902</v>
      </c>
      <c r="I33" s="98">
        <v>0.36111197266227218</v>
      </c>
      <c r="J33" s="93">
        <v>0.18412698412698403</v>
      </c>
      <c r="K33" s="101">
        <v>31.5</v>
      </c>
      <c r="L33" s="101">
        <v>37.299999999999997</v>
      </c>
      <c r="M33" s="93">
        <v>0.17777777777777781</v>
      </c>
      <c r="N33" s="93">
        <v>-5.3619302949060527E-3</v>
      </c>
      <c r="O33" s="92"/>
      <c r="P33" s="92">
        <f t="shared" si="0"/>
        <v>-1</v>
      </c>
      <c r="Q33" s="92">
        <f t="shared" si="1"/>
        <v>0</v>
      </c>
      <c r="R33" s="92">
        <f t="shared" si="2"/>
        <v>1</v>
      </c>
      <c r="T33" s="169" t="s">
        <v>2720</v>
      </c>
      <c r="U33" s="170">
        <v>-5.3620000000000004E-3</v>
      </c>
      <c r="V33" s="341">
        <v>0.37816653822043877</v>
      </c>
    </row>
    <row r="34" spans="1:23" ht="15.75" customHeight="1" x14ac:dyDescent="0.2">
      <c r="A34" s="295"/>
      <c r="B34" s="303"/>
      <c r="C34" s="3" t="s">
        <v>2740</v>
      </c>
      <c r="D34" s="101" cm="1">
        <f t="array" ref="D34:N34">tinh_du_lieu_cp(C34)</f>
        <v>20.399999999999999</v>
      </c>
      <c r="E34" s="103">
        <v>1138.3</v>
      </c>
      <c r="F34" s="102">
        <v>-9.7090000000000006E-3</v>
      </c>
      <c r="G34" s="98">
        <v>0.81641927775260248</v>
      </c>
      <c r="H34" s="98">
        <v>1.0570373898547274</v>
      </c>
      <c r="I34" s="98">
        <v>0.52683626714389298</v>
      </c>
      <c r="J34" s="93">
        <v>0.21264367816091972</v>
      </c>
      <c r="K34" s="101">
        <v>17.399999999999999</v>
      </c>
      <c r="L34" s="101">
        <v>21.1</v>
      </c>
      <c r="M34" s="93">
        <v>0.17241379310344829</v>
      </c>
      <c r="N34" s="93">
        <v>-3.3175355450237101E-2</v>
      </c>
      <c r="O34" s="92"/>
      <c r="P34" s="94">
        <f>IF(F34&gt;0,1,IF(F34=0,0,-1))</f>
        <v>-1</v>
      </c>
      <c r="Q34" s="92">
        <f t="shared" si="1"/>
        <v>0</v>
      </c>
      <c r="R34" s="92">
        <f t="shared" si="2"/>
        <v>1</v>
      </c>
      <c r="T34" s="169" t="s">
        <v>2650</v>
      </c>
      <c r="U34" s="170">
        <v>-4.9020000000000001E-3</v>
      </c>
      <c r="V34" s="341">
        <v>0.19178683041833433</v>
      </c>
    </row>
    <row r="35" spans="1:23" ht="15.75" customHeight="1" x14ac:dyDescent="0.2">
      <c r="A35" s="295"/>
      <c r="B35" s="303"/>
      <c r="C35" s="3" t="s">
        <v>2811</v>
      </c>
      <c r="D35" s="101" cm="1">
        <f t="array" ref="D35:N35">tinh_du_lieu_cp(C35)</f>
        <v>11.3</v>
      </c>
      <c r="E35" s="103">
        <v>57881</v>
      </c>
      <c r="F35" s="102">
        <v>-4.2373000000000001E-2</v>
      </c>
      <c r="G35" s="98">
        <v>1.6566633179061374</v>
      </c>
      <c r="H35" s="98">
        <v>1.0707579800375531</v>
      </c>
      <c r="I35" s="98">
        <v>1.2092737240307314</v>
      </c>
      <c r="J35" s="93">
        <v>0.30530973451327453</v>
      </c>
      <c r="K35" s="101">
        <v>9.0399999999999991</v>
      </c>
      <c r="L35" s="101">
        <v>11.8</v>
      </c>
      <c r="M35" s="93">
        <v>0.25000000000000022</v>
      </c>
      <c r="N35" s="93">
        <v>-4.2372881355932202E-2</v>
      </c>
      <c r="O35" s="92"/>
      <c r="P35" s="92">
        <f t="shared" ref="P35:P36" si="3">IF(F35&gt;0,1,IF(F35=0,0,-1))</f>
        <v>-1</v>
      </c>
      <c r="Q35" s="92">
        <f t="shared" si="1"/>
        <v>0</v>
      </c>
      <c r="R35" s="92">
        <f t="shared" si="2"/>
        <v>1</v>
      </c>
      <c r="T35" s="169" t="s">
        <v>1079</v>
      </c>
      <c r="U35" s="170">
        <v>0</v>
      </c>
      <c r="V35" s="341">
        <v>0.84678696553862487</v>
      </c>
      <c r="W35" s="116"/>
    </row>
    <row r="36" spans="1:23" ht="15.75" customHeight="1" x14ac:dyDescent="0.2">
      <c r="A36" s="295"/>
      <c r="B36" s="304"/>
      <c r="C36" s="3" t="s">
        <v>119</v>
      </c>
      <c r="D36" s="101" cm="1">
        <f t="array" ref="D36:N36">tinh_du_lieu_cp(C36)</f>
        <v>13.5</v>
      </c>
      <c r="E36" s="103">
        <v>6476.8</v>
      </c>
      <c r="F36" s="102">
        <v>-1.4598999999999999E-2</v>
      </c>
      <c r="G36" s="98">
        <v>0.45693439738941538</v>
      </c>
      <c r="H36" s="98">
        <v>1.0452488687782804</v>
      </c>
      <c r="I36" s="98">
        <v>0.46401730894605997</v>
      </c>
      <c r="J36" s="93">
        <v>0.23111111111111107</v>
      </c>
      <c r="K36" s="101">
        <v>11.25</v>
      </c>
      <c r="L36" s="101">
        <v>13.85</v>
      </c>
      <c r="M36" s="93">
        <v>0.2</v>
      </c>
      <c r="N36" s="93">
        <v>-2.5270758122743656E-2</v>
      </c>
      <c r="O36" s="92"/>
      <c r="P36" s="92">
        <f t="shared" si="3"/>
        <v>-1</v>
      </c>
      <c r="Q36" s="92">
        <f t="shared" si="1"/>
        <v>0</v>
      </c>
      <c r="R36" s="92">
        <f t="shared" si="2"/>
        <v>1</v>
      </c>
      <c r="T36" s="169" t="s">
        <v>3051</v>
      </c>
      <c r="U36" s="170">
        <v>-0.24382400000000001</v>
      </c>
      <c r="V36" s="341">
        <v>12.00417965637874</v>
      </c>
      <c r="W36" s="116"/>
    </row>
  </sheetData>
  <mergeCells count="17">
    <mergeCell ref="A20:A36"/>
    <mergeCell ref="G18:G19"/>
    <mergeCell ref="E18:E19"/>
    <mergeCell ref="F18:F19"/>
    <mergeCell ref="A18:A19"/>
    <mergeCell ref="B18:B19"/>
    <mergeCell ref="C18:C19"/>
    <mergeCell ref="D18:D19"/>
    <mergeCell ref="B20:B36"/>
    <mergeCell ref="O18:O19"/>
    <mergeCell ref="H18:H19"/>
    <mergeCell ref="I18:I19"/>
    <mergeCell ref="J18:J19"/>
    <mergeCell ref="K18:K19"/>
    <mergeCell ref="L18:L19"/>
    <mergeCell ref="M18:M19"/>
    <mergeCell ref="N18:N19"/>
  </mergeCells>
  <conditionalFormatting sqref="P35 A14:G17">
    <cfRule type="expression" dxfId="1275" priority="262" stopIfTrue="1">
      <formula>A14="giảm"</formula>
    </cfRule>
    <cfRule type="expression" dxfId="1274" priority="263" stopIfTrue="1">
      <formula>A14="tăng"</formula>
    </cfRule>
  </conditionalFormatting>
  <conditionalFormatting sqref="H21:H33 H35:H36">
    <cfRule type="expression" dxfId="1273" priority="244" stopIfTrue="1">
      <formula>H21&gt;2</formula>
    </cfRule>
    <cfRule type="expression" dxfId="1272" priority="245" stopIfTrue="1">
      <formula>AND(H21&gt;0.5, H21&lt;1)</formula>
    </cfRule>
    <cfRule type="expression" dxfId="1271" priority="246" stopIfTrue="1">
      <formula>H21&lt;=0.5</formula>
    </cfRule>
    <cfRule type="expression" dxfId="1270" priority="247" stopIfTrue="1">
      <formula>AND(H21&gt;=1,H21&lt;2)</formula>
    </cfRule>
  </conditionalFormatting>
  <conditionalFormatting sqref="H34">
    <cfRule type="expression" dxfId="1269" priority="240" stopIfTrue="1">
      <formula>H34&gt;2</formula>
    </cfRule>
    <cfRule type="expression" dxfId="1268" priority="241" stopIfTrue="1">
      <formula>AND(H34&gt;0.5, H34&lt;1)</formula>
    </cfRule>
    <cfRule type="expression" dxfId="1267" priority="242" stopIfTrue="1">
      <formula>H34&lt;=0.5</formula>
    </cfRule>
    <cfRule type="expression" dxfId="1266" priority="243" stopIfTrue="1">
      <formula>AND(H34&gt;=1,H34&lt;2)</formula>
    </cfRule>
  </conditionalFormatting>
  <conditionalFormatting sqref="I21:I33 I35:I36">
    <cfRule type="expression" dxfId="1265" priority="232" stopIfTrue="1">
      <formula>I21&gt;=2</formula>
    </cfRule>
    <cfRule type="expression" dxfId="1264" priority="233" stopIfTrue="1">
      <formula>AND(I21&gt;=1,I21&lt;2)</formula>
    </cfRule>
    <cfRule type="expression" dxfId="1263" priority="234" stopIfTrue="1">
      <formula>AND(I21&gt;0.5, I21&lt;1)</formula>
    </cfRule>
    <cfRule type="expression" dxfId="1262" priority="235" stopIfTrue="1">
      <formula>I21&lt;=0.5</formula>
    </cfRule>
  </conditionalFormatting>
  <conditionalFormatting sqref="I34">
    <cfRule type="expression" dxfId="1261" priority="228" stopIfTrue="1">
      <formula>I34&gt;=2</formula>
    </cfRule>
    <cfRule type="expression" dxfId="1260" priority="229" stopIfTrue="1">
      <formula>AND(I34&gt;=1,I34&lt;2)</formula>
    </cfRule>
    <cfRule type="expression" dxfId="1259" priority="230" stopIfTrue="1">
      <formula>AND(I34&gt;0.5, I34&lt;1)</formula>
    </cfRule>
    <cfRule type="expression" dxfId="1258" priority="231" stopIfTrue="1">
      <formula>I34&lt;=0.5</formula>
    </cfRule>
  </conditionalFormatting>
  <conditionalFormatting sqref="I21:I36">
    <cfRule type="expression" dxfId="1257" priority="197" stopIfTrue="1">
      <formula>I21&gt;=2</formula>
    </cfRule>
    <cfRule type="expression" dxfId="1256" priority="198" stopIfTrue="1">
      <formula>AND(I21&gt;=1,I21&lt;2)</formula>
    </cfRule>
    <cfRule type="expression" dxfId="1255" priority="199" stopIfTrue="1">
      <formula>AND(I21&gt;0.5, I21&lt;1)</formula>
    </cfRule>
    <cfRule type="expression" dxfId="1254" priority="200" stopIfTrue="1">
      <formula>I21&lt;=0.5</formula>
    </cfRule>
    <cfRule type="expression" dxfId="1253" priority="201" stopIfTrue="1">
      <formula>I21&gt;=2</formula>
    </cfRule>
  </conditionalFormatting>
  <conditionalFormatting sqref="H21:H36">
    <cfRule type="expression" dxfId="1252" priority="205" stopIfTrue="1">
      <formula>H21&gt;2</formula>
    </cfRule>
    <cfRule type="expression" dxfId="1251" priority="206" stopIfTrue="1">
      <formula>AND(H21&gt;0.5, H21&lt;1)</formula>
    </cfRule>
    <cfRule type="expression" dxfId="1250" priority="207" stopIfTrue="1">
      <formula>H21&lt;=0.5</formula>
    </cfRule>
    <cfRule type="expression" dxfId="1249" priority="208" stopIfTrue="1">
      <formula>AND(H21&gt;=1,H21&lt;2)</formula>
    </cfRule>
    <cfRule type="expression" dxfId="1248" priority="209" stopIfTrue="1">
      <formula>H21&gt;2</formula>
    </cfRule>
  </conditionalFormatting>
  <conditionalFormatting sqref="G20:I36">
    <cfRule type="expression" dxfId="1247" priority="170" stopIfTrue="1">
      <formula>G20&lt;0</formula>
    </cfRule>
    <cfRule type="expression" dxfId="1246" priority="171" stopIfTrue="1">
      <formula>G20=1</formula>
    </cfRule>
    <cfRule type="expression" dxfId="1245" priority="172" stopIfTrue="1">
      <formula>AND(G20&lt;1,G20&gt;0)</formula>
    </cfRule>
    <cfRule type="expression" dxfId="1244" priority="173" stopIfTrue="1">
      <formula>AND(G20&lt;2,G20&gt;1)</formula>
    </cfRule>
    <cfRule type="expression" dxfId="1243" priority="174" stopIfTrue="1">
      <formula>G20&gt;=2</formula>
    </cfRule>
  </conditionalFormatting>
  <conditionalFormatting sqref="C3:C7">
    <cfRule type="expression" dxfId="1242" priority="54" stopIfTrue="1">
      <formula>H3="giảm"</formula>
    </cfRule>
    <cfRule type="expression" dxfId="1241" priority="55" stopIfTrue="1">
      <formula>H3="tăng"</formula>
    </cfRule>
  </conditionalFormatting>
  <conditionalFormatting sqref="H3:H7">
    <cfRule type="expression" dxfId="1240" priority="52" stopIfTrue="1">
      <formula>H3="giảm"</formula>
    </cfRule>
    <cfRule type="expression" dxfId="1239" priority="53" stopIfTrue="1">
      <formula>H3="tăng"</formula>
    </cfRule>
  </conditionalFormatting>
  <conditionalFormatting sqref="B3:B7">
    <cfRule type="expression" dxfId="1238" priority="56" stopIfTrue="1">
      <formula>H3="giảm"</formula>
    </cfRule>
    <cfRule type="expression" dxfId="1237" priority="57" stopIfTrue="1">
      <formula>H3="tăng"</formula>
    </cfRule>
  </conditionalFormatting>
  <conditionalFormatting sqref="D3:D7">
    <cfRule type="expression" dxfId="1236" priority="58" stopIfTrue="1">
      <formula>H3="giảm"</formula>
    </cfRule>
    <cfRule type="expression" dxfId="1235" priority="59" stopIfTrue="1">
      <formula>H3="tăng"</formula>
    </cfRule>
  </conditionalFormatting>
  <conditionalFormatting sqref="A3:A7">
    <cfRule type="expression" dxfId="1234" priority="60" stopIfTrue="1">
      <formula>H3="giảm"</formula>
    </cfRule>
    <cfRule type="expression" dxfId="1233" priority="61" stopIfTrue="1">
      <formula>H3="tăng"</formula>
    </cfRule>
  </conditionalFormatting>
  <conditionalFormatting sqref="G3:G7">
    <cfRule type="expression" dxfId="1232" priority="49" stopIfTrue="1">
      <formula>G3=0</formula>
    </cfRule>
    <cfRule type="expression" dxfId="1231" priority="50" stopIfTrue="1">
      <formula>G3&lt;0</formula>
    </cfRule>
    <cfRule type="expression" dxfId="1230" priority="51" stopIfTrue="1">
      <formula>G3&gt;0</formula>
    </cfRule>
  </conditionalFormatting>
  <conditionalFormatting sqref="E3:E7">
    <cfRule type="expression" dxfId="1229" priority="47" stopIfTrue="1">
      <formula>H3="tăng"</formula>
    </cfRule>
    <cfRule type="expression" dxfId="1228" priority="48" stopIfTrue="1">
      <formula>H3="giảm"</formula>
    </cfRule>
  </conditionalFormatting>
  <conditionalFormatting sqref="F3:F7">
    <cfRule type="expression" dxfId="1227" priority="45" stopIfTrue="1">
      <formula>H3="tăng"</formula>
    </cfRule>
    <cfRule type="expression" dxfId="1226" priority="46" stopIfTrue="1">
      <formula>H3="giảm"</formula>
    </cfRule>
  </conditionalFormatting>
  <conditionalFormatting sqref="G21:G36">
    <cfRule type="colorScale" priority="16335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J20:J36">
    <cfRule type="colorScale" priority="16336">
      <colorScale>
        <cfvo type="min"/>
        <cfvo type="max"/>
        <color theme="0" tint="-4.9989318521683403E-2"/>
        <color rgb="FF00B050"/>
      </colorScale>
    </cfRule>
  </conditionalFormatting>
  <conditionalFormatting sqref="M20:M36">
    <cfRule type="colorScale" priority="16337">
      <colorScale>
        <cfvo type="min"/>
        <cfvo type="max"/>
        <color theme="0" tint="-4.9989318521683403E-2"/>
        <color rgb="FF00B050"/>
      </colorScale>
    </cfRule>
  </conditionalFormatting>
  <conditionalFormatting sqref="N20:N36">
    <cfRule type="colorScale" priority="16338">
      <colorScale>
        <cfvo type="min"/>
        <cfvo type="max"/>
        <color rgb="FFFF7C80"/>
        <color theme="0" tint="-4.9989318521683403E-2"/>
      </colorScale>
    </cfRule>
  </conditionalFormatting>
  <conditionalFormatting sqref="D20:D36">
    <cfRule type="expression" dxfId="1225" priority="6" stopIfTrue="1">
      <formula>F20&gt;=6.8%</formula>
    </cfRule>
    <cfRule type="expression" dxfId="1224" priority="7" stopIfTrue="1">
      <formula>AND(F20&gt;0%,F20&lt;6.8%)</formula>
    </cfRule>
    <cfRule type="expression" dxfId="1223" priority="8" stopIfTrue="1">
      <formula>F20=0%</formula>
    </cfRule>
    <cfRule type="expression" dxfId="1222" priority="9" stopIfTrue="1">
      <formula>AND(F20&gt;-6.8%, F20&lt;0%)</formula>
    </cfRule>
    <cfRule type="expression" dxfId="1221" priority="10" stopIfTrue="1">
      <formula>F20&lt;=-6.8%</formula>
    </cfRule>
  </conditionalFormatting>
  <conditionalFormatting sqref="C20:C36">
    <cfRule type="expression" dxfId="1220" priority="16" stopIfTrue="1">
      <formula>F20&gt;=6.8%</formula>
    </cfRule>
    <cfRule type="expression" dxfId="1219" priority="17" stopIfTrue="1">
      <formula>AND(F20&gt;0%,F20&lt;6.8%)</formula>
    </cfRule>
    <cfRule type="expression" dxfId="1218" priority="18" stopIfTrue="1">
      <formula>F20=0%</formula>
    </cfRule>
    <cfRule type="expression" dxfId="1217" priority="19" stopIfTrue="1">
      <formula>AND(F20&gt;-6.8%, F20&lt;0%)</formula>
    </cfRule>
    <cfRule type="expression" dxfId="1216" priority="20" stopIfTrue="1">
      <formula>F20&lt;=-6.8%</formula>
    </cfRule>
  </conditionalFormatting>
  <conditionalFormatting sqref="E20:E36">
    <cfRule type="expression" dxfId="1215" priority="1" stopIfTrue="1">
      <formula>E20&gt;20000</formula>
    </cfRule>
    <cfRule type="expression" dxfId="1214" priority="2" stopIfTrue="1">
      <formula>AND(E20&gt;10000,E20&lt;=20000)</formula>
    </cfRule>
    <cfRule type="expression" dxfId="1213" priority="3" stopIfTrue="1">
      <formula>AND(E20&gt;1000,E20&lt;=10000)</formula>
    </cfRule>
    <cfRule type="expression" dxfId="1212" priority="4" stopIfTrue="1">
      <formula>AND(E20&gt;200,E20&lt;=1000)</formula>
    </cfRule>
    <cfRule type="expression" dxfId="1211" priority="5" stopIfTrue="1">
      <formula>E20&lt;=200</formula>
    </cfRule>
  </conditionalFormatting>
  <conditionalFormatting sqref="F20:F36">
    <cfRule type="expression" dxfId="1210" priority="11" stopIfTrue="1">
      <formula>F20&gt;=6.8%</formula>
    </cfRule>
    <cfRule type="expression" dxfId="1209" priority="12" stopIfTrue="1">
      <formula>AND(F20&gt;0%,F20&lt;6.8%)</formula>
    </cfRule>
    <cfRule type="expression" dxfId="1208" priority="13" stopIfTrue="1">
      <formula>F20=0%</formula>
    </cfRule>
    <cfRule type="expression" dxfId="1207" priority="14" stopIfTrue="1">
      <formula>AND(F20&gt;-6.8%, F20&lt;0%)</formula>
    </cfRule>
    <cfRule type="expression" dxfId="1206" priority="15" stopIfTrue="1">
      <formula>F20&lt;=-6.8%</formula>
    </cfRule>
  </conditionalFormatting>
  <pageMargins left="0.7" right="0.7" top="0.75" bottom="0.75" header="0.3" footer="0.3"/>
  <pageSetup paperSize="9" scale="3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449A95-482D-47A3-9EE8-94C6B287062D}">
          <x14:formula1>
            <xm:f>'Nơi chứ dữ liệu'!$I$2:$N$2</xm:f>
          </x14:formula1>
          <xm:sqref>O20:O36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A04F0-B819-47CF-B2AF-DA51D46CA568}">
  <sheetPr codeName="Sheet14">
    <tabColor rgb="FF003366"/>
  </sheetPr>
  <dimension ref="A1:W31"/>
  <sheetViews>
    <sheetView zoomScaleNormal="100" workbookViewId="0">
      <selection activeCell="B20" sqref="B20:E31"/>
    </sheetView>
  </sheetViews>
  <sheetFormatPr defaultRowHeight="15" x14ac:dyDescent="0.2"/>
  <cols>
    <col min="1" max="1" width="8" customWidth="1"/>
    <col min="2" max="2" width="9.6640625" customWidth="1"/>
    <col min="3" max="3" width="10.332031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3" spans="1:11" ht="17.25" customHeight="1" x14ac:dyDescent="0.2"/>
    <row r="14" spans="1:11" ht="15.75" x14ac:dyDescent="0.2">
      <c r="A14" s="184" t="str">
        <f>"Tổng điểm nhóm hôm nay"&amp;" "&amp;SUM($O$20:O22)&amp;" "&amp;"trên tổng"&amp;" "&amp;$O$19</f>
        <v>Tổng điểm nhóm hôm nay 0 trên tổng 12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1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8</v>
      </c>
      <c r="B16" s="189"/>
      <c r="C16" s="189"/>
      <c r="D16" s="189"/>
      <c r="E16" s="189"/>
      <c r="F16" s="190">
        <f>AVERAGE(E20:E31)</f>
        <v>-5.9207500000000015E-3</v>
      </c>
      <c r="G16" s="191">
        <f>AVERAGE(F20:F31)</f>
        <v>0.45575602970320067</v>
      </c>
    </row>
    <row r="17" spans="1:23" ht="15.75" x14ac:dyDescent="0.2">
      <c r="A17" s="184" t="str">
        <f>"Tổng điểm tham chiếu nhóm hôm nay"&amp;" "&amp;(O19-(P19+Q19))</f>
        <v>Tổng điểm tham chiếu nhóm hôm nay 3</v>
      </c>
      <c r="B17" s="187"/>
      <c r="C17" s="187"/>
      <c r="D17" s="187"/>
      <c r="E17" s="186"/>
      <c r="F17" s="189"/>
      <c r="G17" s="192"/>
    </row>
    <row r="18" spans="1:23" s="100" customFormat="1" ht="15.75" customHeight="1" x14ac:dyDescent="0.25">
      <c r="A18" s="196" t="s">
        <v>127</v>
      </c>
      <c r="B18" s="196" t="s">
        <v>16</v>
      </c>
      <c r="C18" s="308" t="s">
        <v>3031</v>
      </c>
      <c r="D18" s="196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</row>
    <row r="19" spans="1:23" s="100" customFormat="1" ht="15.75" x14ac:dyDescent="0.25">
      <c r="A19" s="197"/>
      <c r="B19" s="197"/>
      <c r="C19" s="301"/>
      <c r="D19" s="197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COUNT(O20:O31)</f>
        <v>12</v>
      </c>
      <c r="P19" s="158">
        <f>SUM(P20:P31)</f>
        <v>1</v>
      </c>
      <c r="Q19" s="158">
        <f>SUM(Q20:Q31)</f>
        <v>8</v>
      </c>
      <c r="T19" s="169" t="s">
        <v>2022</v>
      </c>
      <c r="U19" s="170">
        <v>-1.5747999999999998E-2</v>
      </c>
      <c r="V19" s="341">
        <v>0.57314836434802918</v>
      </c>
    </row>
    <row r="20" spans="1:23" ht="15.75" customHeight="1" x14ac:dyDescent="0.2">
      <c r="A20" s="305"/>
      <c r="B20" s="3" t="s">
        <v>492</v>
      </c>
      <c r="C20" s="101" cm="1">
        <f t="array" ref="C20:M20">tinh_du_lieu_cp(B20)</f>
        <v>20.45</v>
      </c>
      <c r="D20" s="103">
        <v>1111.4000000000001</v>
      </c>
      <c r="E20" s="102">
        <v>-7.2819999999999994E-3</v>
      </c>
      <c r="F20" s="98">
        <v>0.45279930073038122</v>
      </c>
      <c r="G20" s="98">
        <v>1.0035389658769185</v>
      </c>
      <c r="H20" s="98">
        <v>0.40418219838167108</v>
      </c>
      <c r="I20" s="93">
        <v>0.18134715025906736</v>
      </c>
      <c r="J20" s="101">
        <v>19.3</v>
      </c>
      <c r="K20" s="101">
        <v>22.8</v>
      </c>
      <c r="L20" s="93">
        <v>5.9585492227979202E-2</v>
      </c>
      <c r="M20" s="93">
        <v>-0.10307017543859655</v>
      </c>
      <c r="N20" s="92"/>
      <c r="O20" s="92">
        <f t="shared" ref="O20:O22" si="0">IF(E20&gt;0,1,IF(E20=0,0,-1))</f>
        <v>-1</v>
      </c>
      <c r="P20" s="92">
        <f t="shared" ref="P20:P22" si="1">IF(O20=1,1,0)</f>
        <v>0</v>
      </c>
      <c r="Q20" s="92">
        <f t="shared" ref="Q20:Q22" si="2">IF(O20&lt;0,1,0)</f>
        <v>1</v>
      </c>
      <c r="T20" s="169" t="s">
        <v>2077</v>
      </c>
      <c r="U20" s="170">
        <v>-1.1527000000000001E-2</v>
      </c>
      <c r="V20" s="341">
        <v>0.42235535049339323</v>
      </c>
    </row>
    <row r="21" spans="1:23" ht="15.75" customHeight="1" x14ac:dyDescent="0.2">
      <c r="A21" s="305"/>
      <c r="B21" s="3" t="s">
        <v>715</v>
      </c>
      <c r="C21" s="101" cm="1">
        <f t="array" ref="C21:M21">tinh_du_lieu_cp(B21)</f>
        <v>31</v>
      </c>
      <c r="D21" s="103">
        <v>84.4</v>
      </c>
      <c r="E21" s="102">
        <v>0</v>
      </c>
      <c r="F21" s="98">
        <v>0.46150022369140531</v>
      </c>
      <c r="G21" s="98">
        <v>0.99566785256177504</v>
      </c>
      <c r="H21" s="98">
        <v>0.46053110221898874</v>
      </c>
      <c r="I21" s="93">
        <v>8.2918739635157543E-2</v>
      </c>
      <c r="J21" s="101">
        <v>30.15</v>
      </c>
      <c r="K21" s="101">
        <v>32.65</v>
      </c>
      <c r="L21" s="93">
        <v>2.8192371475953614E-2</v>
      </c>
      <c r="M21" s="93">
        <v>-5.0535987748851416E-2</v>
      </c>
      <c r="N21" s="92"/>
      <c r="O21" s="92">
        <f t="shared" si="0"/>
        <v>0</v>
      </c>
      <c r="P21" s="92">
        <f t="shared" si="1"/>
        <v>0</v>
      </c>
      <c r="Q21" s="92">
        <f t="shared" si="2"/>
        <v>0</v>
      </c>
      <c r="T21" s="169" t="s">
        <v>2079</v>
      </c>
      <c r="U21" s="170">
        <v>-8.7720000000000003E-3</v>
      </c>
      <c r="V21" s="341">
        <v>0.21181696264628094</v>
      </c>
    </row>
    <row r="22" spans="1:23" ht="15.75" customHeight="1" x14ac:dyDescent="0.2">
      <c r="A22" s="305"/>
      <c r="B22" s="3" t="s">
        <v>1121</v>
      </c>
      <c r="C22" s="101" cm="1">
        <f t="array" ref="C22:M22">tinh_du_lieu_cp(B22)</f>
        <v>68.7</v>
      </c>
      <c r="D22" s="103">
        <v>959.3</v>
      </c>
      <c r="E22" s="102">
        <v>1.4580000000000001E-3</v>
      </c>
      <c r="F22" s="98">
        <v>1.2984969021294399</v>
      </c>
      <c r="G22" s="98">
        <v>1.0076335877862599</v>
      </c>
      <c r="H22" s="98">
        <v>1.2641219362206799</v>
      </c>
      <c r="I22" s="93">
        <v>4.3674698795180593E-2</v>
      </c>
      <c r="J22" s="101">
        <v>66.400000000000006</v>
      </c>
      <c r="K22" s="101">
        <v>69.3</v>
      </c>
      <c r="L22" s="93">
        <v>3.4638554216867422E-2</v>
      </c>
      <c r="M22" s="93">
        <v>-8.6580086580085765E-3</v>
      </c>
      <c r="N22" s="92"/>
      <c r="O22" s="92">
        <f t="shared" si="0"/>
        <v>1</v>
      </c>
      <c r="P22" s="92">
        <f t="shared" si="1"/>
        <v>1</v>
      </c>
      <c r="Q22" s="92">
        <f t="shared" si="2"/>
        <v>0</v>
      </c>
      <c r="T22" s="169" t="s">
        <v>2081</v>
      </c>
      <c r="U22" s="170">
        <v>-8.1300000000000001E-3</v>
      </c>
      <c r="V22" s="341">
        <v>0.33996134283263418</v>
      </c>
    </row>
    <row r="23" spans="1:23" x14ac:dyDescent="0.2">
      <c r="A23" s="305"/>
      <c r="B23" s="3" t="s">
        <v>1867</v>
      </c>
      <c r="C23" s="101" cm="1">
        <f t="array" ref="C23:M23">tinh_du_lieu_cp(B23)</f>
        <v>13.3</v>
      </c>
      <c r="D23" s="103">
        <v>376.5</v>
      </c>
      <c r="E23" s="102">
        <v>-7.463E-3</v>
      </c>
      <c r="F23" s="98">
        <v>0.29591309822192774</v>
      </c>
      <c r="G23" s="98">
        <v>1.0169023801310799</v>
      </c>
      <c r="H23" s="98">
        <v>0.36838737326593751</v>
      </c>
      <c r="I23" s="93">
        <v>0.14406779661016941</v>
      </c>
      <c r="J23" s="101">
        <v>11.8</v>
      </c>
      <c r="K23" s="101">
        <v>13.5</v>
      </c>
      <c r="L23" s="93">
        <v>0.1271186440677966</v>
      </c>
      <c r="M23" s="93">
        <v>-1.4814814814814762E-2</v>
      </c>
      <c r="N23" s="92"/>
      <c r="O23" s="92">
        <f t="shared" ref="O23:O31" si="3">IF(E23&gt;0,1,IF(E23=0,0,-1))</f>
        <v>-1</v>
      </c>
      <c r="P23" s="92">
        <f t="shared" ref="P23:P31" si="4">IF(O23=1,1,0)</f>
        <v>0</v>
      </c>
      <c r="Q23" s="92">
        <f t="shared" ref="Q23:Q31" si="5">IF(O23&lt;0,1,0)</f>
        <v>1</v>
      </c>
      <c r="T23" s="169" t="s">
        <v>1974</v>
      </c>
      <c r="U23" s="170">
        <v>-7.9190000000000007E-3</v>
      </c>
      <c r="V23" s="341">
        <v>0.50335784715903154</v>
      </c>
      <c r="W23" s="116"/>
    </row>
    <row r="24" spans="1:23" x14ac:dyDescent="0.2">
      <c r="A24" s="305"/>
      <c r="B24" s="3" t="s">
        <v>1927</v>
      </c>
      <c r="C24" s="101" cm="1">
        <f t="array" ref="C24:M24">tinh_du_lieu_cp(B24)</f>
        <v>15.65</v>
      </c>
      <c r="D24" s="103">
        <v>18.8</v>
      </c>
      <c r="E24" s="102">
        <v>0</v>
      </c>
      <c r="F24" s="98">
        <v>0.44694186297817162</v>
      </c>
      <c r="G24" s="98">
        <v>0.99598975696960912</v>
      </c>
      <c r="H24" s="98">
        <v>0.45835026412027635</v>
      </c>
      <c r="I24" s="93">
        <v>9.4915254237288041E-2</v>
      </c>
      <c r="J24" s="101">
        <v>14.75</v>
      </c>
      <c r="K24" s="101">
        <v>16.149999999999999</v>
      </c>
      <c r="L24" s="93">
        <v>6.1016949152542396E-2</v>
      </c>
      <c r="M24" s="93">
        <v>-3.0959752321981317E-2</v>
      </c>
      <c r="N24" s="92"/>
      <c r="O24" s="92">
        <f t="shared" si="3"/>
        <v>0</v>
      </c>
      <c r="P24" s="92">
        <f t="shared" si="4"/>
        <v>0</v>
      </c>
      <c r="Q24" s="92">
        <f t="shared" si="5"/>
        <v>0</v>
      </c>
      <c r="T24" s="169" t="s">
        <v>1867</v>
      </c>
      <c r="U24" s="170">
        <v>-7.463E-3</v>
      </c>
      <c r="V24" s="341">
        <v>0.29591309822192774</v>
      </c>
      <c r="W24" s="116"/>
    </row>
    <row r="25" spans="1:23" x14ac:dyDescent="0.2">
      <c r="A25" s="305"/>
      <c r="B25" s="3" t="s">
        <v>1974</v>
      </c>
      <c r="C25" s="101" cm="1">
        <f t="array" ref="C25:M25">tinh_du_lieu_cp(B25)</f>
        <v>43.85</v>
      </c>
      <c r="D25" s="103">
        <v>766.9</v>
      </c>
      <c r="E25" s="102">
        <v>-7.9190000000000007E-3</v>
      </c>
      <c r="F25" s="98">
        <v>0.50335784715903154</v>
      </c>
      <c r="G25" s="98">
        <v>1.0355507481521546</v>
      </c>
      <c r="H25" s="98">
        <v>0.49980448383733056</v>
      </c>
      <c r="I25" s="93">
        <v>0.17866666666666675</v>
      </c>
      <c r="J25" s="101">
        <v>37.5</v>
      </c>
      <c r="K25" s="101">
        <v>44.2</v>
      </c>
      <c r="L25" s="93">
        <v>0.16933333333333336</v>
      </c>
      <c r="M25" s="93">
        <v>-7.9185520361991259E-3</v>
      </c>
      <c r="N25" s="92"/>
      <c r="O25" s="92">
        <f t="shared" si="3"/>
        <v>-1</v>
      </c>
      <c r="P25" s="92">
        <f t="shared" si="4"/>
        <v>0</v>
      </c>
      <c r="Q25" s="92">
        <f t="shared" si="5"/>
        <v>1</v>
      </c>
      <c r="T25" s="169" t="s">
        <v>492</v>
      </c>
      <c r="U25" s="170">
        <v>-7.2819999999999994E-3</v>
      </c>
      <c r="V25" s="341">
        <v>0.45279930073038122</v>
      </c>
      <c r="W25" s="116"/>
    </row>
    <row r="26" spans="1:23" x14ac:dyDescent="0.2">
      <c r="A26" s="305"/>
      <c r="B26" s="3" t="s">
        <v>2022</v>
      </c>
      <c r="C26" s="101" cm="1">
        <f t="array" ref="C26:M26">tinh_du_lieu_cp(B26)</f>
        <v>12.5</v>
      </c>
      <c r="D26" s="103">
        <v>107</v>
      </c>
      <c r="E26" s="102">
        <v>-1.5747999999999998E-2</v>
      </c>
      <c r="F26" s="98">
        <v>0.57314836434802918</v>
      </c>
      <c r="G26" s="98">
        <v>1.0011960291831123</v>
      </c>
      <c r="H26" s="98">
        <v>0.31860567832736986</v>
      </c>
      <c r="I26" s="93">
        <v>0.08</v>
      </c>
      <c r="J26" s="101">
        <v>12.5</v>
      </c>
      <c r="K26" s="101">
        <v>13.5</v>
      </c>
      <c r="L26" s="93">
        <v>0</v>
      </c>
      <c r="M26" s="93">
        <v>-7.407407407407407E-2</v>
      </c>
      <c r="N26" s="92"/>
      <c r="O26" s="92">
        <f t="shared" si="3"/>
        <v>-1</v>
      </c>
      <c r="P26" s="92">
        <f t="shared" si="4"/>
        <v>0</v>
      </c>
      <c r="Q26" s="92">
        <f t="shared" si="5"/>
        <v>1</v>
      </c>
      <c r="T26" s="169" t="s">
        <v>2099</v>
      </c>
      <c r="U26" s="170">
        <v>-5.666E-3</v>
      </c>
      <c r="V26" s="341">
        <v>0.46278110120771399</v>
      </c>
    </row>
    <row r="27" spans="1:23" x14ac:dyDescent="0.2">
      <c r="A27" s="305"/>
      <c r="B27" s="3" t="s">
        <v>2042</v>
      </c>
      <c r="C27" s="101" cm="1">
        <f t="array" ref="C27:M27">tinh_du_lieu_cp(B27)</f>
        <v>2.7</v>
      </c>
      <c r="D27" s="103">
        <v>0</v>
      </c>
      <c r="E27" s="102">
        <v>0</v>
      </c>
      <c r="F27" s="98">
        <v>0</v>
      </c>
      <c r="G27" s="98">
        <v>0.9735199956590157</v>
      </c>
      <c r="H27" s="98">
        <v>0</v>
      </c>
      <c r="I27" s="93">
        <v>0.42222222222222205</v>
      </c>
      <c r="J27" s="101">
        <v>2.7</v>
      </c>
      <c r="K27" s="101">
        <v>3.84</v>
      </c>
      <c r="L27" s="93">
        <v>0</v>
      </c>
      <c r="M27" s="93">
        <v>-0.29687499999999994</v>
      </c>
      <c r="N27" s="92"/>
      <c r="O27" s="92">
        <f t="shared" si="3"/>
        <v>0</v>
      </c>
      <c r="P27" s="92">
        <f t="shared" si="4"/>
        <v>0</v>
      </c>
      <c r="Q27" s="92">
        <f t="shared" si="5"/>
        <v>0</v>
      </c>
      <c r="T27" s="169" t="s">
        <v>715</v>
      </c>
      <c r="U27" s="170">
        <v>0</v>
      </c>
      <c r="V27" s="341">
        <v>0.46150022369140531</v>
      </c>
    </row>
    <row r="28" spans="1:23" x14ac:dyDescent="0.2">
      <c r="A28" s="305"/>
      <c r="B28" s="3" t="s">
        <v>2077</v>
      </c>
      <c r="C28" s="101" cm="1">
        <f t="array" ref="C28:M28">tinh_du_lieu_cp(B28)</f>
        <v>34.299999999999997</v>
      </c>
      <c r="D28" s="103">
        <v>141.30000000000001</v>
      </c>
      <c r="E28" s="102">
        <v>-1.1527000000000001E-2</v>
      </c>
      <c r="F28" s="98">
        <v>0.42235535049339323</v>
      </c>
      <c r="G28" s="98">
        <v>1.0222371364653244</v>
      </c>
      <c r="H28" s="98">
        <v>0.6205647153549142</v>
      </c>
      <c r="I28" s="93">
        <v>0.31481481481481483</v>
      </c>
      <c r="J28" s="101">
        <v>27</v>
      </c>
      <c r="K28" s="101">
        <v>35.5</v>
      </c>
      <c r="L28" s="93">
        <v>0.27037037037037026</v>
      </c>
      <c r="M28" s="93">
        <v>-3.3802816901408531E-2</v>
      </c>
      <c r="N28" s="92"/>
      <c r="O28" s="92">
        <f t="shared" si="3"/>
        <v>-1</v>
      </c>
      <c r="P28" s="92">
        <f t="shared" si="4"/>
        <v>0</v>
      </c>
      <c r="Q28" s="92">
        <f t="shared" si="5"/>
        <v>1</v>
      </c>
      <c r="T28" s="169" t="s">
        <v>1927</v>
      </c>
      <c r="U28" s="170">
        <v>0</v>
      </c>
      <c r="V28" s="341">
        <v>0.44694186297817162</v>
      </c>
    </row>
    <row r="29" spans="1:23" x14ac:dyDescent="0.2">
      <c r="A29" s="305"/>
      <c r="B29" s="3" t="s">
        <v>2079</v>
      </c>
      <c r="C29" s="101" cm="1">
        <f t="array" ref="C29:M29">tinh_du_lieu_cp(B29)</f>
        <v>11.3</v>
      </c>
      <c r="D29" s="103">
        <v>205.6</v>
      </c>
      <c r="E29" s="102">
        <v>-8.7720000000000003E-3</v>
      </c>
      <c r="F29" s="98">
        <v>0.21181696264628094</v>
      </c>
      <c r="G29" s="98">
        <v>1.0203551912568307</v>
      </c>
      <c r="H29" s="98">
        <v>0.14444344136499052</v>
      </c>
      <c r="I29" s="93">
        <v>0.13861386138613865</v>
      </c>
      <c r="J29" s="101">
        <v>10.1</v>
      </c>
      <c r="K29" s="101">
        <v>11.5</v>
      </c>
      <c r="L29" s="93">
        <v>0.11881188118811892</v>
      </c>
      <c r="M29" s="93">
        <v>-1.7391304347826025E-2</v>
      </c>
      <c r="N29" s="92"/>
      <c r="O29" s="92">
        <f t="shared" si="3"/>
        <v>-1</v>
      </c>
      <c r="P29" s="92">
        <f t="shared" si="4"/>
        <v>0</v>
      </c>
      <c r="Q29" s="92">
        <f t="shared" si="5"/>
        <v>1</v>
      </c>
      <c r="T29" s="169" t="s">
        <v>2042</v>
      </c>
      <c r="U29" s="170">
        <v>0</v>
      </c>
      <c r="V29" s="341">
        <v>0</v>
      </c>
    </row>
    <row r="30" spans="1:23" x14ac:dyDescent="0.2">
      <c r="A30" s="305"/>
      <c r="B30" s="3" t="s">
        <v>2081</v>
      </c>
      <c r="C30" s="101" cm="1">
        <f t="array" ref="C30:M30">tinh_du_lieu_cp(B30)</f>
        <v>24.4</v>
      </c>
      <c r="D30" s="103">
        <v>1379.9</v>
      </c>
      <c r="E30" s="102">
        <v>-8.1300000000000001E-3</v>
      </c>
      <c r="F30" s="98">
        <v>0.33996134283263418</v>
      </c>
      <c r="G30" s="98">
        <v>1.019268914706716</v>
      </c>
      <c r="H30" s="98">
        <v>0.34000106771357352</v>
      </c>
      <c r="I30" s="93">
        <v>0.11738148984198653</v>
      </c>
      <c r="J30" s="101">
        <v>22.15</v>
      </c>
      <c r="K30" s="101">
        <v>24.75</v>
      </c>
      <c r="L30" s="93">
        <v>0.10158013544018059</v>
      </c>
      <c r="M30" s="93">
        <v>-1.41414141414142E-2</v>
      </c>
      <c r="N30" s="92"/>
      <c r="O30" s="92">
        <f t="shared" si="3"/>
        <v>-1</v>
      </c>
      <c r="P30" s="92">
        <f t="shared" si="4"/>
        <v>0</v>
      </c>
      <c r="Q30" s="92">
        <f t="shared" si="5"/>
        <v>1</v>
      </c>
      <c r="T30" s="169" t="s">
        <v>1121</v>
      </c>
      <c r="U30" s="170">
        <v>1.4580000000000001E-3</v>
      </c>
      <c r="V30" s="341">
        <v>1.2984969021294399</v>
      </c>
    </row>
    <row r="31" spans="1:23" x14ac:dyDescent="0.2">
      <c r="A31" s="305"/>
      <c r="B31" s="3" t="s">
        <v>2099</v>
      </c>
      <c r="C31" s="101" cm="1">
        <f t="array" ref="C31:M31">tinh_du_lieu_cp(B31)</f>
        <v>35.1</v>
      </c>
      <c r="D31" s="103">
        <v>1105</v>
      </c>
      <c r="E31" s="102">
        <v>-5.666E-3</v>
      </c>
      <c r="F31" s="98">
        <v>0.46278110120771399</v>
      </c>
      <c r="G31" s="98">
        <v>1.0251680820948337</v>
      </c>
      <c r="H31" s="98">
        <v>0.43548677272970004</v>
      </c>
      <c r="I31" s="93">
        <v>0.1230283911671925</v>
      </c>
      <c r="J31" s="101">
        <v>31.7</v>
      </c>
      <c r="K31" s="101">
        <v>35.6</v>
      </c>
      <c r="L31" s="93">
        <v>0.10725552050473193</v>
      </c>
      <c r="M31" s="93">
        <v>-1.4044943820224719E-2</v>
      </c>
      <c r="N31" s="92"/>
      <c r="O31" s="92">
        <f t="shared" si="3"/>
        <v>-1</v>
      </c>
      <c r="P31" s="92">
        <f t="shared" si="4"/>
        <v>0</v>
      </c>
      <c r="Q31" s="92">
        <f t="shared" si="5"/>
        <v>1</v>
      </c>
      <c r="T31" s="169" t="s">
        <v>3051</v>
      </c>
      <c r="U31" s="170">
        <v>-7.1048999999999987E-2</v>
      </c>
      <c r="V31" s="341">
        <v>5.4690723564384083</v>
      </c>
    </row>
  </sheetData>
  <mergeCells count="13">
    <mergeCell ref="A20:A31"/>
    <mergeCell ref="M18:M19"/>
    <mergeCell ref="F14:G14"/>
    <mergeCell ref="N18:N19"/>
    <mergeCell ref="C18:C19"/>
    <mergeCell ref="H18:H19"/>
    <mergeCell ref="I18:I19"/>
    <mergeCell ref="J18:J19"/>
    <mergeCell ref="K18:K19"/>
    <mergeCell ref="E18:E19"/>
    <mergeCell ref="F18:F19"/>
    <mergeCell ref="G18:G19"/>
    <mergeCell ref="L18:L19"/>
  </mergeCells>
  <conditionalFormatting sqref="A14">
    <cfRule type="expression" dxfId="1201" priority="211" stopIfTrue="1">
      <formula>A14="giảm"</formula>
    </cfRule>
    <cfRule type="expression" dxfId="1200" priority="212" stopIfTrue="1">
      <formula>A14="tăng"</formula>
    </cfRule>
  </conditionalFormatting>
  <conditionalFormatting sqref="G30:G31 G26:G27 G20:G24">
    <cfRule type="expression" dxfId="1199" priority="202" stopIfTrue="1">
      <formula>G20&gt;2</formula>
    </cfRule>
    <cfRule type="expression" dxfId="1198" priority="203" stopIfTrue="1">
      <formula>AND(G20&gt;0.5, G20&lt;1)</formula>
    </cfRule>
    <cfRule type="expression" dxfId="1197" priority="204" stopIfTrue="1">
      <formula>G20&lt;=0.5</formula>
    </cfRule>
    <cfRule type="expression" dxfId="1196" priority="205" stopIfTrue="1">
      <formula>AND(G20&gt;=1,G20&lt;2)</formula>
    </cfRule>
  </conditionalFormatting>
  <conditionalFormatting sqref="H30:H31 H26:H27 H20:H24">
    <cfRule type="expression" dxfId="1195" priority="190" stopIfTrue="1">
      <formula>H20&gt;=2</formula>
    </cfRule>
    <cfRule type="expression" dxfId="1194" priority="191" stopIfTrue="1">
      <formula>AND(H20&gt;=1,H20&lt;2)</formula>
    </cfRule>
    <cfRule type="expression" dxfId="1193" priority="192" stopIfTrue="1">
      <formula>AND(H20&gt;0.5, H20&lt;1)</formula>
    </cfRule>
    <cfRule type="expression" dxfId="1192" priority="193" stopIfTrue="1">
      <formula>H20&lt;=0.5</formula>
    </cfRule>
  </conditionalFormatting>
  <conditionalFormatting sqref="H30:H31 H26:H27 H20:H24">
    <cfRule type="expression" dxfId="1191" priority="172" stopIfTrue="1">
      <formula>H20&gt;=2</formula>
    </cfRule>
    <cfRule type="expression" dxfId="1190" priority="173" stopIfTrue="1">
      <formula>AND(H20&gt;=1,H20&lt;2)</formula>
    </cfRule>
    <cfRule type="expression" dxfId="1189" priority="174" stopIfTrue="1">
      <formula>AND(H20&gt;0.5, H20&lt;1)</formula>
    </cfRule>
    <cfRule type="expression" dxfId="1188" priority="175" stopIfTrue="1">
      <formula>H20&lt;=0.5</formula>
    </cfRule>
    <cfRule type="expression" dxfId="1187" priority="176" stopIfTrue="1">
      <formula>H20&gt;=2</formula>
    </cfRule>
  </conditionalFormatting>
  <conditionalFormatting sqref="G30:G31 G26:G27 G20:G24">
    <cfRule type="expression" dxfId="1186" priority="177" stopIfTrue="1">
      <formula>G20&gt;2</formula>
    </cfRule>
    <cfRule type="expression" dxfId="1185" priority="178" stopIfTrue="1">
      <formula>AND(G20&gt;0.5, G20&lt;1)</formula>
    </cfRule>
    <cfRule type="expression" dxfId="1184" priority="179" stopIfTrue="1">
      <formula>G20&lt;=0.5</formula>
    </cfRule>
    <cfRule type="expression" dxfId="1183" priority="180" stopIfTrue="1">
      <formula>AND(G20&gt;=1,G20&lt;2)</formula>
    </cfRule>
    <cfRule type="expression" dxfId="1182" priority="181" stopIfTrue="1">
      <formula>G20&gt;2</formula>
    </cfRule>
  </conditionalFormatting>
  <conditionalFormatting sqref="F29:H31 F26:H27 F20:H24">
    <cfRule type="expression" dxfId="1181" priority="152" stopIfTrue="1">
      <formula>F20&lt;0</formula>
    </cfRule>
    <cfRule type="expression" dxfId="1180" priority="153" stopIfTrue="1">
      <formula>F20=1</formula>
    </cfRule>
    <cfRule type="expression" dxfId="1179" priority="154" stopIfTrue="1">
      <formula>AND(F20&lt;1,F20&gt;0)</formula>
    </cfRule>
    <cfRule type="expression" dxfId="1178" priority="155" stopIfTrue="1">
      <formula>AND(F20&lt;2,F20&gt;1)</formula>
    </cfRule>
    <cfRule type="expression" dxfId="1177" priority="156" stopIfTrue="1">
      <formula>F20&gt;=2</formula>
    </cfRule>
  </conditionalFormatting>
  <conditionalFormatting sqref="C3:C7">
    <cfRule type="expression" dxfId="1176" priority="37" stopIfTrue="1">
      <formula>H3="giảm"</formula>
    </cfRule>
    <cfRule type="expression" dxfId="1175" priority="38" stopIfTrue="1">
      <formula>H3="tăng"</formula>
    </cfRule>
  </conditionalFormatting>
  <conditionalFormatting sqref="H3:H7">
    <cfRule type="expression" dxfId="1174" priority="35" stopIfTrue="1">
      <formula>H3="giảm"</formula>
    </cfRule>
    <cfRule type="expression" dxfId="1173" priority="36" stopIfTrue="1">
      <formula>H3="tăng"</formula>
    </cfRule>
  </conditionalFormatting>
  <conditionalFormatting sqref="B3:B7">
    <cfRule type="expression" dxfId="1172" priority="39" stopIfTrue="1">
      <formula>H3="giảm"</formula>
    </cfRule>
    <cfRule type="expression" dxfId="1171" priority="40" stopIfTrue="1">
      <formula>H3="tăng"</formula>
    </cfRule>
  </conditionalFormatting>
  <conditionalFormatting sqref="A3:A7">
    <cfRule type="expression" dxfId="1170" priority="43" stopIfTrue="1">
      <formula>H3="giảm"</formula>
    </cfRule>
    <cfRule type="expression" dxfId="1169" priority="44" stopIfTrue="1">
      <formula>H3="tăng"</formula>
    </cfRule>
  </conditionalFormatting>
  <conditionalFormatting sqref="G3:G7">
    <cfRule type="expression" dxfId="1168" priority="32" stopIfTrue="1">
      <formula>G3=0</formula>
    </cfRule>
    <cfRule type="expression" dxfId="1167" priority="33" stopIfTrue="1">
      <formula>G3&lt;0</formula>
    </cfRule>
    <cfRule type="expression" dxfId="1166" priority="34" stopIfTrue="1">
      <formula>G3&gt;0</formula>
    </cfRule>
  </conditionalFormatting>
  <conditionalFormatting sqref="E3:E7">
    <cfRule type="expression" dxfId="1165" priority="30" stopIfTrue="1">
      <formula>H3="tăng"</formula>
    </cfRule>
    <cfRule type="expression" dxfId="1164" priority="31" stopIfTrue="1">
      <formula>H3="giảm"</formula>
    </cfRule>
  </conditionalFormatting>
  <conditionalFormatting sqref="F3:F7">
    <cfRule type="expression" dxfId="1163" priority="28" stopIfTrue="1">
      <formula>H3="tăng"</formula>
    </cfRule>
    <cfRule type="expression" dxfId="1162" priority="29" stopIfTrue="1">
      <formula>H3="giảm"</formula>
    </cfRule>
  </conditionalFormatting>
  <conditionalFormatting sqref="D3:D7">
    <cfRule type="expression" dxfId="1161" priority="26" stopIfTrue="1">
      <formula>H3="giảm"</formula>
    </cfRule>
    <cfRule type="expression" dxfId="1160" priority="27" stopIfTrue="1">
      <formula>H3="tăng"</formula>
    </cfRule>
  </conditionalFormatting>
  <conditionalFormatting sqref="F25:H25 F28:H28">
    <cfRule type="expression" dxfId="1159" priority="21" stopIfTrue="1">
      <formula>F25&lt;0</formula>
    </cfRule>
    <cfRule type="expression" dxfId="1158" priority="22" stopIfTrue="1">
      <formula>F25=1</formula>
    </cfRule>
    <cfRule type="expression" dxfId="1157" priority="23" stopIfTrue="1">
      <formula>AND(F25&lt;1,F25&gt;0)</formula>
    </cfRule>
    <cfRule type="expression" dxfId="1156" priority="24" stopIfTrue="1">
      <formula>AND(F25&lt;2,F25&gt;1)</formula>
    </cfRule>
    <cfRule type="expression" dxfId="1155" priority="25" stopIfTrue="1">
      <formula>F25&gt;=2</formula>
    </cfRule>
  </conditionalFormatting>
  <conditionalFormatting sqref="F30:F31 F26:F27 F20:F24">
    <cfRule type="colorScale" priority="1908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1">
    <cfRule type="colorScale" priority="19418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9419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9420">
      <colorScale>
        <cfvo type="min"/>
        <cfvo type="max"/>
        <color rgb="FFFF7C80"/>
        <color theme="0" tint="-4.9989318521683403E-2"/>
      </colorScale>
    </cfRule>
  </conditionalFormatting>
  <conditionalFormatting sqref="C20:C31">
    <cfRule type="expression" dxfId="1154" priority="6" stopIfTrue="1">
      <formula>E20&gt;=6.8%</formula>
    </cfRule>
    <cfRule type="expression" dxfId="1153" priority="7" stopIfTrue="1">
      <formula>AND(E20&gt;0%,E20&lt;6.8%)</formula>
    </cfRule>
    <cfRule type="expression" dxfId="1152" priority="8" stopIfTrue="1">
      <formula>E20=0%</formula>
    </cfRule>
    <cfRule type="expression" dxfId="1151" priority="9" stopIfTrue="1">
      <formula>AND(E20&gt;-6.8%, E20&lt;0%)</formula>
    </cfRule>
    <cfRule type="expression" dxfId="1150" priority="10" stopIfTrue="1">
      <formula>E20&lt;=-6.8%</formula>
    </cfRule>
  </conditionalFormatting>
  <conditionalFormatting sqref="B20:B31">
    <cfRule type="expression" dxfId="1149" priority="16" stopIfTrue="1">
      <formula>E20&gt;=6.8%</formula>
    </cfRule>
    <cfRule type="expression" dxfId="1148" priority="17" stopIfTrue="1">
      <formula>AND(E20&gt;0%,E20&lt;6.8%)</formula>
    </cfRule>
    <cfRule type="expression" dxfId="1147" priority="18" stopIfTrue="1">
      <formula>E20=0%</formula>
    </cfRule>
    <cfRule type="expression" dxfId="1146" priority="19" stopIfTrue="1">
      <formula>AND(E20&gt;-6.8%, E20&lt;0%)</formula>
    </cfRule>
    <cfRule type="expression" dxfId="1145" priority="20" stopIfTrue="1">
      <formula>E20&lt;=-6.8%</formula>
    </cfRule>
  </conditionalFormatting>
  <conditionalFormatting sqref="D20:D31">
    <cfRule type="expression" dxfId="1144" priority="1" stopIfTrue="1">
      <formula>D20&gt;20000</formula>
    </cfRule>
    <cfRule type="expression" dxfId="1143" priority="2" stopIfTrue="1">
      <formula>AND(D20&gt;10000,D20&lt;=20000)</formula>
    </cfRule>
    <cfRule type="expression" dxfId="1142" priority="3" stopIfTrue="1">
      <formula>AND(D20&gt;1000,D20&lt;=10000)</formula>
    </cfRule>
    <cfRule type="expression" dxfId="1141" priority="4" stopIfTrue="1">
      <formula>AND(D20&gt;200,D20&lt;=1000)</formula>
    </cfRule>
    <cfRule type="expression" dxfId="1140" priority="5" stopIfTrue="1">
      <formula>D20&lt;=200</formula>
    </cfRule>
  </conditionalFormatting>
  <conditionalFormatting sqref="E20:E31">
    <cfRule type="expression" dxfId="1139" priority="11" stopIfTrue="1">
      <formula>E20&gt;=6.8%</formula>
    </cfRule>
    <cfRule type="expression" dxfId="1138" priority="12" stopIfTrue="1">
      <formula>AND(E20&gt;0%,E20&lt;6.8%)</formula>
    </cfRule>
    <cfRule type="expression" dxfId="1137" priority="13" stopIfTrue="1">
      <formula>E20=0%</formula>
    </cfRule>
    <cfRule type="expression" dxfId="1136" priority="14" stopIfTrue="1">
      <formula>AND(E20&gt;-6.8%, E20&lt;0%)</formula>
    </cfRule>
    <cfRule type="expression" dxfId="1135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AF4CA3-663F-4698-A846-47449701EBE4}">
          <x14:formula1>
            <xm:f>'Nơi chứ dữ liệu'!$I$2:$N$2</xm:f>
          </x14:formula1>
          <xm:sqref>N20:N31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67759-CC7F-476E-AAF0-DB453B4F36A0}">
  <sheetPr codeName="Sheet17">
    <tabColor rgb="FFC00000"/>
  </sheetPr>
  <dimension ref="A1:W42"/>
  <sheetViews>
    <sheetView topLeftCell="A13" zoomScaleNormal="100" workbookViewId="0">
      <selection activeCell="G36" sqref="G36"/>
    </sheetView>
  </sheetViews>
  <sheetFormatPr defaultRowHeight="15" x14ac:dyDescent="0.2"/>
  <cols>
    <col min="1" max="1" width="8" customWidth="1"/>
    <col min="2" max="2" width="9.6640625" customWidth="1"/>
    <col min="3" max="3" width="10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"&amp;SUM($O$20:O25)&amp;" "&amp;"trên tổng"&amp;" "&amp;$O$19</f>
        <v>Tổng điểm nhóm hôm nay -6 trên tổng 9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0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9</v>
      </c>
      <c r="B16" s="189"/>
      <c r="C16" s="189"/>
      <c r="D16" s="189"/>
      <c r="E16" s="189"/>
      <c r="F16" s="195">
        <f>AVERAGE(E20:E28)</f>
        <v>-1.2219111111111113E-2</v>
      </c>
      <c r="G16" s="191">
        <f>AVERAGE(F20:F28)</f>
        <v>0.3424462752648717</v>
      </c>
    </row>
    <row r="17" spans="1:23" ht="15.75" x14ac:dyDescent="0.2">
      <c r="A17" s="188" t="str">
        <f>"Tổng điểm tham chiếu nhóm hôm nay"&amp;" "&amp;(O19-(P19+Q19))</f>
        <v>Tổng điểm tham chiếu nhóm hôm nay 0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</row>
    <row r="19" spans="1:23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COUNT(O20:O28)</f>
        <v>9</v>
      </c>
      <c r="P19" s="158">
        <f>SUM(P20:P28)</f>
        <v>0</v>
      </c>
      <c r="Q19" s="158">
        <f>SUM(Q20:Q28)</f>
        <v>9</v>
      </c>
      <c r="T19" s="169" t="s">
        <v>1464</v>
      </c>
      <c r="U19" s="170">
        <v>-2.7027000000000002E-2</v>
      </c>
      <c r="V19" s="341">
        <v>0.24116770926422401</v>
      </c>
    </row>
    <row r="20" spans="1:23" ht="15.75" customHeight="1" x14ac:dyDescent="0.2">
      <c r="A20" s="305" t="s">
        <v>3074</v>
      </c>
      <c r="B20" s="3" t="s">
        <v>761</v>
      </c>
      <c r="C20" s="101" cm="1">
        <f t="array" ref="C20:M20">tinh_du_lieu_cp(B20)</f>
        <v>119.5</v>
      </c>
      <c r="D20" s="103">
        <v>147</v>
      </c>
      <c r="E20" s="102">
        <v>-7.4750000000000007E-3</v>
      </c>
      <c r="F20" s="98">
        <v>0.20581291008254154</v>
      </c>
      <c r="G20" s="98">
        <v>0.98400019906439717</v>
      </c>
      <c r="H20" s="98">
        <v>0.35980908089585117</v>
      </c>
      <c r="I20" s="93">
        <v>0.14751286449399673</v>
      </c>
      <c r="J20" s="101">
        <v>116.6</v>
      </c>
      <c r="K20" s="101">
        <v>133.80000000000001</v>
      </c>
      <c r="L20" s="93">
        <v>2.4871355060034354E-2</v>
      </c>
      <c r="M20" s="93">
        <v>-0.1068759342301944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69" t="s">
        <v>2178</v>
      </c>
      <c r="U20" s="170">
        <v>-1.5727000000000001E-2</v>
      </c>
      <c r="V20" s="341">
        <v>0.41694001535678832</v>
      </c>
    </row>
    <row r="21" spans="1:23" ht="15.75" customHeight="1" x14ac:dyDescent="0.2">
      <c r="A21" s="305"/>
      <c r="B21" s="3" t="s">
        <v>690</v>
      </c>
      <c r="C21" s="101">
        <f t="array" ref="C21:M21">tinh_du_lieu_cp(B21)</f>
        <v>43.9</v>
      </c>
      <c r="D21" s="103">
        <v>696</v>
      </c>
      <c r="E21" s="102">
        <v>-1.0147E-2</v>
      </c>
      <c r="F21" s="98">
        <v>0.74111776744661506</v>
      </c>
      <c r="G21" s="98">
        <v>0.99031657355679725</v>
      </c>
      <c r="H21" s="98">
        <v>0.91677460428969726</v>
      </c>
      <c r="I21" s="93">
        <v>0.32801822323462415</v>
      </c>
      <c r="J21" s="101">
        <v>43.9</v>
      </c>
      <c r="K21" s="101">
        <v>58.3</v>
      </c>
      <c r="L21" s="93">
        <v>0</v>
      </c>
      <c r="M21" s="93">
        <v>-0.24699828473413377</v>
      </c>
      <c r="N21" s="92"/>
      <c r="O21" s="92">
        <f t="shared" ref="O21:O25" si="0">IF(E21&gt;0,1,IF(E21=0,0,-1))</f>
        <v>-1</v>
      </c>
      <c r="P21" s="92">
        <f t="shared" ref="P21:P25" si="1">IF(O21=1,1,0)</f>
        <v>0</v>
      </c>
      <c r="Q21" s="92">
        <f t="shared" ref="Q21:Q25" si="2">IF(O21&lt;0,1,0)</f>
        <v>1</v>
      </c>
      <c r="T21" s="169" t="s">
        <v>2276</v>
      </c>
      <c r="U21" s="170">
        <v>-1.2345999999999999E-2</v>
      </c>
      <c r="V21" s="341">
        <v>0.15996843469928415</v>
      </c>
    </row>
    <row r="22" spans="1:23" ht="15.75" customHeight="1" x14ac:dyDescent="0.2">
      <c r="A22" s="305"/>
      <c r="B22" s="3" t="s">
        <v>1010</v>
      </c>
      <c r="C22" s="101" cm="1">
        <f t="array" ref="C22:M22">tinh_du_lieu_cp(B22)</f>
        <v>25.9</v>
      </c>
      <c r="D22" s="103">
        <v>170.9</v>
      </c>
      <c r="E22" s="102">
        <v>-1.145E-2</v>
      </c>
      <c r="F22" s="98">
        <v>0.19527776623592472</v>
      </c>
      <c r="G22" s="98">
        <v>0.93573452043707017</v>
      </c>
      <c r="H22" s="98">
        <v>0.3837287628171544</v>
      </c>
      <c r="I22" s="93">
        <v>0.16988416988416999</v>
      </c>
      <c r="J22" s="101">
        <v>25.9</v>
      </c>
      <c r="K22" s="101">
        <v>30.3</v>
      </c>
      <c r="L22" s="93">
        <v>0</v>
      </c>
      <c r="M22" s="93">
        <v>-0.14521452145214528</v>
      </c>
      <c r="N22" s="92"/>
      <c r="O22" s="92">
        <f t="shared" ref="O22" si="3">IF(E22&gt;0,1,IF(E22=0,0,-1))</f>
        <v>-1</v>
      </c>
      <c r="P22" s="92">
        <f t="shared" ref="P22" si="4">IF(O22=1,1,0)</f>
        <v>0</v>
      </c>
      <c r="Q22" s="92">
        <f t="shared" ref="Q22" si="5">IF(O22&lt;0,1,0)</f>
        <v>1</v>
      </c>
      <c r="T22" s="169" t="s">
        <v>2380</v>
      </c>
      <c r="U22" s="170">
        <v>-1.2121E-2</v>
      </c>
      <c r="V22" s="341">
        <v>0.49885511664725818</v>
      </c>
    </row>
    <row r="23" spans="1:23" ht="15.75" customHeight="1" x14ac:dyDescent="0.2">
      <c r="A23" s="305"/>
      <c r="B23" s="3" t="s">
        <v>1064</v>
      </c>
      <c r="C23" s="101" cm="1">
        <f t="array" ref="C23:M23">tinh_du_lieu_cp(B23)</f>
        <v>139.6</v>
      </c>
      <c r="D23" s="103">
        <v>1308.2</v>
      </c>
      <c r="E23" s="102">
        <v>-6.4059999999999994E-3</v>
      </c>
      <c r="F23" s="98">
        <v>0.26698937236578363</v>
      </c>
      <c r="G23" s="98">
        <v>0.98053219065756747</v>
      </c>
      <c r="H23" s="98">
        <v>0.29715047189275751</v>
      </c>
      <c r="I23" s="93">
        <v>0.11007194244604325</v>
      </c>
      <c r="J23" s="101">
        <v>139</v>
      </c>
      <c r="K23" s="101">
        <v>154.30000000000001</v>
      </c>
      <c r="L23" s="93">
        <v>4.3165467625898872E-3</v>
      </c>
      <c r="M23" s="93">
        <v>-9.5268956578094727E-2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69" t="s">
        <v>1010</v>
      </c>
      <c r="U23" s="170">
        <v>-1.145E-2</v>
      </c>
      <c r="V23" s="341">
        <v>0.19527776623592472</v>
      </c>
    </row>
    <row r="24" spans="1:23" ht="15.75" customHeight="1" x14ac:dyDescent="0.2">
      <c r="A24" s="305"/>
      <c r="B24" s="3" t="s">
        <v>1422</v>
      </c>
      <c r="C24" s="101">
        <f t="array" ref="C24:M24">tinh_du_lieu_cp(B24)</f>
        <v>13.65</v>
      </c>
      <c r="D24" s="103">
        <v>20.8</v>
      </c>
      <c r="E24" s="102">
        <v>-7.2729999999999991E-3</v>
      </c>
      <c r="F24" s="98">
        <v>0.35588738528542541</v>
      </c>
      <c r="G24" s="98">
        <v>0.99354838709677429</v>
      </c>
      <c r="H24" s="98">
        <v>0.48979591836734698</v>
      </c>
      <c r="I24" s="93">
        <v>0.2357723577235771</v>
      </c>
      <c r="J24" s="101">
        <v>12.3</v>
      </c>
      <c r="K24" s="101">
        <v>15.2</v>
      </c>
      <c r="L24" s="93">
        <v>0.10975609756097557</v>
      </c>
      <c r="M24" s="93">
        <v>-0.10197368421052624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69" t="s">
        <v>690</v>
      </c>
      <c r="U24" s="170">
        <v>-1.0147E-2</v>
      </c>
      <c r="V24" s="341">
        <v>0.74111776744661506</v>
      </c>
    </row>
    <row r="25" spans="1:23" ht="15.75" customHeight="1" x14ac:dyDescent="0.2">
      <c r="A25" s="305"/>
      <c r="B25" s="3" t="s">
        <v>1464</v>
      </c>
      <c r="C25" s="101">
        <f t="array" ref="C25:M25">tinh_du_lieu_cp(B25)</f>
        <v>14.4</v>
      </c>
      <c r="D25" s="103">
        <v>18.399999999999999</v>
      </c>
      <c r="E25" s="102">
        <v>-2.7027000000000002E-2</v>
      </c>
      <c r="F25" s="98">
        <v>0.24116770926422401</v>
      </c>
      <c r="G25" s="98">
        <v>1.026851998104565</v>
      </c>
      <c r="H25" s="98">
        <v>0.29022082018927448</v>
      </c>
      <c r="I25" s="93">
        <v>0.18431372549019606</v>
      </c>
      <c r="J25" s="101">
        <v>12.75</v>
      </c>
      <c r="K25" s="101">
        <v>15.1</v>
      </c>
      <c r="L25" s="93">
        <v>0.12941176470588239</v>
      </c>
      <c r="M25" s="93">
        <v>-4.6357615894039687E-2</v>
      </c>
      <c r="N25" s="92"/>
      <c r="O25" s="92">
        <f t="shared" si="0"/>
        <v>-1</v>
      </c>
      <c r="P25" s="92">
        <f t="shared" si="1"/>
        <v>0</v>
      </c>
      <c r="Q25" s="92">
        <f t="shared" si="2"/>
        <v>1</v>
      </c>
      <c r="T25" s="169" t="s">
        <v>761</v>
      </c>
      <c r="U25" s="170">
        <v>-7.4750000000000007E-3</v>
      </c>
      <c r="V25" s="341">
        <v>0.20581291008254154</v>
      </c>
    </row>
    <row r="26" spans="1:23" x14ac:dyDescent="0.2">
      <c r="A26" s="305"/>
      <c r="B26" s="3" t="s">
        <v>2178</v>
      </c>
      <c r="C26" s="101" cm="1">
        <f t="array" ref="C26:M26">tinh_du_lieu_cp(B26)</f>
        <v>7.51</v>
      </c>
      <c r="D26" s="103">
        <v>589.9</v>
      </c>
      <c r="E26" s="102">
        <v>-1.5727000000000001E-2</v>
      </c>
      <c r="F26" s="98">
        <v>0.41694001535678832</v>
      </c>
      <c r="G26" s="98">
        <v>1.0515466119798342</v>
      </c>
      <c r="H26" s="98">
        <v>0.26449554241987189</v>
      </c>
      <c r="I26" s="93">
        <v>0.22028526148969899</v>
      </c>
      <c r="J26" s="101">
        <v>6.31</v>
      </c>
      <c r="K26" s="101">
        <v>7.7</v>
      </c>
      <c r="L26" s="93">
        <v>0.19017432646592713</v>
      </c>
      <c r="M26" s="93">
        <v>-2.4675324675324725E-2</v>
      </c>
      <c r="N26" s="92"/>
      <c r="O26" s="92">
        <f t="shared" ref="O26:O27" si="6">IF(E26&gt;0,1,IF(E26=0,0,-1))</f>
        <v>-1</v>
      </c>
      <c r="P26" s="92">
        <f t="shared" ref="P26:P27" si="7">IF(O26=1,1,0)</f>
        <v>0</v>
      </c>
      <c r="Q26" s="92">
        <f t="shared" ref="Q26:Q27" si="8">IF(O26&lt;0,1,0)</f>
        <v>1</v>
      </c>
      <c r="T26" s="169" t="s">
        <v>1422</v>
      </c>
      <c r="U26" s="170">
        <v>-7.2729999999999991E-3</v>
      </c>
      <c r="V26" s="341">
        <v>0.35588738528542541</v>
      </c>
    </row>
    <row r="27" spans="1:23" x14ac:dyDescent="0.2">
      <c r="A27" s="305"/>
      <c r="B27" s="3" t="s">
        <v>2276</v>
      </c>
      <c r="C27" s="101">
        <f t="array" ref="C27:M27">tinh_du_lieu_cp(B27)</f>
        <v>20</v>
      </c>
      <c r="D27" s="103">
        <v>12.9</v>
      </c>
      <c r="E27" s="102">
        <v>-1.2345999999999999E-2</v>
      </c>
      <c r="F27" s="98">
        <v>0.15996843469928415</v>
      </c>
      <c r="G27" s="98">
        <v>0.98302708287211282</v>
      </c>
      <c r="H27" s="98">
        <v>0.20541401273885351</v>
      </c>
      <c r="I27" s="93">
        <v>0.4623287671232878</v>
      </c>
      <c r="J27" s="101">
        <v>14.6</v>
      </c>
      <c r="K27" s="101">
        <v>21.35</v>
      </c>
      <c r="L27" s="93">
        <v>0.36986301369863017</v>
      </c>
      <c r="M27" s="93">
        <v>-6.3231850117096075E-2</v>
      </c>
      <c r="N27" s="92"/>
      <c r="O27" s="92">
        <f t="shared" si="6"/>
        <v>-1</v>
      </c>
      <c r="P27" s="92">
        <f t="shared" si="7"/>
        <v>0</v>
      </c>
      <c r="Q27" s="92">
        <f t="shared" si="8"/>
        <v>1</v>
      </c>
      <c r="T27" s="169" t="s">
        <v>1064</v>
      </c>
      <c r="U27" s="170">
        <v>-6.4059999999999994E-3</v>
      </c>
      <c r="V27" s="341">
        <v>0.26698937236578363</v>
      </c>
      <c r="W27" s="116"/>
    </row>
    <row r="28" spans="1:23" x14ac:dyDescent="0.2">
      <c r="A28" s="305"/>
      <c r="B28" s="3" t="s">
        <v>2380</v>
      </c>
      <c r="C28" s="101">
        <f t="array" ref="C28:M28">tinh_du_lieu_cp(B28)</f>
        <v>8.15</v>
      </c>
      <c r="D28" s="103">
        <v>346.6</v>
      </c>
      <c r="E28" s="102">
        <v>-1.2121E-2</v>
      </c>
      <c r="F28" s="98">
        <v>0.49885511664725818</v>
      </c>
      <c r="G28" s="98">
        <v>1.0978802868665198</v>
      </c>
      <c r="H28" s="98">
        <v>0.58086140439081613</v>
      </c>
      <c r="I28" s="93">
        <v>0.28023598820058987</v>
      </c>
      <c r="J28" s="101">
        <v>6.78</v>
      </c>
      <c r="K28" s="101">
        <v>8.68</v>
      </c>
      <c r="L28" s="93">
        <v>0.20206489675516226</v>
      </c>
      <c r="M28" s="93">
        <v>-6.1059907834101312E-2</v>
      </c>
      <c r="N28" s="92"/>
      <c r="O28" s="92">
        <f t="shared" ref="O28" si="9">IF(E28&gt;0,1,IF(E28=0,0,-1))</f>
        <v>-1</v>
      </c>
      <c r="P28" s="92">
        <f t="shared" ref="P28" si="10">IF(O28=1,1,0)</f>
        <v>0</v>
      </c>
      <c r="Q28" s="92">
        <f t="shared" ref="Q28" si="11">IF(O28&lt;0,1,0)</f>
        <v>1</v>
      </c>
      <c r="T28" s="169" t="s">
        <v>3051</v>
      </c>
      <c r="U28" s="170">
        <v>-0.10997199999999999</v>
      </c>
      <c r="V28" s="341">
        <v>3.0820164773838452</v>
      </c>
      <c r="W28" s="116"/>
    </row>
    <row r="29" spans="1:23" x14ac:dyDescent="0.2">
      <c r="V29" s="115"/>
      <c r="W29" s="116"/>
    </row>
    <row r="30" spans="1:23" x14ac:dyDescent="0.2">
      <c r="V30" s="115"/>
      <c r="W30" s="116"/>
    </row>
    <row r="31" spans="1:23" x14ac:dyDescent="0.2">
      <c r="V31" s="115"/>
      <c r="W31" s="116"/>
    </row>
    <row r="32" spans="1:23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  <row r="38" spans="22:23" x14ac:dyDescent="0.2">
      <c r="V38" s="115"/>
      <c r="W38" s="116"/>
    </row>
    <row r="39" spans="22:23" x14ac:dyDescent="0.2">
      <c r="V39" s="115"/>
      <c r="W39" s="116"/>
    </row>
    <row r="40" spans="22:23" x14ac:dyDescent="0.2">
      <c r="V40" s="115"/>
      <c r="W40" s="116"/>
    </row>
    <row r="41" spans="22:23" x14ac:dyDescent="0.2">
      <c r="V41" s="115"/>
      <c r="W41" s="116"/>
    </row>
    <row r="42" spans="22:23" x14ac:dyDescent="0.2">
      <c r="V42" s="115"/>
      <c r="W42" s="116"/>
    </row>
  </sheetData>
  <mergeCells count="16">
    <mergeCell ref="E18:E19"/>
    <mergeCell ref="F18:F19"/>
    <mergeCell ref="G18:G19"/>
    <mergeCell ref="N18:N19"/>
    <mergeCell ref="F14:G14"/>
    <mergeCell ref="H18:H19"/>
    <mergeCell ref="I18:I19"/>
    <mergeCell ref="J18:J19"/>
    <mergeCell ref="K18:K19"/>
    <mergeCell ref="L18:L19"/>
    <mergeCell ref="M18:M19"/>
    <mergeCell ref="A18:A19"/>
    <mergeCell ref="B18:B19"/>
    <mergeCell ref="C18:C19"/>
    <mergeCell ref="D18:D19"/>
    <mergeCell ref="A20:A28"/>
  </mergeCells>
  <conditionalFormatting sqref="A14">
    <cfRule type="expression" dxfId="1130" priority="239" stopIfTrue="1">
      <formula>A14="giảm"</formula>
    </cfRule>
    <cfRule type="expression" dxfId="1129" priority="240" stopIfTrue="1">
      <formula>A14="tăng"</formula>
    </cfRule>
  </conditionalFormatting>
  <conditionalFormatting sqref="G21:G25">
    <cfRule type="expression" dxfId="1128" priority="221" stopIfTrue="1">
      <formula>G21&gt;2</formula>
    </cfRule>
    <cfRule type="expression" dxfId="1127" priority="222" stopIfTrue="1">
      <formula>AND(G21&gt;0.5, G21&lt;1)</formula>
    </cfRule>
    <cfRule type="expression" dxfId="1126" priority="223" stopIfTrue="1">
      <formula>G21&lt;=0.5</formula>
    </cfRule>
    <cfRule type="expression" dxfId="1125" priority="224" stopIfTrue="1">
      <formula>AND(G21&gt;=1,G21&lt;2)</formula>
    </cfRule>
  </conditionalFormatting>
  <conditionalFormatting sqref="H21:H25">
    <cfRule type="expression" dxfId="1124" priority="209" stopIfTrue="1">
      <formula>H21&gt;=2</formula>
    </cfRule>
    <cfRule type="expression" dxfId="1123" priority="210" stopIfTrue="1">
      <formula>AND(H21&gt;=1,H21&lt;2)</formula>
    </cfRule>
    <cfRule type="expression" dxfId="1122" priority="211" stopIfTrue="1">
      <formula>AND(H21&gt;0.5, H21&lt;1)</formula>
    </cfRule>
    <cfRule type="expression" dxfId="1121" priority="212" stopIfTrue="1">
      <formula>H21&lt;=0.5</formula>
    </cfRule>
  </conditionalFormatting>
  <conditionalFormatting sqref="H21:H25">
    <cfRule type="expression" dxfId="1120" priority="191" stopIfTrue="1">
      <formula>H21&gt;=2</formula>
    </cfRule>
    <cfRule type="expression" dxfId="1119" priority="192" stopIfTrue="1">
      <formula>AND(H21&gt;=1,H21&lt;2)</formula>
    </cfRule>
    <cfRule type="expression" dxfId="1118" priority="193" stopIfTrue="1">
      <formula>AND(H21&gt;0.5, H21&lt;1)</formula>
    </cfRule>
    <cfRule type="expression" dxfId="1117" priority="194" stopIfTrue="1">
      <formula>H21&lt;=0.5</formula>
    </cfRule>
    <cfRule type="expression" dxfId="1116" priority="195" stopIfTrue="1">
      <formula>H21&gt;=2</formula>
    </cfRule>
  </conditionalFormatting>
  <conditionalFormatting sqref="G21:G25">
    <cfRule type="expression" dxfId="1115" priority="196" stopIfTrue="1">
      <formula>G21&gt;2</formula>
    </cfRule>
    <cfRule type="expression" dxfId="1114" priority="197" stopIfTrue="1">
      <formula>AND(G21&gt;0.5, G21&lt;1)</formula>
    </cfRule>
    <cfRule type="expression" dxfId="1113" priority="198" stopIfTrue="1">
      <formula>G21&lt;=0.5</formula>
    </cfRule>
    <cfRule type="expression" dxfId="1112" priority="199" stopIfTrue="1">
      <formula>AND(G21&gt;=1,G21&lt;2)</formula>
    </cfRule>
    <cfRule type="expression" dxfId="1111" priority="200" stopIfTrue="1">
      <formula>G21&gt;2</formula>
    </cfRule>
  </conditionalFormatting>
  <conditionalFormatting sqref="F20:H25 F28:H28">
    <cfRule type="expression" dxfId="1110" priority="171" stopIfTrue="1">
      <formula>F20&lt;0</formula>
    </cfRule>
    <cfRule type="expression" dxfId="1109" priority="172" stopIfTrue="1">
      <formula>F20=1</formula>
    </cfRule>
    <cfRule type="expression" dxfId="1108" priority="173" stopIfTrue="1">
      <formula>AND(F20&lt;1,F20&gt;=0)</formula>
    </cfRule>
    <cfRule type="expression" dxfId="1107" priority="174" stopIfTrue="1">
      <formula>AND(F20&lt;2,F20&gt;1)</formula>
    </cfRule>
    <cfRule type="expression" dxfId="1106" priority="175" stopIfTrue="1">
      <formula>F20&gt;=2</formula>
    </cfRule>
  </conditionalFormatting>
  <conditionalFormatting sqref="I20:I28">
    <cfRule type="colorScale" priority="161">
      <colorScale>
        <cfvo type="min"/>
        <cfvo type="max"/>
        <color theme="0" tint="-4.9989318521683403E-2"/>
        <color rgb="FF00B050"/>
      </colorScale>
    </cfRule>
  </conditionalFormatting>
  <conditionalFormatting sqref="L20:L28">
    <cfRule type="colorScale" priority="160">
      <colorScale>
        <cfvo type="min"/>
        <cfvo type="max"/>
        <color theme="0" tint="-4.9989318521683403E-2"/>
        <color rgb="FF00B050"/>
      </colorScale>
    </cfRule>
  </conditionalFormatting>
  <conditionalFormatting sqref="M20:M28">
    <cfRule type="colorScale" priority="159">
      <colorScale>
        <cfvo type="min"/>
        <cfvo type="max"/>
        <color rgb="FFFF7C80"/>
        <color theme="0" tint="-4.9989318521683403E-2"/>
      </colorScale>
    </cfRule>
  </conditionalFormatting>
  <conditionalFormatting sqref="F21:F25">
    <cfRule type="colorScale" priority="943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3:C7">
    <cfRule type="expression" dxfId="1105" priority="56" stopIfTrue="1">
      <formula>H3="giảm"</formula>
    </cfRule>
    <cfRule type="expression" dxfId="1104" priority="57" stopIfTrue="1">
      <formula>H3="tăng"</formula>
    </cfRule>
  </conditionalFormatting>
  <conditionalFormatting sqref="H3:H7">
    <cfRule type="expression" dxfId="1103" priority="54" stopIfTrue="1">
      <formula>H3="giảm"</formula>
    </cfRule>
    <cfRule type="expression" dxfId="1102" priority="55" stopIfTrue="1">
      <formula>H3="tăng"</formula>
    </cfRule>
  </conditionalFormatting>
  <conditionalFormatting sqref="B3:B7">
    <cfRule type="expression" dxfId="1101" priority="58" stopIfTrue="1">
      <formula>H3="giảm"</formula>
    </cfRule>
    <cfRule type="expression" dxfId="1100" priority="59" stopIfTrue="1">
      <formula>H3="tăng"</formula>
    </cfRule>
  </conditionalFormatting>
  <conditionalFormatting sqref="A3:A7">
    <cfRule type="expression" dxfId="1099" priority="62" stopIfTrue="1">
      <formula>H3="giảm"</formula>
    </cfRule>
    <cfRule type="expression" dxfId="1098" priority="63" stopIfTrue="1">
      <formula>H3="tăng"</formula>
    </cfRule>
  </conditionalFormatting>
  <conditionalFormatting sqref="G3:G7">
    <cfRule type="expression" dxfId="1097" priority="51" stopIfTrue="1">
      <formula>G3=0</formula>
    </cfRule>
    <cfRule type="expression" dxfId="1096" priority="52" stopIfTrue="1">
      <formula>G3&lt;0</formula>
    </cfRule>
    <cfRule type="expression" dxfId="1095" priority="53" stopIfTrue="1">
      <formula>G3&gt;0</formula>
    </cfRule>
  </conditionalFormatting>
  <conditionalFormatting sqref="E3:E7">
    <cfRule type="expression" dxfId="1094" priority="49" stopIfTrue="1">
      <formula>H3="tăng"</formula>
    </cfRule>
    <cfRule type="expression" dxfId="1093" priority="50" stopIfTrue="1">
      <formula>H3="giảm"</formula>
    </cfRule>
  </conditionalFormatting>
  <conditionalFormatting sqref="F3:F7">
    <cfRule type="expression" dxfId="1092" priority="47" stopIfTrue="1">
      <formula>H3="tăng"</formula>
    </cfRule>
    <cfRule type="expression" dxfId="1091" priority="48" stopIfTrue="1">
      <formula>H3="giảm"</formula>
    </cfRule>
  </conditionalFormatting>
  <conditionalFormatting sqref="D3:D7">
    <cfRule type="expression" dxfId="1090" priority="45" stopIfTrue="1">
      <formula>H3="giảm"</formula>
    </cfRule>
    <cfRule type="expression" dxfId="1089" priority="46" stopIfTrue="1">
      <formula>H3="tăng"</formula>
    </cfRule>
  </conditionalFormatting>
  <conditionalFormatting sqref="G27">
    <cfRule type="expression" dxfId="1088" priority="40" stopIfTrue="1">
      <formula>G27&gt;2</formula>
    </cfRule>
    <cfRule type="expression" dxfId="1087" priority="41" stopIfTrue="1">
      <formula>AND(G27&gt;0.5, G27&lt;1)</formula>
    </cfRule>
    <cfRule type="expression" dxfId="1086" priority="42" stopIfTrue="1">
      <formula>G27&lt;=0.5</formula>
    </cfRule>
    <cfRule type="expression" dxfId="1085" priority="43" stopIfTrue="1">
      <formula>AND(G27&gt;=1,G27&lt;2)</formula>
    </cfRule>
  </conditionalFormatting>
  <conditionalFormatting sqref="H27">
    <cfRule type="expression" dxfId="1084" priority="36" stopIfTrue="1">
      <formula>H27&gt;=2</formula>
    </cfRule>
    <cfRule type="expression" dxfId="1083" priority="37" stopIfTrue="1">
      <formula>AND(H27&gt;=1,H27&lt;2)</formula>
    </cfRule>
    <cfRule type="expression" dxfId="1082" priority="38" stopIfTrue="1">
      <formula>AND(H27&gt;0.5, H27&lt;1)</formula>
    </cfRule>
    <cfRule type="expression" dxfId="1081" priority="39" stopIfTrue="1">
      <formula>H27&lt;=0.5</formula>
    </cfRule>
  </conditionalFormatting>
  <conditionalFormatting sqref="H27">
    <cfRule type="expression" dxfId="1080" priority="26" stopIfTrue="1">
      <formula>H27&gt;=2</formula>
    </cfRule>
    <cfRule type="expression" dxfId="1079" priority="27" stopIfTrue="1">
      <formula>AND(H27&gt;=1,H27&lt;2)</formula>
    </cfRule>
    <cfRule type="expression" dxfId="1078" priority="28" stopIfTrue="1">
      <formula>AND(H27&gt;0.5, H27&lt;1)</formula>
    </cfRule>
    <cfRule type="expression" dxfId="1077" priority="29" stopIfTrue="1">
      <formula>H27&lt;=0.5</formula>
    </cfRule>
    <cfRule type="expression" dxfId="1076" priority="30" stopIfTrue="1">
      <formula>H27&gt;=2</formula>
    </cfRule>
  </conditionalFormatting>
  <conditionalFormatting sqref="G27">
    <cfRule type="expression" dxfId="1075" priority="31" stopIfTrue="1">
      <formula>G27&gt;2</formula>
    </cfRule>
    <cfRule type="expression" dxfId="1074" priority="32" stopIfTrue="1">
      <formula>AND(G27&gt;0.5, G27&lt;1)</formula>
    </cfRule>
    <cfRule type="expression" dxfId="1073" priority="33" stopIfTrue="1">
      <formula>G27&lt;=0.5</formula>
    </cfRule>
    <cfRule type="expression" dxfId="1072" priority="34" stopIfTrue="1">
      <formula>AND(G27&gt;=1,G27&lt;2)</formula>
    </cfRule>
    <cfRule type="expression" dxfId="1071" priority="35" stopIfTrue="1">
      <formula>G27&gt;2</formula>
    </cfRule>
  </conditionalFormatting>
  <conditionalFormatting sqref="F26:H27">
    <cfRule type="expression" dxfId="1070" priority="21" stopIfTrue="1">
      <formula>F26&lt;0</formula>
    </cfRule>
    <cfRule type="expression" dxfId="1069" priority="22" stopIfTrue="1">
      <formula>F26=1</formula>
    </cfRule>
    <cfRule type="expression" dxfId="1068" priority="23" stopIfTrue="1">
      <formula>AND(F26&lt;1,F26&gt;=0)</formula>
    </cfRule>
    <cfRule type="expression" dxfId="1067" priority="24" stopIfTrue="1">
      <formula>AND(F26&lt;2,F26&gt;1)</formula>
    </cfRule>
    <cfRule type="expression" dxfId="1066" priority="25" stopIfTrue="1">
      <formula>F26&gt;=2</formula>
    </cfRule>
  </conditionalFormatting>
  <conditionalFormatting sqref="F27">
    <cfRule type="colorScale" priority="4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20:C28">
    <cfRule type="expression" dxfId="1065" priority="6" stopIfTrue="1">
      <formula>E20&gt;=6.8%</formula>
    </cfRule>
    <cfRule type="expression" dxfId="1064" priority="7" stopIfTrue="1">
      <formula>AND(E20&gt;0%,E20&lt;6.8%)</formula>
    </cfRule>
    <cfRule type="expression" dxfId="1063" priority="8" stopIfTrue="1">
      <formula>E20=0%</formula>
    </cfRule>
    <cfRule type="expression" dxfId="1062" priority="9" stopIfTrue="1">
      <formula>AND(E20&gt;-6.8%, E20&lt;0%)</formula>
    </cfRule>
    <cfRule type="expression" dxfId="1061" priority="10" stopIfTrue="1">
      <formula>E20&lt;=-6.8%</formula>
    </cfRule>
  </conditionalFormatting>
  <conditionalFormatting sqref="B20:B28">
    <cfRule type="expression" dxfId="1060" priority="16" stopIfTrue="1">
      <formula>E20&gt;=6.8%</formula>
    </cfRule>
    <cfRule type="expression" dxfId="1059" priority="17" stopIfTrue="1">
      <formula>AND(E20&gt;0%,E20&lt;6.8%)</formula>
    </cfRule>
    <cfRule type="expression" dxfId="1058" priority="18" stopIfTrue="1">
      <formula>E20=0%</formula>
    </cfRule>
    <cfRule type="expression" dxfId="1057" priority="19" stopIfTrue="1">
      <formula>AND(E20&gt;-6.8%, E20&lt;0%)</formula>
    </cfRule>
    <cfRule type="expression" dxfId="1056" priority="20" stopIfTrue="1">
      <formula>E20&lt;=-6.8%</formula>
    </cfRule>
  </conditionalFormatting>
  <conditionalFormatting sqref="D20:D28">
    <cfRule type="expression" dxfId="1055" priority="1" stopIfTrue="1">
      <formula>D20&gt;20000</formula>
    </cfRule>
    <cfRule type="expression" dxfId="1054" priority="2" stopIfTrue="1">
      <formula>AND(D20&gt;10000,D20&lt;=20000)</formula>
    </cfRule>
    <cfRule type="expression" dxfId="1053" priority="3" stopIfTrue="1">
      <formula>AND(D20&gt;1000,D20&lt;=10000)</formula>
    </cfRule>
    <cfRule type="expression" dxfId="1052" priority="4" stopIfTrue="1">
      <formula>AND(D20&gt;200,D20&lt;=1000)</formula>
    </cfRule>
    <cfRule type="expression" dxfId="1051" priority="5" stopIfTrue="1">
      <formula>D20&lt;=200</formula>
    </cfRule>
  </conditionalFormatting>
  <conditionalFormatting sqref="E20:E28">
    <cfRule type="expression" dxfId="1050" priority="11" stopIfTrue="1">
      <formula>E20&gt;=6.8%</formula>
    </cfRule>
    <cfRule type="expression" dxfId="1049" priority="12" stopIfTrue="1">
      <formula>AND(E20&gt;0%,E20&lt;6.8%)</formula>
    </cfRule>
    <cfRule type="expression" dxfId="1048" priority="13" stopIfTrue="1">
      <formula>E20=0%</formula>
    </cfRule>
    <cfRule type="expression" dxfId="1047" priority="14" stopIfTrue="1">
      <formula>AND(E20&gt;-6.8%, E20&lt;0%)</formula>
    </cfRule>
    <cfRule type="expression" dxfId="1046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E1FD7E-018F-416A-98BF-32E3853B3168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6DBAC471-ABC8-4D1B-AA17-38596457A03E}">
          <x14:formula1>
            <xm:f>'Nơi chứ dữ liệu'!$I$2:$K$2</xm:f>
          </x14:formula1>
          <xm:sqref>N21:N28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3BC50-4B54-4FA3-AC0A-75CE39A0FB51}">
  <sheetPr codeName="Sheet30">
    <tabColor rgb="FFC00000"/>
  </sheetPr>
  <dimension ref="A1:W38"/>
  <sheetViews>
    <sheetView zoomScaleNormal="100" workbookViewId="0">
      <selection activeCell="R11" sqref="R11"/>
    </sheetView>
  </sheetViews>
  <sheetFormatPr defaultRowHeight="15" x14ac:dyDescent="0.2"/>
  <cols>
    <col min="1" max="1" width="8" customWidth="1"/>
    <col min="2" max="2" width="9.6640625" customWidth="1"/>
    <col min="3" max="3" width="10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19" max="19" width="11.88671875" bestFit="1" customWidth="1"/>
    <col min="20" max="20" width="12.33203125" bestFit="1" customWidth="1"/>
    <col min="21" max="21" width="16.33203125" bestFit="1" customWidth="1"/>
    <col min="22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"&amp;SUM($O$20:O24)&amp;" "&amp;"trên tổng"&amp;" "&amp;$O$19</f>
        <v>Tổng điểm nhóm hôm nay -2 trên tổng 6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1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3</v>
      </c>
      <c r="B16" s="189"/>
      <c r="C16" s="189"/>
      <c r="D16" s="189"/>
      <c r="E16" s="189"/>
      <c r="F16" s="190">
        <f>AVERAGE(E20:E38)</f>
        <v>-7.1381578947368402E-3</v>
      </c>
      <c r="G16" s="191">
        <f>AVERAGE(F20:F38)</f>
        <v>0.6454923022542608</v>
      </c>
    </row>
    <row r="17" spans="1:23" ht="15.75" x14ac:dyDescent="0.2">
      <c r="A17" s="188" t="str">
        <f>"Tổng điểm tham chiếu nhóm hôm nay"&amp;" "&amp;(O19-(P19+Q19))</f>
        <v>Tổng điểm tham chiếu nhóm hôm nay 2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S18" s="95" t="s">
        <v>3050</v>
      </c>
      <c r="T18" t="s">
        <v>3056</v>
      </c>
      <c r="U18" t="s">
        <v>3211</v>
      </c>
      <c r="V18"/>
    </row>
    <row r="19" spans="1:23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COUNT(O20:O25)</f>
        <v>6</v>
      </c>
      <c r="P19" s="158">
        <f>SUM(P20:P25)</f>
        <v>1</v>
      </c>
      <c r="Q19" s="158">
        <f>SUM(Q20:Q25)</f>
        <v>3</v>
      </c>
      <c r="S19" s="12" t="s">
        <v>413</v>
      </c>
      <c r="T19" s="337">
        <v>-9.4979999999999995E-3</v>
      </c>
      <c r="U19" s="337">
        <v>13.8</v>
      </c>
      <c r="V19"/>
    </row>
    <row r="20" spans="1:23" ht="15.75" customHeight="1" x14ac:dyDescent="0.2">
      <c r="A20" s="309" t="s">
        <v>3161</v>
      </c>
      <c r="B20" s="3" t="s">
        <v>175</v>
      </c>
      <c r="C20" s="101" cm="1">
        <f t="array" ref="C20:M20">tinh_du_lieu_cp(B20)</f>
        <v>29.1</v>
      </c>
      <c r="D20" s="103">
        <v>3.2</v>
      </c>
      <c r="E20" s="102">
        <v>-1.0204E-2</v>
      </c>
      <c r="F20" s="98">
        <v>5.9204539911765053E-2</v>
      </c>
      <c r="G20" s="98">
        <v>1.0219146482122261</v>
      </c>
      <c r="H20" s="98">
        <v>0.26418988648090813</v>
      </c>
      <c r="I20" s="93">
        <v>0.19047619047619052</v>
      </c>
      <c r="J20" s="101">
        <v>25.2</v>
      </c>
      <c r="K20" s="101">
        <v>30</v>
      </c>
      <c r="L20" s="93">
        <v>0.15476190476190485</v>
      </c>
      <c r="M20" s="93">
        <v>-2.9999999999999954E-2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S20" s="12" t="s">
        <v>446</v>
      </c>
      <c r="T20" s="337">
        <v>-9.3019999999999995E-3</v>
      </c>
      <c r="U20" s="337">
        <v>69.900000000000006</v>
      </c>
    </row>
    <row r="21" spans="1:23" ht="15.75" customHeight="1" x14ac:dyDescent="0.2">
      <c r="A21" s="309"/>
      <c r="B21" s="3" t="s">
        <v>247</v>
      </c>
      <c r="C21" s="101">
        <f t="array" ref="C21:M21">tinh_du_lieu_cp(B21)</f>
        <v>12.7</v>
      </c>
      <c r="D21" s="103">
        <v>1.1000000000000001</v>
      </c>
      <c r="E21" s="102">
        <v>5.8333000000000003E-2</v>
      </c>
      <c r="F21" s="98">
        <v>2.2907989397955322</v>
      </c>
      <c r="G21" s="98">
        <v>0.99936020473448528</v>
      </c>
      <c r="H21" s="98">
        <v>0.8434504792332268</v>
      </c>
      <c r="I21" s="93">
        <v>0.17272727272727276</v>
      </c>
      <c r="J21" s="101">
        <v>11</v>
      </c>
      <c r="K21" s="101">
        <v>12.9</v>
      </c>
      <c r="L21" s="93">
        <v>0.15454545454545449</v>
      </c>
      <c r="M21" s="93">
        <v>-1.5503875968992331E-2</v>
      </c>
      <c r="N21" s="92"/>
      <c r="O21" s="92">
        <f t="shared" ref="O21:O24" si="0">IF(E21&gt;0,1,IF(E21=0,0,-1))</f>
        <v>1</v>
      </c>
      <c r="P21" s="92">
        <f t="shared" ref="P21:P24" si="1">IF(O21=1,1,0)</f>
        <v>1</v>
      </c>
      <c r="Q21" s="92">
        <f t="shared" ref="Q21:Q24" si="2">IF(O21&lt;0,1,0)</f>
        <v>0</v>
      </c>
      <c r="S21" s="12" t="s">
        <v>530</v>
      </c>
      <c r="T21" s="337">
        <v>-1.406E-2</v>
      </c>
      <c r="U21" s="337">
        <v>256.10000000000002</v>
      </c>
    </row>
    <row r="22" spans="1:23" ht="15.75" customHeight="1" x14ac:dyDescent="0.2">
      <c r="A22" s="309"/>
      <c r="B22" s="3" t="s">
        <v>365</v>
      </c>
      <c r="C22" s="101">
        <f t="array" ref="C22:M22">tinh_du_lieu_cp(B22)</f>
        <v>4.99</v>
      </c>
      <c r="D22" s="103">
        <v>2424.6017000000002</v>
      </c>
      <c r="E22" s="102">
        <v>-6.9029999999999994E-2</v>
      </c>
      <c r="F22" s="98">
        <v>0.21061948110765308</v>
      </c>
      <c r="G22" s="98">
        <v>0.94556994160954555</v>
      </c>
      <c r="H22" s="98">
        <v>0.13841354834277936</v>
      </c>
      <c r="I22" s="93">
        <v>0.31863727454909818</v>
      </c>
      <c r="J22" s="101">
        <v>4.99</v>
      </c>
      <c r="K22" s="101">
        <v>6.58</v>
      </c>
      <c r="L22" s="93">
        <v>0</v>
      </c>
      <c r="M22" s="93">
        <v>-0.2416413373860182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S22" s="12" t="s">
        <v>1022</v>
      </c>
      <c r="T22" s="337">
        <v>-5.3811999999999999E-2</v>
      </c>
      <c r="U22" s="337">
        <v>15928.7</v>
      </c>
    </row>
    <row r="23" spans="1:23" ht="15.75" customHeight="1" x14ac:dyDescent="0.2">
      <c r="A23" s="309"/>
      <c r="B23" s="3" t="s">
        <v>405</v>
      </c>
      <c r="C23" s="101">
        <f t="array" ref="C23:M23">tinh_du_lieu_cp(B23)</f>
        <v>12</v>
      </c>
      <c r="D23" s="103">
        <v>0.9</v>
      </c>
      <c r="E23" s="102">
        <v>0</v>
      </c>
      <c r="F23" s="98">
        <v>4.0016168148746969</v>
      </c>
      <c r="G23" s="98">
        <v>1.0534716679968079</v>
      </c>
      <c r="H23" s="98">
        <v>4.032860343539955</v>
      </c>
      <c r="I23" s="93">
        <v>0.2452830188679245</v>
      </c>
      <c r="J23" s="101">
        <v>10.6</v>
      </c>
      <c r="K23" s="101">
        <v>13.2</v>
      </c>
      <c r="L23" s="93">
        <v>0.13207547169811323</v>
      </c>
      <c r="M23" s="93">
        <v>-9.0909090909090856E-2</v>
      </c>
      <c r="N23" s="92"/>
      <c r="O23" s="92">
        <f t="shared" si="0"/>
        <v>0</v>
      </c>
      <c r="P23" s="92">
        <f t="shared" si="1"/>
        <v>0</v>
      </c>
      <c r="Q23" s="92">
        <f t="shared" si="2"/>
        <v>0</v>
      </c>
      <c r="S23" s="12" t="s">
        <v>1677</v>
      </c>
      <c r="T23" s="337">
        <v>-1.3774E-2</v>
      </c>
      <c r="U23" s="337">
        <v>128.9</v>
      </c>
    </row>
    <row r="24" spans="1:23" ht="15.75" customHeight="1" x14ac:dyDescent="0.2">
      <c r="A24" s="309"/>
      <c r="B24" s="3" t="s">
        <v>413</v>
      </c>
      <c r="C24" s="101" cm="1">
        <f t="array" ref="C24:M24">tinh_du_lieu_cp(B24)</f>
        <v>36.5</v>
      </c>
      <c r="D24" s="103">
        <v>13.8</v>
      </c>
      <c r="E24" s="102">
        <v>-9.4979999999999995E-3</v>
      </c>
      <c r="F24" s="98">
        <v>0.16698751443814971</v>
      </c>
      <c r="G24" s="98">
        <v>1.0068917987594761</v>
      </c>
      <c r="H24" s="98">
        <v>0.27281713344316311</v>
      </c>
      <c r="I24" s="93">
        <v>0.13004484304932717</v>
      </c>
      <c r="J24" s="101">
        <v>33.450000000000003</v>
      </c>
      <c r="K24" s="101">
        <v>37.799999999999997</v>
      </c>
      <c r="L24" s="93">
        <v>9.1180866965620236E-2</v>
      </c>
      <c r="M24" s="93">
        <v>-3.439153439153432E-2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S24" s="12" t="s">
        <v>1931</v>
      </c>
      <c r="T24" s="337">
        <v>0</v>
      </c>
      <c r="U24" s="337">
        <v>0</v>
      </c>
    </row>
    <row r="25" spans="1:23" x14ac:dyDescent="0.2">
      <c r="A25" s="309"/>
      <c r="B25" s="3" t="s">
        <v>430</v>
      </c>
      <c r="C25" s="101">
        <f t="array" ref="C25:M25">tinh_du_lieu_cp(B25)</f>
        <v>10.4</v>
      </c>
      <c r="D25" s="103">
        <v>0</v>
      </c>
      <c r="E25" s="102">
        <v>0</v>
      </c>
      <c r="F25" s="98">
        <v>0</v>
      </c>
      <c r="G25" s="98">
        <v>1.0010374981473249</v>
      </c>
      <c r="H25" s="98">
        <v>0</v>
      </c>
      <c r="I25" s="93">
        <v>8.0808080808080704E-2</v>
      </c>
      <c r="J25" s="101">
        <v>9.9</v>
      </c>
      <c r="K25" s="101">
        <v>10.7</v>
      </c>
      <c r="L25" s="93">
        <v>5.0505050505050504E-2</v>
      </c>
      <c r="M25" s="93">
        <v>-2.8037383177569996E-2</v>
      </c>
      <c r="N25" s="92"/>
      <c r="O25" s="92">
        <f t="shared" ref="O25" si="3">IF(E25&gt;0,1,IF(E25=0,0,-1))</f>
        <v>0</v>
      </c>
      <c r="P25" s="92">
        <f t="shared" ref="P25" si="4">IF(O25=1,1,0)</f>
        <v>0</v>
      </c>
      <c r="Q25" s="92">
        <f t="shared" ref="Q25" si="5">IF(O25&lt;0,1,0)</f>
        <v>0</v>
      </c>
      <c r="S25" s="12" t="s">
        <v>175</v>
      </c>
      <c r="T25" s="337">
        <v>-1.0204E-2</v>
      </c>
      <c r="U25" s="337">
        <v>3.2</v>
      </c>
      <c r="V25" s="115"/>
      <c r="W25" s="116"/>
    </row>
    <row r="26" spans="1:23" x14ac:dyDescent="0.2">
      <c r="B26" s="3" t="s">
        <v>446</v>
      </c>
      <c r="C26" s="101" cm="1">
        <f t="array" ref="C26:M26">tinh_du_lieu_cp(B26)</f>
        <v>21.3</v>
      </c>
      <c r="D26" s="103">
        <v>69.900000000000006</v>
      </c>
      <c r="E26" s="102">
        <v>-9.3019999999999995E-3</v>
      </c>
      <c r="F26" s="98">
        <v>0.35893007188871251</v>
      </c>
      <c r="G26" s="98">
        <v>1.0205051262815705</v>
      </c>
      <c r="H26" s="98">
        <v>0.25725326627001166</v>
      </c>
      <c r="I26" s="93">
        <v>9.7499999999999962E-2</v>
      </c>
      <c r="J26" s="101">
        <v>20</v>
      </c>
      <c r="K26" s="101">
        <v>21.95</v>
      </c>
      <c r="L26" s="93">
        <v>6.500000000000003E-2</v>
      </c>
      <c r="M26" s="93">
        <v>-2.9612756264236838E-2</v>
      </c>
      <c r="N26" s="92"/>
      <c r="O26" s="92">
        <f t="shared" ref="O26:O38" si="6">IF(E26&gt;0,1,IF(E26=0,0,-1))</f>
        <v>-1</v>
      </c>
      <c r="P26" s="92">
        <f t="shared" ref="P26:P38" si="7">IF(O26=1,1,0)</f>
        <v>0</v>
      </c>
      <c r="Q26" s="92">
        <f t="shared" ref="Q26:Q38" si="8">IF(O26&lt;0,1,0)</f>
        <v>1</v>
      </c>
      <c r="S26" s="12" t="s">
        <v>247</v>
      </c>
      <c r="T26" s="337">
        <v>5.8333000000000003E-2</v>
      </c>
      <c r="U26" s="337">
        <v>1.1000000000000001</v>
      </c>
      <c r="V26" s="115"/>
      <c r="W26" s="116"/>
    </row>
    <row r="27" spans="1:23" x14ac:dyDescent="0.2">
      <c r="B27" s="3" t="s">
        <v>530</v>
      </c>
      <c r="C27" s="101" cm="1">
        <f t="array" ref="C27:M27">tinh_du_lieu_cp(B27)</f>
        <v>56.1</v>
      </c>
      <c r="D27" s="103">
        <v>256.10000000000002</v>
      </c>
      <c r="E27" s="102">
        <v>-1.406E-2</v>
      </c>
      <c r="F27" s="98">
        <v>0.31132648888790654</v>
      </c>
      <c r="G27" s="98">
        <v>1.0385198665453441</v>
      </c>
      <c r="H27" s="98">
        <v>0.39854752950330696</v>
      </c>
      <c r="I27" s="93">
        <v>0.21030927835051552</v>
      </c>
      <c r="J27" s="101">
        <v>48.5</v>
      </c>
      <c r="K27" s="101">
        <v>58.7</v>
      </c>
      <c r="L27" s="93">
        <v>0.15670103092783508</v>
      </c>
      <c r="M27" s="93">
        <v>-4.4293015332197636E-2</v>
      </c>
      <c r="N27" s="92"/>
      <c r="O27" s="92">
        <f t="shared" si="6"/>
        <v>-1</v>
      </c>
      <c r="P27" s="92">
        <f t="shared" si="7"/>
        <v>0</v>
      </c>
      <c r="Q27" s="92">
        <f t="shared" si="8"/>
        <v>1</v>
      </c>
      <c r="S27" s="12" t="s">
        <v>365</v>
      </c>
      <c r="T27" s="337">
        <v>-6.9029999999999994E-2</v>
      </c>
      <c r="U27" s="337">
        <v>2424.6017000000002</v>
      </c>
      <c r="V27" s="115"/>
      <c r="W27" s="116"/>
    </row>
    <row r="28" spans="1:23" x14ac:dyDescent="0.2">
      <c r="B28" s="3" t="s">
        <v>1022</v>
      </c>
      <c r="C28" s="101" cm="1">
        <f t="array" ref="C28:M28">tinh_du_lieu_cp(B28)</f>
        <v>10.55</v>
      </c>
      <c r="D28" s="103">
        <v>15928.7</v>
      </c>
      <c r="E28" s="102">
        <v>-5.3811999999999999E-2</v>
      </c>
      <c r="F28" s="98">
        <v>1.4055962353323141</v>
      </c>
      <c r="G28" s="98">
        <v>1.0601097669272541</v>
      </c>
      <c r="H28" s="98">
        <v>1.1169900395462873</v>
      </c>
      <c r="I28" s="93">
        <v>0.34117647058823536</v>
      </c>
      <c r="J28" s="101">
        <v>8.5</v>
      </c>
      <c r="K28" s="101">
        <v>11.4</v>
      </c>
      <c r="L28" s="93">
        <v>0.24117647058823538</v>
      </c>
      <c r="M28" s="93">
        <v>-7.4561403508771898E-2</v>
      </c>
      <c r="N28" s="92"/>
      <c r="O28" s="92">
        <f t="shared" si="6"/>
        <v>-1</v>
      </c>
      <c r="P28" s="92">
        <f t="shared" si="7"/>
        <v>0</v>
      </c>
      <c r="Q28" s="92">
        <f t="shared" si="8"/>
        <v>1</v>
      </c>
      <c r="S28" s="12" t="s">
        <v>405</v>
      </c>
      <c r="T28" s="337">
        <v>0</v>
      </c>
      <c r="U28" s="337">
        <v>0.9</v>
      </c>
      <c r="V28" s="115"/>
      <c r="W28" s="116"/>
    </row>
    <row r="29" spans="1:23" x14ac:dyDescent="0.2">
      <c r="B29" s="3" t="s">
        <v>1053</v>
      </c>
      <c r="C29" s="101" cm="1">
        <f t="array" ref="C29:M29">tinh_du_lieu_cp(B29)</f>
        <v>4.1900000000000004</v>
      </c>
      <c r="D29" s="103">
        <v>441.4</v>
      </c>
      <c r="E29" s="102">
        <v>-7.1089999999999999E-3</v>
      </c>
      <c r="F29" s="98">
        <v>0.63599806138087323</v>
      </c>
      <c r="G29" s="98">
        <v>1.0168813534441632</v>
      </c>
      <c r="H29" s="98">
        <v>0.44963582961240045</v>
      </c>
      <c r="I29" s="93">
        <v>7.4999999999999956E-2</v>
      </c>
      <c r="J29" s="101">
        <v>4</v>
      </c>
      <c r="K29" s="101">
        <v>4.3</v>
      </c>
      <c r="L29" s="93">
        <v>4.7500000000000098E-2</v>
      </c>
      <c r="M29" s="93">
        <v>-2.5581395348837077E-2</v>
      </c>
      <c r="N29" s="92"/>
      <c r="O29" s="92">
        <f t="shared" si="6"/>
        <v>-1</v>
      </c>
      <c r="P29" s="92">
        <f t="shared" si="7"/>
        <v>0</v>
      </c>
      <c r="Q29" s="92">
        <f t="shared" si="8"/>
        <v>1</v>
      </c>
      <c r="S29" s="12" t="s">
        <v>430</v>
      </c>
      <c r="T29" s="337">
        <v>0</v>
      </c>
      <c r="U29" s="337">
        <v>0</v>
      </c>
      <c r="V29" s="115"/>
      <c r="W29" s="116"/>
    </row>
    <row r="30" spans="1:23" x14ac:dyDescent="0.2">
      <c r="B30" s="3" t="s">
        <v>1677</v>
      </c>
      <c r="C30" s="101" cm="1">
        <f t="array" ref="C30:M30">tinh_du_lieu_cp(B30)</f>
        <v>17.899999999999999</v>
      </c>
      <c r="D30" s="103">
        <v>128.9</v>
      </c>
      <c r="E30" s="102">
        <v>-1.3774E-2</v>
      </c>
      <c r="F30" s="98">
        <v>0.29314533218933814</v>
      </c>
      <c r="G30" s="98">
        <v>1.0199105711634184</v>
      </c>
      <c r="H30" s="98">
        <v>0.34675394548063132</v>
      </c>
      <c r="I30" s="93">
        <v>0.1626506024096385</v>
      </c>
      <c r="J30" s="101">
        <v>16.600000000000001</v>
      </c>
      <c r="K30" s="101">
        <v>19.3</v>
      </c>
      <c r="L30" s="93">
        <v>7.8313253012048015E-2</v>
      </c>
      <c r="M30" s="93">
        <v>-7.2538860103627048E-2</v>
      </c>
      <c r="N30" s="92"/>
      <c r="O30" s="92">
        <f t="shared" si="6"/>
        <v>-1</v>
      </c>
      <c r="P30" s="92">
        <f t="shared" si="7"/>
        <v>0</v>
      </c>
      <c r="Q30" s="92">
        <f t="shared" si="8"/>
        <v>1</v>
      </c>
      <c r="S30" s="12" t="s">
        <v>1053</v>
      </c>
      <c r="T30" s="337">
        <v>-7.1089999999999999E-3</v>
      </c>
      <c r="U30" s="337">
        <v>441.4</v>
      </c>
      <c r="V30" s="115"/>
      <c r="W30" s="116"/>
    </row>
    <row r="31" spans="1:23" x14ac:dyDescent="0.2">
      <c r="B31" s="3" t="s">
        <v>1865</v>
      </c>
      <c r="C31" s="101" cm="1">
        <f t="array" ref="C31:M31">tinh_du_lieu_cp(B31)</f>
        <v>5.29</v>
      </c>
      <c r="D31" s="103">
        <v>230.6</v>
      </c>
      <c r="E31" s="102">
        <v>-1.6729000000000001E-2</v>
      </c>
      <c r="F31" s="98">
        <v>0.41043315049431256</v>
      </c>
      <c r="G31" s="98">
        <v>1.127745276685528</v>
      </c>
      <c r="H31" s="98">
        <v>0.28578510348246378</v>
      </c>
      <c r="I31" s="93">
        <v>0.44908616187989547</v>
      </c>
      <c r="J31" s="101">
        <v>3.83</v>
      </c>
      <c r="K31" s="101">
        <v>5.55</v>
      </c>
      <c r="L31" s="93">
        <v>0.38120104438642294</v>
      </c>
      <c r="M31" s="93">
        <v>-4.6846846846846812E-2</v>
      </c>
      <c r="N31" s="92"/>
      <c r="O31" s="92">
        <f t="shared" si="6"/>
        <v>-1</v>
      </c>
      <c r="P31" s="92">
        <f t="shared" si="7"/>
        <v>0</v>
      </c>
      <c r="Q31" s="92">
        <f t="shared" si="8"/>
        <v>1</v>
      </c>
      <c r="S31" s="12" t="s">
        <v>1865</v>
      </c>
      <c r="T31" s="337">
        <v>-1.6729000000000001E-2</v>
      </c>
      <c r="U31" s="337">
        <v>230.6</v>
      </c>
      <c r="V31" s="115"/>
      <c r="W31" s="116"/>
    </row>
    <row r="32" spans="1:23" x14ac:dyDescent="0.2">
      <c r="B32" s="3" t="s">
        <v>1931</v>
      </c>
      <c r="C32" s="101" cm="1">
        <f t="array" ref="C32:M32">tinh_du_lieu_cp(B32)</f>
        <v>23.4</v>
      </c>
      <c r="D32" s="103">
        <v>0</v>
      </c>
      <c r="E32" s="102">
        <v>0</v>
      </c>
      <c r="F32" s="98">
        <v>0</v>
      </c>
      <c r="G32" s="98">
        <v>0.98398052031270034</v>
      </c>
      <c r="H32" s="98">
        <v>0</v>
      </c>
      <c r="I32" s="93">
        <v>0.27314814814814808</v>
      </c>
      <c r="J32" s="101">
        <v>21.6</v>
      </c>
      <c r="K32" s="101">
        <v>27.5</v>
      </c>
      <c r="L32" s="93">
        <v>8.333333333333319E-2</v>
      </c>
      <c r="M32" s="93">
        <v>-0.14909090909090914</v>
      </c>
      <c r="N32" s="92"/>
      <c r="O32" s="92">
        <f t="shared" si="6"/>
        <v>0</v>
      </c>
      <c r="P32" s="92">
        <f t="shared" si="7"/>
        <v>0</v>
      </c>
      <c r="Q32" s="92">
        <f t="shared" si="8"/>
        <v>0</v>
      </c>
      <c r="S32" s="12" t="s">
        <v>2028</v>
      </c>
      <c r="T32" s="337">
        <v>0</v>
      </c>
      <c r="U32" s="337">
        <v>1</v>
      </c>
      <c r="V32" s="115"/>
      <c r="W32" s="116"/>
    </row>
    <row r="33" spans="2:23" x14ac:dyDescent="0.2">
      <c r="B33" s="3" t="s">
        <v>2028</v>
      </c>
      <c r="C33" s="101" cm="1">
        <f t="array" ref="C33:M33">tinh_du_lieu_cp(B33)</f>
        <v>20.9</v>
      </c>
      <c r="D33" s="103">
        <v>1</v>
      </c>
      <c r="E33" s="102">
        <v>0</v>
      </c>
      <c r="F33" s="98">
        <v>0.36124794745484401</v>
      </c>
      <c r="G33" s="98">
        <v>1.0277335758126847</v>
      </c>
      <c r="H33" s="98">
        <v>1.8181818181818181</v>
      </c>
      <c r="I33" s="93">
        <v>0.16022099447513802</v>
      </c>
      <c r="J33" s="101">
        <v>18.100000000000001</v>
      </c>
      <c r="K33" s="101">
        <v>21</v>
      </c>
      <c r="L33" s="93">
        <v>0.15469613259668491</v>
      </c>
      <c r="M33" s="93">
        <v>-4.76190476190483E-3</v>
      </c>
      <c r="N33" s="92"/>
      <c r="O33" s="92">
        <f t="shared" si="6"/>
        <v>0</v>
      </c>
      <c r="P33" s="92">
        <f t="shared" si="7"/>
        <v>0</v>
      </c>
      <c r="Q33" s="92">
        <f t="shared" si="8"/>
        <v>0</v>
      </c>
      <c r="S33" s="12" t="s">
        <v>2062</v>
      </c>
      <c r="T33" s="337">
        <v>2.9786999999999998E-2</v>
      </c>
      <c r="U33" s="337">
        <v>4.2</v>
      </c>
      <c r="V33" s="115"/>
      <c r="W33" s="116"/>
    </row>
    <row r="34" spans="2:23" x14ac:dyDescent="0.2">
      <c r="B34" s="3" t="s">
        <v>2062</v>
      </c>
      <c r="C34" s="101" cm="1">
        <f t="array" ref="C34:M34">tinh_du_lieu_cp(B34)</f>
        <v>24.2</v>
      </c>
      <c r="D34" s="103">
        <v>4.2</v>
      </c>
      <c r="E34" s="102">
        <v>2.9786999999999998E-2</v>
      </c>
      <c r="F34" s="98">
        <v>0.58317134129408499</v>
      </c>
      <c r="G34" s="98">
        <v>1.0320933625091173</v>
      </c>
      <c r="H34" s="98">
        <v>0.31281809379577447</v>
      </c>
      <c r="I34" s="93">
        <v>0.63636363636363635</v>
      </c>
      <c r="J34" s="101">
        <v>22</v>
      </c>
      <c r="K34" s="101">
        <v>36</v>
      </c>
      <c r="L34" s="93">
        <v>9.9999999999999964E-2</v>
      </c>
      <c r="M34" s="93">
        <v>-0.32777777777777778</v>
      </c>
      <c r="N34" s="92"/>
      <c r="O34" s="92">
        <f t="shared" si="6"/>
        <v>1</v>
      </c>
      <c r="P34" s="92">
        <f t="shared" si="7"/>
        <v>1</v>
      </c>
      <c r="Q34" s="92">
        <f t="shared" si="8"/>
        <v>0</v>
      </c>
      <c r="S34" s="12" t="s">
        <v>2088</v>
      </c>
      <c r="T34" s="337">
        <v>-6.0609999999999995E-3</v>
      </c>
      <c r="U34" s="337">
        <v>6.7</v>
      </c>
      <c r="V34" s="115"/>
      <c r="W34" s="116"/>
    </row>
    <row r="35" spans="2:23" x14ac:dyDescent="0.2">
      <c r="B35" s="3" t="s">
        <v>2088</v>
      </c>
      <c r="C35" s="101" cm="1">
        <f t="array" ref="C35:M35">tinh_du_lieu_cp(B35)</f>
        <v>65.599999999999994</v>
      </c>
      <c r="D35" s="103">
        <v>6.7</v>
      </c>
      <c r="E35" s="102">
        <v>-6.0609999999999995E-3</v>
      </c>
      <c r="F35" s="98">
        <v>4.5861312156234624E-2</v>
      </c>
      <c r="G35" s="98">
        <v>0.99899522732981649</v>
      </c>
      <c r="H35" s="98">
        <v>7.2600001083582111E-2</v>
      </c>
      <c r="I35" s="93">
        <v>0.3717693836978132</v>
      </c>
      <c r="J35" s="101">
        <v>50.3</v>
      </c>
      <c r="K35" s="101">
        <v>69</v>
      </c>
      <c r="L35" s="93">
        <v>0.30417495029821068</v>
      </c>
      <c r="M35" s="93">
        <v>-4.9275362318840665E-2</v>
      </c>
      <c r="N35" s="92"/>
      <c r="O35" s="92">
        <f t="shared" si="6"/>
        <v>-1</v>
      </c>
      <c r="P35" s="92">
        <f t="shared" si="7"/>
        <v>0</v>
      </c>
      <c r="Q35" s="92">
        <f t="shared" si="8"/>
        <v>1</v>
      </c>
      <c r="S35" s="12" t="s">
        <v>2514</v>
      </c>
      <c r="T35" s="337">
        <v>6.6669999999999993E-3</v>
      </c>
      <c r="U35" s="337">
        <v>2</v>
      </c>
    </row>
    <row r="36" spans="2:23" x14ac:dyDescent="0.2">
      <c r="B36" s="3" t="s">
        <v>2514</v>
      </c>
      <c r="C36" s="101" cm="1">
        <f t="array" ref="C36:M36">tinh_du_lieu_cp(B36)</f>
        <v>15.1</v>
      </c>
      <c r="D36" s="103">
        <v>2</v>
      </c>
      <c r="E36" s="102">
        <v>6.6669999999999993E-3</v>
      </c>
      <c r="F36" s="98">
        <v>0.40729427011015462</v>
      </c>
      <c r="G36" s="98">
        <v>1.0130426125049781</v>
      </c>
      <c r="H36" s="98">
        <v>0.30634126416828344</v>
      </c>
      <c r="I36" s="93">
        <v>0.33333333333333331</v>
      </c>
      <c r="J36" s="101">
        <v>12</v>
      </c>
      <c r="K36" s="101">
        <v>16</v>
      </c>
      <c r="L36" s="93">
        <v>0.2583333333333333</v>
      </c>
      <c r="M36" s="93">
        <v>-5.6250000000000022E-2</v>
      </c>
      <c r="N36" s="92"/>
      <c r="O36" s="92">
        <f t="shared" si="6"/>
        <v>1</v>
      </c>
      <c r="P36" s="92">
        <f t="shared" si="7"/>
        <v>1</v>
      </c>
      <c r="Q36" s="92">
        <f t="shared" si="8"/>
        <v>0</v>
      </c>
      <c r="S36" s="12" t="s">
        <v>2652</v>
      </c>
      <c r="T36" s="337">
        <v>-2.0833000000000001E-2</v>
      </c>
      <c r="U36" s="337">
        <v>174.4</v>
      </c>
    </row>
    <row r="37" spans="2:23" x14ac:dyDescent="0.2">
      <c r="B37" s="3" t="s">
        <v>2652</v>
      </c>
      <c r="C37" s="101" cm="1">
        <f t="array" ref="C37:M37">tinh_du_lieu_cp(B37)</f>
        <v>9.4</v>
      </c>
      <c r="D37" s="103">
        <v>174.4</v>
      </c>
      <c r="E37" s="102">
        <v>-2.0833000000000001E-2</v>
      </c>
      <c r="F37" s="98">
        <v>0.58405929736302586</v>
      </c>
      <c r="G37" s="98">
        <v>1.0107630522088351</v>
      </c>
      <c r="H37" s="98">
        <v>0.67605721159996324</v>
      </c>
      <c r="I37" s="93">
        <v>0.16304347826086957</v>
      </c>
      <c r="J37" s="101">
        <v>9.1999999999999993</v>
      </c>
      <c r="K37" s="101">
        <v>10.7</v>
      </c>
      <c r="L37" s="93">
        <v>2.1739130434782726E-2</v>
      </c>
      <c r="M37" s="93">
        <v>-0.12149532710280364</v>
      </c>
      <c r="N37" s="92"/>
      <c r="O37" s="92">
        <f t="shared" si="6"/>
        <v>-1</v>
      </c>
      <c r="P37" s="92">
        <f t="shared" si="7"/>
        <v>0</v>
      </c>
      <c r="Q37" s="92">
        <f t="shared" si="8"/>
        <v>1</v>
      </c>
      <c r="S37" s="12" t="s">
        <v>2861</v>
      </c>
      <c r="T37" s="337">
        <v>0</v>
      </c>
      <c r="U37" s="337">
        <v>4.5999999999999996</v>
      </c>
    </row>
    <row r="38" spans="2:23" x14ac:dyDescent="0.2">
      <c r="B38" s="3" t="s">
        <v>2861</v>
      </c>
      <c r="C38" s="101" cm="1">
        <f t="array" ref="C38:M38">tinh_du_lieu_cp(B38)</f>
        <v>24.9</v>
      </c>
      <c r="D38" s="103">
        <v>4.5999999999999996</v>
      </c>
      <c r="E38" s="102">
        <v>0</v>
      </c>
      <c r="F38" s="98">
        <v>0.13806294415135628</v>
      </c>
      <c r="G38" s="98">
        <v>1.011843397152675</v>
      </c>
      <c r="H38" s="98">
        <v>0.25935949481281012</v>
      </c>
      <c r="I38" s="93">
        <v>0.20930232558139536</v>
      </c>
      <c r="J38" s="101">
        <v>21.5</v>
      </c>
      <c r="K38" s="101">
        <v>26</v>
      </c>
      <c r="L38" s="93">
        <v>0.15813953488372087</v>
      </c>
      <c r="M38" s="93">
        <v>-4.2307692307692366E-2</v>
      </c>
      <c r="N38" s="92"/>
      <c r="O38" s="92">
        <f t="shared" si="6"/>
        <v>0</v>
      </c>
      <c r="P38" s="92">
        <f t="shared" si="7"/>
        <v>0</v>
      </c>
      <c r="Q38" s="92">
        <f t="shared" si="8"/>
        <v>0</v>
      </c>
      <c r="S38" s="12" t="s">
        <v>3051</v>
      </c>
      <c r="T38" s="337">
        <v>-0.13562499999999997</v>
      </c>
      <c r="U38" s="337">
        <v>19692.101700000003</v>
      </c>
    </row>
  </sheetData>
  <mergeCells count="16">
    <mergeCell ref="N18:N19"/>
    <mergeCell ref="A20:A25"/>
    <mergeCell ref="H18:H19"/>
    <mergeCell ref="I18:I19"/>
    <mergeCell ref="J18:J19"/>
    <mergeCell ref="K18:K19"/>
    <mergeCell ref="L18:L19"/>
    <mergeCell ref="M18:M19"/>
    <mergeCell ref="F14:G14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1042" priority="108" stopIfTrue="1">
      <formula>A14="giảm"</formula>
    </cfRule>
    <cfRule type="expression" dxfId="1041" priority="109" stopIfTrue="1">
      <formula>A14="tăng"</formula>
    </cfRule>
  </conditionalFormatting>
  <conditionalFormatting sqref="G21:G24 G27:G29 G32:G35 G38">
    <cfRule type="expression" dxfId="1040" priority="104" stopIfTrue="1">
      <formula>G21&gt;2</formula>
    </cfRule>
    <cfRule type="expression" dxfId="1039" priority="105" stopIfTrue="1">
      <formula>AND(G21&gt;0.5, G21&lt;1)</formula>
    </cfRule>
    <cfRule type="expression" dxfId="1038" priority="106" stopIfTrue="1">
      <formula>G21&lt;=0.5</formula>
    </cfRule>
    <cfRule type="expression" dxfId="1037" priority="107" stopIfTrue="1">
      <formula>AND(G21&gt;=1,G21&lt;2)</formula>
    </cfRule>
  </conditionalFormatting>
  <conditionalFormatting sqref="H21:H24 H27:H29 H32:H35 H38">
    <cfRule type="expression" dxfId="1036" priority="100" stopIfTrue="1">
      <formula>H21&gt;=2</formula>
    </cfRule>
    <cfRule type="expression" dxfId="1035" priority="101" stopIfTrue="1">
      <formula>AND(H21&gt;=1,H21&lt;2)</formula>
    </cfRule>
    <cfRule type="expression" dxfId="1034" priority="102" stopIfTrue="1">
      <formula>AND(H21&gt;0.5, H21&lt;1)</formula>
    </cfRule>
    <cfRule type="expression" dxfId="1033" priority="103" stopIfTrue="1">
      <formula>H21&lt;=0.5</formula>
    </cfRule>
  </conditionalFormatting>
  <conditionalFormatting sqref="H21:H24 H27:H29 H32:H35 H38">
    <cfRule type="expression" dxfId="1032" priority="90" stopIfTrue="1">
      <formula>H21&gt;=2</formula>
    </cfRule>
    <cfRule type="expression" dxfId="1031" priority="91" stopIfTrue="1">
      <formula>AND(H21&gt;=1,H21&lt;2)</formula>
    </cfRule>
    <cfRule type="expression" dxfId="1030" priority="92" stopIfTrue="1">
      <formula>AND(H21&gt;0.5, H21&lt;1)</formula>
    </cfRule>
    <cfRule type="expression" dxfId="1029" priority="93" stopIfTrue="1">
      <formula>H21&lt;=0.5</formula>
    </cfRule>
    <cfRule type="expression" dxfId="1028" priority="94" stopIfTrue="1">
      <formula>H21&gt;=2</formula>
    </cfRule>
  </conditionalFormatting>
  <conditionalFormatting sqref="G21:G24 G27:G29 G32:G35 G38">
    <cfRule type="expression" dxfId="1027" priority="95" stopIfTrue="1">
      <formula>G21&gt;2</formula>
    </cfRule>
    <cfRule type="expression" dxfId="1026" priority="96" stopIfTrue="1">
      <formula>AND(G21&gt;0.5, G21&lt;1)</formula>
    </cfRule>
    <cfRule type="expression" dxfId="1025" priority="97" stopIfTrue="1">
      <formula>G21&lt;=0.5</formula>
    </cfRule>
    <cfRule type="expression" dxfId="1024" priority="98" stopIfTrue="1">
      <formula>AND(G21&gt;=1,G21&lt;2)</formula>
    </cfRule>
    <cfRule type="expression" dxfId="1023" priority="99" stopIfTrue="1">
      <formula>G21&gt;2</formula>
    </cfRule>
  </conditionalFormatting>
  <conditionalFormatting sqref="F20:H38">
    <cfRule type="expression" dxfId="1022" priority="85" stopIfTrue="1">
      <formula>F20&lt;0</formula>
    </cfRule>
    <cfRule type="expression" dxfId="1021" priority="86" stopIfTrue="1">
      <formula>F20=1</formula>
    </cfRule>
    <cfRule type="expression" dxfId="1020" priority="87" stopIfTrue="1">
      <formula>AND(F20&lt;1,F20&gt;=0)</formula>
    </cfRule>
    <cfRule type="expression" dxfId="1019" priority="88" stopIfTrue="1">
      <formula>AND(F20&lt;2,F20&gt;1)</formula>
    </cfRule>
    <cfRule type="expression" dxfId="1018" priority="89" stopIfTrue="1">
      <formula>F20&gt;=2</formula>
    </cfRule>
  </conditionalFormatting>
  <conditionalFormatting sqref="C3:C7">
    <cfRule type="expression" dxfId="1017" priority="56" stopIfTrue="1">
      <formula>H3="giảm"</formula>
    </cfRule>
    <cfRule type="expression" dxfId="1016" priority="57" stopIfTrue="1">
      <formula>H3="tăng"</formula>
    </cfRule>
  </conditionalFormatting>
  <conditionalFormatting sqref="H3:H7">
    <cfRule type="expression" dxfId="1015" priority="54" stopIfTrue="1">
      <formula>H3="giảm"</formula>
    </cfRule>
    <cfRule type="expression" dxfId="1014" priority="55" stopIfTrue="1">
      <formula>H3="tăng"</formula>
    </cfRule>
  </conditionalFormatting>
  <conditionalFormatting sqref="B3:B7">
    <cfRule type="expression" dxfId="1013" priority="58" stopIfTrue="1">
      <formula>H3="giảm"</formula>
    </cfRule>
    <cfRule type="expression" dxfId="1012" priority="59" stopIfTrue="1">
      <formula>H3="tăng"</formula>
    </cfRule>
  </conditionalFormatting>
  <conditionalFormatting sqref="A3:A7">
    <cfRule type="expression" dxfId="1011" priority="60" stopIfTrue="1">
      <formula>H3="giảm"</formula>
    </cfRule>
    <cfRule type="expression" dxfId="1010" priority="61" stopIfTrue="1">
      <formula>H3="tăng"</formula>
    </cfRule>
  </conditionalFormatting>
  <conditionalFormatting sqref="G3:G7">
    <cfRule type="expression" dxfId="1009" priority="51" stopIfTrue="1">
      <formula>G3=0</formula>
    </cfRule>
    <cfRule type="expression" dxfId="1008" priority="52" stopIfTrue="1">
      <formula>G3&lt;0</formula>
    </cfRule>
    <cfRule type="expression" dxfId="1007" priority="53" stopIfTrue="1">
      <formula>G3&gt;0</formula>
    </cfRule>
  </conditionalFormatting>
  <conditionalFormatting sqref="E3:E7">
    <cfRule type="expression" dxfId="1006" priority="49" stopIfTrue="1">
      <formula>H3="tăng"</formula>
    </cfRule>
    <cfRule type="expression" dxfId="1005" priority="50" stopIfTrue="1">
      <formula>H3="giảm"</formula>
    </cfRule>
  </conditionalFormatting>
  <conditionalFormatting sqref="F3:F7">
    <cfRule type="expression" dxfId="1004" priority="47" stopIfTrue="1">
      <formula>H3="tăng"</formula>
    </cfRule>
    <cfRule type="expression" dxfId="1003" priority="48" stopIfTrue="1">
      <formula>H3="giảm"</formula>
    </cfRule>
  </conditionalFormatting>
  <conditionalFormatting sqref="D3:D7">
    <cfRule type="expression" dxfId="1002" priority="45" stopIfTrue="1">
      <formula>H3="giảm"</formula>
    </cfRule>
    <cfRule type="expression" dxfId="1001" priority="46" stopIfTrue="1">
      <formula>H3="tăng"</formula>
    </cfRule>
  </conditionalFormatting>
  <conditionalFormatting sqref="F32:F35 F21:F24 F27:F29 F38">
    <cfRule type="colorScale" priority="1635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20:C38">
    <cfRule type="expression" dxfId="1000" priority="6" stopIfTrue="1">
      <formula>E20&gt;=6.8%</formula>
    </cfRule>
    <cfRule type="expression" dxfId="999" priority="7" stopIfTrue="1">
      <formula>AND(E20&gt;0%,E20&lt;6.8%)</formula>
    </cfRule>
    <cfRule type="expression" dxfId="998" priority="8" stopIfTrue="1">
      <formula>E20=0%</formula>
    </cfRule>
    <cfRule type="expression" dxfId="997" priority="9" stopIfTrue="1">
      <formula>AND(E20&gt;-6.8%, E20&lt;0%)</formula>
    </cfRule>
    <cfRule type="expression" dxfId="996" priority="10" stopIfTrue="1">
      <formula>E20&lt;=-6.8%</formula>
    </cfRule>
  </conditionalFormatting>
  <conditionalFormatting sqref="B20:B38">
    <cfRule type="expression" dxfId="995" priority="16" stopIfTrue="1">
      <formula>E20&gt;=6.8%</formula>
    </cfRule>
    <cfRule type="expression" dxfId="994" priority="17" stopIfTrue="1">
      <formula>AND(E20&gt;0%,E20&lt;6.8%)</formula>
    </cfRule>
    <cfRule type="expression" dxfId="993" priority="18" stopIfTrue="1">
      <formula>E20=0%</formula>
    </cfRule>
    <cfRule type="expression" dxfId="992" priority="19" stopIfTrue="1">
      <formula>AND(E20&gt;-6.8%, E20&lt;0%)</formula>
    </cfRule>
    <cfRule type="expression" dxfId="991" priority="20" stopIfTrue="1">
      <formula>E20&lt;=-6.8%</formula>
    </cfRule>
  </conditionalFormatting>
  <conditionalFormatting sqref="D20:D38">
    <cfRule type="expression" dxfId="990" priority="1" stopIfTrue="1">
      <formula>D20&gt;20000</formula>
    </cfRule>
    <cfRule type="expression" dxfId="989" priority="2" stopIfTrue="1">
      <formula>AND(D20&gt;10000,D20&lt;=20000)</formula>
    </cfRule>
    <cfRule type="expression" dxfId="988" priority="3" stopIfTrue="1">
      <formula>AND(D20&gt;1000,D20&lt;=10000)</formula>
    </cfRule>
    <cfRule type="expression" dxfId="987" priority="4" stopIfTrue="1">
      <formula>AND(D20&gt;200,D20&lt;=1000)</formula>
    </cfRule>
    <cfRule type="expression" dxfId="986" priority="5" stopIfTrue="1">
      <formula>D20&lt;=200</formula>
    </cfRule>
  </conditionalFormatting>
  <conditionalFormatting sqref="E20:E38">
    <cfRule type="expression" dxfId="985" priority="11" stopIfTrue="1">
      <formula>E20&gt;=6.8%</formula>
    </cfRule>
    <cfRule type="expression" dxfId="984" priority="12" stopIfTrue="1">
      <formula>AND(E20&gt;0%,E20&lt;6.8%)</formula>
    </cfRule>
    <cfRule type="expression" dxfId="983" priority="13" stopIfTrue="1">
      <formula>E20=0%</formula>
    </cfRule>
    <cfRule type="expression" dxfId="982" priority="14" stopIfTrue="1">
      <formula>AND(E20&gt;-6.8%, E20&lt;0%)</formula>
    </cfRule>
    <cfRule type="expression" dxfId="981" priority="15" stopIfTrue="1">
      <formula>E20&lt;=-6.8%</formula>
    </cfRule>
  </conditionalFormatting>
  <conditionalFormatting sqref="I20:I38">
    <cfRule type="colorScale" priority="19431">
      <colorScale>
        <cfvo type="min"/>
        <cfvo type="max"/>
        <color theme="0" tint="-4.9989318521683403E-2"/>
        <color rgb="FF00B050"/>
      </colorScale>
    </cfRule>
  </conditionalFormatting>
  <conditionalFormatting sqref="L20:L38">
    <cfRule type="colorScale" priority="19433">
      <colorScale>
        <cfvo type="min"/>
        <cfvo type="max"/>
        <color theme="0" tint="-4.9989318521683403E-2"/>
        <color rgb="FF00B050"/>
      </colorScale>
    </cfRule>
  </conditionalFormatting>
  <conditionalFormatting sqref="M20:M38">
    <cfRule type="colorScale" priority="19435">
      <colorScale>
        <cfvo type="min"/>
        <cfvo type="max"/>
        <color rgb="FFFF7C80"/>
        <color theme="0" tint="-4.9989318521683403E-2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033B80F-F77E-469E-871D-F0B3CA1505A4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E534C4D6-BDAB-41D6-B344-627438D4BD2C}">
          <x14:formula1>
            <xm:f>'Nơi chứ dữ liệu'!$I$2:$K$2</xm:f>
          </x14:formula1>
          <xm:sqref>N21:N38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EA33-4E83-4119-90EC-8E93D6B9F510}">
  <sheetPr codeName="Sheet20">
    <tabColor theme="6"/>
  </sheetPr>
  <dimension ref="A1:X34"/>
  <sheetViews>
    <sheetView zoomScaleNormal="100" workbookViewId="0">
      <selection activeCell="H31" sqref="H31"/>
    </sheetView>
  </sheetViews>
  <sheetFormatPr defaultRowHeight="15" x14ac:dyDescent="0.2"/>
  <cols>
    <col min="1" max="1" width="8" customWidth="1"/>
    <col min="2" max="2" width="9.6640625" customWidth="1"/>
    <col min="3" max="3" width="11.33203125" customWidth="1"/>
    <col min="4" max="4" width="11.21875" customWidth="1"/>
    <col min="5" max="5" width="13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"&amp;SUM($O$20:O20)&amp;" "&amp;"trên tổng"&amp;" "&amp;$O$19</f>
        <v>Tổng điểm nhóm hôm nay 0 trên tổng 8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0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3</v>
      </c>
      <c r="B16" s="189"/>
      <c r="C16" s="189"/>
      <c r="D16" s="189"/>
      <c r="E16" s="189"/>
      <c r="F16" s="193">
        <f>AVERAGE(E20:E27)</f>
        <v>-4.423125E-3</v>
      </c>
      <c r="G16" s="191">
        <f>AVERAGE(F20:F27)</f>
        <v>0.49071229607756262</v>
      </c>
    </row>
    <row r="17" spans="1:24" ht="15.75" x14ac:dyDescent="0.2">
      <c r="A17" s="188" t="str">
        <f>"Tổng điểm tham chiếu nhóm hôm nay"&amp;" "&amp;(O19-(P19+Q19))</f>
        <v>Tổng điểm tham chiếu nhóm hôm nay 5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COUNT(O20:O27)</f>
        <v>8</v>
      </c>
      <c r="P19" s="158">
        <f>SUM(P20:P27)</f>
        <v>0</v>
      </c>
      <c r="Q19" s="158">
        <f>SUM(Q20:Q27)</f>
        <v>3</v>
      </c>
      <c r="T19" s="169" t="s">
        <v>837</v>
      </c>
      <c r="U19" s="170">
        <v>-1.5038000000000001E-2</v>
      </c>
      <c r="V19" s="341">
        <v>0.56410486366174906</v>
      </c>
      <c r="X19"/>
    </row>
    <row r="20" spans="1:24" ht="15.75" customHeight="1" x14ac:dyDescent="0.2">
      <c r="A20" s="305" t="s">
        <v>229</v>
      </c>
      <c r="B20" s="3" t="s">
        <v>314</v>
      </c>
      <c r="C20" s="101" cm="1">
        <f t="array" ref="C20:M20">tinh_du_lieu_cp(B20)</f>
        <v>56.9</v>
      </c>
      <c r="D20" s="103">
        <v>14.5</v>
      </c>
      <c r="E20" s="102">
        <v>0</v>
      </c>
      <c r="F20" s="98">
        <v>0.62086414947450363</v>
      </c>
      <c r="G20" s="98">
        <v>1.0170229931423962</v>
      </c>
      <c r="H20" s="98">
        <v>0.52315093205051111</v>
      </c>
      <c r="I20" s="93">
        <v>9.695817490494299E-2</v>
      </c>
      <c r="J20" s="92">
        <v>52.6</v>
      </c>
      <c r="K20" s="92">
        <v>57.7</v>
      </c>
      <c r="L20" s="93">
        <v>8.1749049429657744E-2</v>
      </c>
      <c r="M20" s="93">
        <v>-1.3864818024263505E-2</v>
      </c>
      <c r="N20" s="92"/>
      <c r="O20" s="92">
        <f>IF(E20&gt;0,1,IF(E20=0,0,-1))</f>
        <v>0</v>
      </c>
      <c r="P20" s="92">
        <f>IF(O20=1,1,0)</f>
        <v>0</v>
      </c>
      <c r="Q20" s="92">
        <f>IF(O20&lt;0,1,0)</f>
        <v>0</v>
      </c>
      <c r="T20" s="169" t="s">
        <v>1922</v>
      </c>
      <c r="U20" s="170">
        <v>-1.4286E-2</v>
      </c>
      <c r="V20" s="341">
        <v>0.89449420554399961</v>
      </c>
    </row>
    <row r="21" spans="1:24" ht="15.75" customHeight="1" x14ac:dyDescent="0.2">
      <c r="A21" s="305"/>
      <c r="B21" s="3" t="s">
        <v>837</v>
      </c>
      <c r="C21" s="101" cm="1">
        <f t="array" ref="C21:M21">tinh_du_lieu_cp(B21)</f>
        <v>39.299999999999997</v>
      </c>
      <c r="D21" s="103">
        <v>629</v>
      </c>
      <c r="E21" s="102">
        <v>-1.5038000000000001E-2</v>
      </c>
      <c r="F21" s="98">
        <v>0.56410486366174906</v>
      </c>
      <c r="G21" s="98">
        <v>1.0200890667608342</v>
      </c>
      <c r="H21" s="98">
        <v>0.47726841606070186</v>
      </c>
      <c r="I21" s="93">
        <v>0.16644295302013432</v>
      </c>
      <c r="J21" s="92">
        <v>37.25</v>
      </c>
      <c r="K21" s="92">
        <v>43.45</v>
      </c>
      <c r="L21" s="93">
        <v>5.5033557046979792E-2</v>
      </c>
      <c r="M21" s="93">
        <v>-9.5512082853855124E-2</v>
      </c>
      <c r="N21" s="92"/>
      <c r="O21" s="92">
        <f t="shared" ref="O21:O24" si="0">IF(E21&gt;0,1,IF(E21=0,0,-1))</f>
        <v>-1</v>
      </c>
      <c r="P21" s="92">
        <f t="shared" ref="P21:P24" si="1">IF(O21=1,1,0)</f>
        <v>0</v>
      </c>
      <c r="Q21" s="92">
        <f t="shared" ref="Q21:Q24" si="2">IF(O21&lt;0,1,0)</f>
        <v>1</v>
      </c>
      <c r="T21" s="169" t="s">
        <v>1070</v>
      </c>
      <c r="U21" s="170">
        <v>-6.0609999999999995E-3</v>
      </c>
      <c r="V21" s="341">
        <v>0.17930787997451558</v>
      </c>
    </row>
    <row r="22" spans="1:24" x14ac:dyDescent="0.2">
      <c r="A22" s="305"/>
      <c r="B22" s="3" t="s">
        <v>1070</v>
      </c>
      <c r="C22" s="101" cm="1">
        <f t="array" ref="C22:M22">tinh_du_lieu_cp(B22)</f>
        <v>180.4</v>
      </c>
      <c r="D22" s="103">
        <v>104.9</v>
      </c>
      <c r="E22" s="102">
        <v>-6.0609999999999995E-3</v>
      </c>
      <c r="F22" s="98">
        <v>0.17930787997451558</v>
      </c>
      <c r="G22" s="98">
        <v>0.96075590753975915</v>
      </c>
      <c r="H22" s="98">
        <v>0.18401356566483454</v>
      </c>
      <c r="I22" s="93">
        <v>0.17512835139760402</v>
      </c>
      <c r="J22" s="92">
        <v>175.3</v>
      </c>
      <c r="K22" s="92">
        <v>206</v>
      </c>
      <c r="L22" s="93">
        <v>2.909298345693094E-2</v>
      </c>
      <c r="M22" s="93">
        <v>-0.12427184466019414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69" t="s">
        <v>1996</v>
      </c>
      <c r="U22" s="170">
        <v>0</v>
      </c>
      <c r="V22" s="341">
        <v>0.23501775776727535</v>
      </c>
    </row>
    <row r="23" spans="1:24" x14ac:dyDescent="0.2">
      <c r="A23" s="305"/>
      <c r="B23" s="3" t="s">
        <v>1598</v>
      </c>
      <c r="C23" s="101" cm="1">
        <f t="array" ref="C23:M23">tinh_du_lieu_cp(B23)</f>
        <v>32.700000000000003</v>
      </c>
      <c r="D23" s="103">
        <v>26.7</v>
      </c>
      <c r="E23" s="102">
        <v>0</v>
      </c>
      <c r="F23" s="98">
        <v>0.53192067372996465</v>
      </c>
      <c r="G23" s="98">
        <v>1.0120207010115267</v>
      </c>
      <c r="H23" s="98">
        <v>0.6504263093788063</v>
      </c>
      <c r="I23" s="93">
        <v>0.11359999999999991</v>
      </c>
      <c r="J23" s="92">
        <v>31.25</v>
      </c>
      <c r="K23" s="92">
        <v>34.799999999999997</v>
      </c>
      <c r="L23" s="93">
        <v>4.6400000000000094E-2</v>
      </c>
      <c r="M23" s="93">
        <v>-6.034482758620674E-2</v>
      </c>
      <c r="N23" s="92"/>
      <c r="O23" s="92">
        <f t="shared" si="0"/>
        <v>0</v>
      </c>
      <c r="P23" s="92">
        <f t="shared" si="1"/>
        <v>0</v>
      </c>
      <c r="Q23" s="92">
        <f t="shared" si="2"/>
        <v>0</v>
      </c>
      <c r="T23" s="169" t="s">
        <v>2897</v>
      </c>
      <c r="U23" s="170">
        <v>0</v>
      </c>
      <c r="V23" s="341">
        <v>0.68010221663519921</v>
      </c>
      <c r="W23" s="116"/>
    </row>
    <row r="24" spans="1:24" x14ac:dyDescent="0.2">
      <c r="A24" s="305"/>
      <c r="B24" s="3" t="s">
        <v>1728</v>
      </c>
      <c r="C24" s="101" cm="1">
        <f t="array" ref="C24:M24">tinh_du_lieu_cp(B24)</f>
        <v>58.8</v>
      </c>
      <c r="D24" s="103">
        <v>1771.65</v>
      </c>
      <c r="E24" s="102">
        <v>0</v>
      </c>
      <c r="F24" s="98">
        <v>0.21988662183329397</v>
      </c>
      <c r="G24" s="98">
        <v>1.0181162282434106</v>
      </c>
      <c r="H24" s="98">
        <v>0.25134154516210261</v>
      </c>
      <c r="I24" s="93">
        <v>0.14972273567467656</v>
      </c>
      <c r="J24" s="92">
        <v>54.1</v>
      </c>
      <c r="K24" s="92">
        <v>62.2</v>
      </c>
      <c r="L24" s="93">
        <v>8.6876155268022101E-2</v>
      </c>
      <c r="M24" s="93">
        <v>-5.4662379421221957E-2</v>
      </c>
      <c r="N24" s="92"/>
      <c r="O24" s="92">
        <f t="shared" si="0"/>
        <v>0</v>
      </c>
      <c r="P24" s="92">
        <f t="shared" si="1"/>
        <v>0</v>
      </c>
      <c r="Q24" s="92">
        <f t="shared" si="2"/>
        <v>0</v>
      </c>
      <c r="T24" s="169" t="s">
        <v>314</v>
      </c>
      <c r="U24" s="170">
        <v>0</v>
      </c>
      <c r="V24" s="341">
        <v>0.62086414947450363</v>
      </c>
      <c r="W24" s="116"/>
    </row>
    <row r="25" spans="1:24" x14ac:dyDescent="0.2">
      <c r="A25" s="305"/>
      <c r="B25" s="3" t="s">
        <v>1922</v>
      </c>
      <c r="C25" s="101">
        <f t="array" ref="C25:M25">tinh_du_lieu_cp(B25)</f>
        <v>24.15</v>
      </c>
      <c r="D25" s="103">
        <v>478.9</v>
      </c>
      <c r="E25" s="102">
        <v>-1.4286E-2</v>
      </c>
      <c r="F25" s="98">
        <v>0.89449420554399961</v>
      </c>
      <c r="G25" s="98">
        <v>1.02222433882592</v>
      </c>
      <c r="H25" s="98">
        <v>1.0248600064200877</v>
      </c>
      <c r="I25" s="93">
        <v>0.14035087719298242</v>
      </c>
      <c r="J25" s="92">
        <v>22.8</v>
      </c>
      <c r="K25" s="92">
        <v>26</v>
      </c>
      <c r="L25" s="93">
        <v>5.921052631578938E-2</v>
      </c>
      <c r="M25" s="93">
        <v>-7.1153846153846206E-2</v>
      </c>
      <c r="N25" s="92"/>
      <c r="O25" s="92">
        <f t="shared" ref="O25:O27" si="3">IF(E25&gt;0,1,IF(E25=0,0,-1))</f>
        <v>-1</v>
      </c>
      <c r="P25" s="92">
        <f t="shared" ref="P25:P27" si="4">IF(O25=1,1,0)</f>
        <v>0</v>
      </c>
      <c r="Q25" s="92">
        <f t="shared" ref="Q25:Q27" si="5">IF(O25&lt;0,1,0)</f>
        <v>1</v>
      </c>
      <c r="T25" s="169" t="s">
        <v>1728</v>
      </c>
      <c r="U25" s="170">
        <v>0</v>
      </c>
      <c r="V25" s="341">
        <v>0.21988662183329397</v>
      </c>
      <c r="W25" s="116"/>
    </row>
    <row r="26" spans="1:24" x14ac:dyDescent="0.2">
      <c r="A26" s="305"/>
      <c r="B26" s="3" t="s">
        <v>1996</v>
      </c>
      <c r="C26" s="101">
        <f t="array" ref="C26:M26">tinh_du_lieu_cp(B26)</f>
        <v>94.1</v>
      </c>
      <c r="D26" s="103">
        <v>114.6</v>
      </c>
      <c r="E26" s="102">
        <v>0</v>
      </c>
      <c r="F26" s="98">
        <v>0.23501775776727535</v>
      </c>
      <c r="G26" s="98">
        <v>0.99047256701701003</v>
      </c>
      <c r="H26" s="98">
        <v>0.26799703784542228</v>
      </c>
      <c r="I26" s="93">
        <v>6.4102564102564111E-2</v>
      </c>
      <c r="J26" s="92">
        <v>93.6</v>
      </c>
      <c r="K26" s="92">
        <v>99.6</v>
      </c>
      <c r="L26" s="93">
        <v>5.341880341880342E-3</v>
      </c>
      <c r="M26" s="93">
        <v>-5.5220883534136546E-2</v>
      </c>
      <c r="N26" s="92"/>
      <c r="O26" s="92">
        <f t="shared" si="3"/>
        <v>0</v>
      </c>
      <c r="P26" s="92">
        <f t="shared" si="4"/>
        <v>0</v>
      </c>
      <c r="Q26" s="92">
        <f t="shared" si="5"/>
        <v>0</v>
      </c>
      <c r="T26" s="169" t="s">
        <v>1598</v>
      </c>
      <c r="U26" s="170">
        <v>0</v>
      </c>
      <c r="V26" s="341">
        <v>0.53192067372996465</v>
      </c>
      <c r="W26" s="116"/>
    </row>
    <row r="27" spans="1:24" x14ac:dyDescent="0.2">
      <c r="A27" s="305"/>
      <c r="B27" s="3" t="s">
        <v>2897</v>
      </c>
      <c r="C27" s="101">
        <f t="array" ref="C27:M27">tinh_du_lieu_cp(B27)</f>
        <v>17.7</v>
      </c>
      <c r="D27" s="103">
        <v>5095.3999999999996</v>
      </c>
      <c r="E27" s="102">
        <v>0</v>
      </c>
      <c r="F27" s="98">
        <v>0.68010221663519921</v>
      </c>
      <c r="G27" s="98">
        <v>1.0276510067114095</v>
      </c>
      <c r="H27" s="98">
        <v>0.63781661447565241</v>
      </c>
      <c r="I27" s="93">
        <v>0.10869565217391304</v>
      </c>
      <c r="J27" s="92">
        <v>16.100000000000001</v>
      </c>
      <c r="K27" s="92">
        <v>17.850000000000001</v>
      </c>
      <c r="L27" s="93">
        <v>9.9378881987577494E-2</v>
      </c>
      <c r="M27" s="93">
        <v>-8.4033613445379345E-3</v>
      </c>
      <c r="N27" s="92"/>
      <c r="O27" s="92">
        <f t="shared" si="3"/>
        <v>0</v>
      </c>
      <c r="P27" s="92">
        <f t="shared" si="4"/>
        <v>0</v>
      </c>
      <c r="Q27" s="92">
        <f t="shared" si="5"/>
        <v>0</v>
      </c>
      <c r="T27" s="169" t="s">
        <v>3051</v>
      </c>
      <c r="U27" s="170">
        <v>-3.5385E-2</v>
      </c>
      <c r="V27" s="341">
        <v>3.9256983686205009</v>
      </c>
      <c r="W27" s="116"/>
    </row>
    <row r="28" spans="1:24" x14ac:dyDescent="0.2">
      <c r="W28" s="116"/>
    </row>
    <row r="29" spans="1:24" x14ac:dyDescent="0.2">
      <c r="W29" s="116"/>
    </row>
    <row r="30" spans="1:24" x14ac:dyDescent="0.2">
      <c r="W30" s="116"/>
    </row>
    <row r="31" spans="1:24" x14ac:dyDescent="0.2">
      <c r="W31" s="116"/>
    </row>
    <row r="32" spans="1:24" x14ac:dyDescent="0.2">
      <c r="W32" s="116"/>
    </row>
    <row r="33" spans="22:23" x14ac:dyDescent="0.2">
      <c r="W33" s="116"/>
    </row>
    <row r="34" spans="22:23" x14ac:dyDescent="0.2">
      <c r="V34" s="115"/>
      <c r="W34" s="116"/>
    </row>
  </sheetData>
  <mergeCells count="16">
    <mergeCell ref="K18:K19"/>
    <mergeCell ref="L18:L19"/>
    <mergeCell ref="M18:M19"/>
    <mergeCell ref="N18:N19"/>
    <mergeCell ref="A20:A27"/>
    <mergeCell ref="F14:G14"/>
    <mergeCell ref="H18:H19"/>
    <mergeCell ref="I18:I19"/>
    <mergeCell ref="J18:J19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980" priority="219" stopIfTrue="1">
      <formula>A14="giảm"</formula>
    </cfRule>
    <cfRule type="expression" dxfId="979" priority="220" stopIfTrue="1">
      <formula>A14="tăng"</formula>
    </cfRule>
  </conditionalFormatting>
  <conditionalFormatting sqref="G20 G25:G26">
    <cfRule type="expression" dxfId="978" priority="207" stopIfTrue="1">
      <formula>G20&gt;2</formula>
    </cfRule>
    <cfRule type="expression" dxfId="977" priority="208" stopIfTrue="1">
      <formula>AND(G20&gt;0.5, G20&lt;1)</formula>
    </cfRule>
    <cfRule type="expression" dxfId="976" priority="209" stopIfTrue="1">
      <formula>G20&lt;=0.5</formula>
    </cfRule>
    <cfRule type="expression" dxfId="975" priority="210" stopIfTrue="1">
      <formula>AND(G20&gt;=1,G20&lt;2)</formula>
    </cfRule>
  </conditionalFormatting>
  <conditionalFormatting sqref="H20 H25:H26">
    <cfRule type="expression" dxfId="974" priority="195" stopIfTrue="1">
      <formula>H20&gt;=2</formula>
    </cfRule>
    <cfRule type="expression" dxfId="973" priority="196" stopIfTrue="1">
      <formula>AND(H20&gt;=1,H20&lt;2)</formula>
    </cfRule>
    <cfRule type="expression" dxfId="972" priority="197" stopIfTrue="1">
      <formula>AND(H20&gt;0.5, H20&lt;1)</formula>
    </cfRule>
    <cfRule type="expression" dxfId="971" priority="198" stopIfTrue="1">
      <formula>H20&lt;=0.5</formula>
    </cfRule>
  </conditionalFormatting>
  <conditionalFormatting sqref="H20:H27">
    <cfRule type="expression" dxfId="970" priority="177" stopIfTrue="1">
      <formula>H20&gt;=2</formula>
    </cfRule>
    <cfRule type="expression" dxfId="969" priority="178" stopIfTrue="1">
      <formula>AND(H20&gt;=1,H20&lt;2)</formula>
    </cfRule>
    <cfRule type="expression" dxfId="968" priority="179" stopIfTrue="1">
      <formula>AND(H20&gt;0.5, H20&lt;1)</formula>
    </cfRule>
    <cfRule type="expression" dxfId="967" priority="180" stopIfTrue="1">
      <formula>H20&lt;=0.5</formula>
    </cfRule>
    <cfRule type="expression" dxfId="966" priority="181" stopIfTrue="1">
      <formula>H20&gt;=2</formula>
    </cfRule>
  </conditionalFormatting>
  <conditionalFormatting sqref="G20:G27">
    <cfRule type="expression" dxfId="965" priority="182" stopIfTrue="1">
      <formula>G20&gt;2</formula>
    </cfRule>
    <cfRule type="expression" dxfId="964" priority="183" stopIfTrue="1">
      <formula>AND(G20&gt;0.5, G20&lt;1)</formula>
    </cfRule>
    <cfRule type="expression" dxfId="963" priority="184" stopIfTrue="1">
      <formula>G20&lt;=0.5</formula>
    </cfRule>
    <cfRule type="expression" dxfId="962" priority="185" stopIfTrue="1">
      <formula>AND(G20&gt;=1,G20&lt;2)</formula>
    </cfRule>
    <cfRule type="expression" dxfId="961" priority="186" stopIfTrue="1">
      <formula>G20&gt;2</formula>
    </cfRule>
  </conditionalFormatting>
  <conditionalFormatting sqref="F20:H20 F25:H26">
    <cfRule type="expression" dxfId="960" priority="157" stopIfTrue="1">
      <formula>F20&lt;0</formula>
    </cfRule>
    <cfRule type="expression" dxfId="959" priority="158" stopIfTrue="1">
      <formula>F20=1</formula>
    </cfRule>
    <cfRule type="expression" dxfId="958" priority="159" stopIfTrue="1">
      <formula>AND(F20&lt;1,F20&gt;0)</formula>
    </cfRule>
    <cfRule type="expression" dxfId="957" priority="160" stopIfTrue="1">
      <formula>AND(F20&lt;2,F20&gt;1)</formula>
    </cfRule>
    <cfRule type="expression" dxfId="956" priority="161" stopIfTrue="1">
      <formula>F20&gt;=2</formula>
    </cfRule>
  </conditionalFormatting>
  <conditionalFormatting sqref="C3:C7">
    <cfRule type="expression" dxfId="955" priority="69" stopIfTrue="1">
      <formula>H3="giảm"</formula>
    </cfRule>
    <cfRule type="expression" dxfId="954" priority="70" stopIfTrue="1">
      <formula>H3="tăng"</formula>
    </cfRule>
  </conditionalFormatting>
  <conditionalFormatting sqref="H3:H7">
    <cfRule type="expression" dxfId="953" priority="67" stopIfTrue="1">
      <formula>H3="giảm"</formula>
    </cfRule>
    <cfRule type="expression" dxfId="952" priority="68" stopIfTrue="1">
      <formula>H3="tăng"</formula>
    </cfRule>
  </conditionalFormatting>
  <conditionalFormatting sqref="B3:B7">
    <cfRule type="expression" dxfId="951" priority="71" stopIfTrue="1">
      <formula>H3="giảm"</formula>
    </cfRule>
    <cfRule type="expression" dxfId="950" priority="72" stopIfTrue="1">
      <formula>H3="tăng"</formula>
    </cfRule>
  </conditionalFormatting>
  <conditionalFormatting sqref="A3:A7">
    <cfRule type="expression" dxfId="949" priority="75" stopIfTrue="1">
      <formula>H3="giảm"</formula>
    </cfRule>
    <cfRule type="expression" dxfId="948" priority="76" stopIfTrue="1">
      <formula>H3="tăng"</formula>
    </cfRule>
  </conditionalFormatting>
  <conditionalFormatting sqref="G3:G7">
    <cfRule type="expression" dxfId="947" priority="64" stopIfTrue="1">
      <formula>G3=0</formula>
    </cfRule>
    <cfRule type="expression" dxfId="946" priority="65" stopIfTrue="1">
      <formula>G3&lt;0</formula>
    </cfRule>
    <cfRule type="expression" dxfId="945" priority="66" stopIfTrue="1">
      <formula>G3&gt;0</formula>
    </cfRule>
  </conditionalFormatting>
  <conditionalFormatting sqref="E3:E7">
    <cfRule type="expression" dxfId="944" priority="62" stopIfTrue="1">
      <formula>H3="tăng"</formula>
    </cfRule>
    <cfRule type="expression" dxfId="943" priority="63" stopIfTrue="1">
      <formula>H3="giảm"</formula>
    </cfRule>
  </conditionalFormatting>
  <conditionalFormatting sqref="F3:F7">
    <cfRule type="expression" dxfId="942" priority="60" stopIfTrue="1">
      <formula>H3="tăng"</formula>
    </cfRule>
    <cfRule type="expression" dxfId="941" priority="61" stopIfTrue="1">
      <formula>H3="giảm"</formula>
    </cfRule>
  </conditionalFormatting>
  <conditionalFormatting sqref="D3:D7">
    <cfRule type="expression" dxfId="940" priority="58" stopIfTrue="1">
      <formula>H3="giảm"</formula>
    </cfRule>
    <cfRule type="expression" dxfId="939" priority="59" stopIfTrue="1">
      <formula>H3="tăng"</formula>
    </cfRule>
  </conditionalFormatting>
  <conditionalFormatting sqref="G21:G24 G27">
    <cfRule type="expression" dxfId="938" priority="54" stopIfTrue="1">
      <formula>G21&gt;2</formula>
    </cfRule>
    <cfRule type="expression" dxfId="937" priority="55" stopIfTrue="1">
      <formula>AND(G21&gt;0.5, G21&lt;1)</formula>
    </cfRule>
    <cfRule type="expression" dxfId="936" priority="56" stopIfTrue="1">
      <formula>G21&lt;=0.5</formula>
    </cfRule>
    <cfRule type="expression" dxfId="935" priority="57" stopIfTrue="1">
      <formula>AND(G21&gt;=1,G21&lt;2)</formula>
    </cfRule>
  </conditionalFormatting>
  <conditionalFormatting sqref="H21:H24 H27">
    <cfRule type="expression" dxfId="934" priority="50" stopIfTrue="1">
      <formula>H21&gt;=2</formula>
    </cfRule>
    <cfRule type="expression" dxfId="933" priority="51" stopIfTrue="1">
      <formula>AND(H21&gt;=1,H21&lt;2)</formula>
    </cfRule>
    <cfRule type="expression" dxfId="932" priority="52" stopIfTrue="1">
      <formula>AND(H21&gt;0.5, H21&lt;1)</formula>
    </cfRule>
    <cfRule type="expression" dxfId="931" priority="53" stopIfTrue="1">
      <formula>H21&lt;=0.5</formula>
    </cfRule>
  </conditionalFormatting>
  <conditionalFormatting sqref="F21:H24 F27:H27">
    <cfRule type="expression" dxfId="930" priority="45" stopIfTrue="1">
      <formula>F21&lt;0</formula>
    </cfRule>
    <cfRule type="expression" dxfId="929" priority="46" stopIfTrue="1">
      <formula>F21=1</formula>
    </cfRule>
    <cfRule type="expression" dxfId="928" priority="47" stopIfTrue="1">
      <formula>AND(F21&lt;1,F21&gt;0)</formula>
    </cfRule>
    <cfRule type="expression" dxfId="927" priority="48" stopIfTrue="1">
      <formula>AND(F21&lt;2,F21&gt;1)</formula>
    </cfRule>
    <cfRule type="expression" dxfId="926" priority="49" stopIfTrue="1">
      <formula>F21&gt;=2</formula>
    </cfRule>
  </conditionalFormatting>
  <conditionalFormatting sqref="F20:F27">
    <cfRule type="colorScale" priority="1519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27">
    <cfRule type="colorScale" priority="15196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15198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15200">
      <colorScale>
        <cfvo type="min"/>
        <cfvo type="max"/>
        <color rgb="FFFF7C80"/>
        <color theme="0" tint="-4.9989318521683403E-2"/>
      </colorScale>
    </cfRule>
  </conditionalFormatting>
  <conditionalFormatting sqref="C20:C27">
    <cfRule type="expression" dxfId="925" priority="6" stopIfTrue="1">
      <formula>E20&gt;=6.8%</formula>
    </cfRule>
    <cfRule type="expression" dxfId="924" priority="7" stopIfTrue="1">
      <formula>AND(E20&gt;0%,E20&lt;6.8%)</formula>
    </cfRule>
    <cfRule type="expression" dxfId="923" priority="8" stopIfTrue="1">
      <formula>E20=0%</formula>
    </cfRule>
    <cfRule type="expression" dxfId="922" priority="9" stopIfTrue="1">
      <formula>AND(E20&gt;-6.8%, E20&lt;0%)</formula>
    </cfRule>
    <cfRule type="expression" dxfId="921" priority="10" stopIfTrue="1">
      <formula>E20&lt;=-6.8%</formula>
    </cfRule>
  </conditionalFormatting>
  <conditionalFormatting sqref="B20:B27">
    <cfRule type="expression" dxfId="920" priority="16" stopIfTrue="1">
      <formula>E20&gt;=6.8%</formula>
    </cfRule>
    <cfRule type="expression" dxfId="919" priority="17" stopIfTrue="1">
      <formula>AND(E20&gt;0%,E20&lt;6.8%)</formula>
    </cfRule>
    <cfRule type="expression" dxfId="918" priority="18" stopIfTrue="1">
      <formula>E20=0%</formula>
    </cfRule>
    <cfRule type="expression" dxfId="917" priority="19" stopIfTrue="1">
      <formula>AND(E20&gt;-6.8%, E20&lt;0%)</formula>
    </cfRule>
    <cfRule type="expression" dxfId="916" priority="20" stopIfTrue="1">
      <formula>E20&lt;=-6.8%</formula>
    </cfRule>
  </conditionalFormatting>
  <conditionalFormatting sqref="D20:D27">
    <cfRule type="expression" dxfId="915" priority="1" stopIfTrue="1">
      <formula>D20&gt;20000</formula>
    </cfRule>
    <cfRule type="expression" dxfId="914" priority="2" stopIfTrue="1">
      <formula>AND(D20&gt;10000,D20&lt;=20000)</formula>
    </cfRule>
    <cfRule type="expression" dxfId="913" priority="3" stopIfTrue="1">
      <formula>AND(D20&gt;1000,D20&lt;=10000)</formula>
    </cfRule>
    <cfRule type="expression" dxfId="912" priority="4" stopIfTrue="1">
      <formula>AND(D20&gt;200,D20&lt;=1000)</formula>
    </cfRule>
    <cfRule type="expression" dxfId="911" priority="5" stopIfTrue="1">
      <formula>D20&lt;=200</formula>
    </cfRule>
  </conditionalFormatting>
  <conditionalFormatting sqref="E20:E27">
    <cfRule type="expression" dxfId="910" priority="11" stopIfTrue="1">
      <formula>E20&gt;=6.8%</formula>
    </cfRule>
    <cfRule type="expression" dxfId="909" priority="12" stopIfTrue="1">
      <formula>AND(E20&gt;0%,E20&lt;6.8%)</formula>
    </cfRule>
    <cfRule type="expression" dxfId="908" priority="13" stopIfTrue="1">
      <formula>E20=0%</formula>
    </cfRule>
    <cfRule type="expression" dxfId="907" priority="14" stopIfTrue="1">
      <formula>AND(E20&gt;-6.8%, E20&lt;0%)</formula>
    </cfRule>
    <cfRule type="expression" dxfId="906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4FEA2F-D30C-4F07-8881-261A53E7B1FF}">
          <x14:formula1>
            <xm:f>'Nơi chứ dữ liệu'!$I$2:$K$2</xm:f>
          </x14:formula1>
          <xm:sqref>N20:N27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B8364-BA6A-4549-9326-A598BC9EE8B8}">
  <sheetPr codeName="Sheet24">
    <tabColor rgb="FF008000"/>
  </sheetPr>
  <dimension ref="A1:X42"/>
  <sheetViews>
    <sheetView zoomScaleNormal="100" workbookViewId="0">
      <selection activeCell="B20" sqref="B20:E31"/>
    </sheetView>
  </sheetViews>
  <sheetFormatPr defaultRowHeight="15" x14ac:dyDescent="0.2"/>
  <cols>
    <col min="1" max="1" width="8" customWidth="1"/>
    <col min="2" max="2" width="9.6640625" customWidth="1"/>
    <col min="3" max="3" width="11.332031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4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3" spans="1:11" ht="17.25" customHeight="1" x14ac:dyDescent="0.2"/>
    <row r="14" spans="1:11" ht="15.75" x14ac:dyDescent="0.2">
      <c r="A14" s="184" t="str">
        <f>"Tổng điểm nhóm Chứng Khoán hôm nay"&amp;" "&amp;SUM($O$20:O20)&amp;" "&amp;"trên tổng"&amp;" "&amp;$O$19</f>
        <v>Tổng điểm nhóm Chứng Khoán hôm nay 0 trên tổng 12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Chứng Khoán hôm nay"&amp;" "&amp;$P$19</f>
        <v>Tổng điểm tăng nhóm Chứng Khoán hôm nay 2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Chứng Khoán hôm nay"&amp;" "&amp;$Q$19</f>
        <v>Tổng điểm giảm nhóm Chứng Khoán hôm nay 8</v>
      </c>
      <c r="B16" s="189"/>
      <c r="C16" s="189"/>
      <c r="D16" s="189"/>
      <c r="E16" s="189"/>
      <c r="F16" s="193">
        <f>AVERAGE(E20:E31)</f>
        <v>-8.1530833333333334E-3</v>
      </c>
      <c r="G16" s="191">
        <f>AVERAGE(F20:F31)</f>
        <v>0.35681608356654432</v>
      </c>
    </row>
    <row r="17" spans="1:24" ht="15.75" x14ac:dyDescent="0.2">
      <c r="A17" s="188" t="str">
        <f>"Tổng điểm tham chiếu nhóm Chứng Khoán hôm nay"&amp;" "&amp;(O19-(P19+Q19))</f>
        <v>Tổng điểm tham chiếu nhóm Chứng Khoán hôm nay 2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COUNT(O20:O31)</f>
        <v>12</v>
      </c>
      <c r="P19" s="158">
        <f>SUM(P20:P31)</f>
        <v>2</v>
      </c>
      <c r="Q19" s="158">
        <f>SUM(Q20:Q31)</f>
        <v>8</v>
      </c>
      <c r="T19" s="12" t="s">
        <v>1020</v>
      </c>
      <c r="U19" s="99">
        <v>-2.2831000000000001E-2</v>
      </c>
      <c r="V19" s="337">
        <v>0.71033210332103325</v>
      </c>
      <c r="X19"/>
    </row>
    <row r="20" spans="1:24" ht="15.75" customHeight="1" x14ac:dyDescent="0.2">
      <c r="A20" s="295" t="s">
        <v>3085</v>
      </c>
      <c r="B20" s="3" t="s">
        <v>161</v>
      </c>
      <c r="C20" s="101" cm="1">
        <f t="array" ref="C20:M20">tinh_du_lieu_cp(B20)</f>
        <v>3.34</v>
      </c>
      <c r="D20" s="103">
        <v>0</v>
      </c>
      <c r="E20" s="102">
        <v>0</v>
      </c>
      <c r="F20" s="98">
        <v>0</v>
      </c>
      <c r="G20" s="98">
        <v>0.99010880316518302</v>
      </c>
      <c r="H20" s="98">
        <v>0</v>
      </c>
      <c r="I20" s="102">
        <v>7.575757575757576E-2</v>
      </c>
      <c r="J20" s="101">
        <v>3.3</v>
      </c>
      <c r="K20" s="101">
        <v>3.55</v>
      </c>
      <c r="L20" s="102">
        <v>1.2121212121212133E-2</v>
      </c>
      <c r="M20" s="102">
        <v>-5.9154929577464779E-2</v>
      </c>
      <c r="N20" s="92"/>
      <c r="O20" s="92">
        <f>IF(E20&gt;0,1,IF(E20=0,0,-1))</f>
        <v>0</v>
      </c>
      <c r="P20" s="92">
        <f>IF(O20=1,1,0)</f>
        <v>0</v>
      </c>
      <c r="Q20" s="92">
        <f>IF(O20&lt;0,1,0)</f>
        <v>0</v>
      </c>
      <c r="T20" s="12" t="s">
        <v>2402</v>
      </c>
      <c r="U20" s="99">
        <v>-2.1472000000000002E-2</v>
      </c>
      <c r="V20" s="337">
        <v>5.3094294087226337E-2</v>
      </c>
    </row>
    <row r="21" spans="1:24" ht="15.75" customHeight="1" x14ac:dyDescent="0.2">
      <c r="A21" s="295"/>
      <c r="B21" s="3" t="s">
        <v>223</v>
      </c>
      <c r="C21" s="101" cm="1">
        <f t="array" ref="C21:M21">tinh_du_lieu_cp(B21)</f>
        <v>9.34</v>
      </c>
      <c r="D21" s="103">
        <v>110.1</v>
      </c>
      <c r="E21" s="102">
        <v>-6.3829999999999998E-3</v>
      </c>
      <c r="F21" s="98">
        <v>0.32105081780346206</v>
      </c>
      <c r="G21" s="98">
        <v>1.009813400367398</v>
      </c>
      <c r="H21" s="98">
        <v>0.53838630806845966</v>
      </c>
      <c r="I21" s="102">
        <v>0.17312348668280869</v>
      </c>
      <c r="J21" s="92">
        <v>8.26</v>
      </c>
      <c r="K21" s="92">
        <v>9.69</v>
      </c>
      <c r="L21" s="102">
        <v>0.13075060532687652</v>
      </c>
      <c r="M21" s="102">
        <v>-3.6119711042311625E-2</v>
      </c>
      <c r="N21" s="92"/>
      <c r="O21" s="92">
        <f t="shared" ref="O21:O26" si="0">IF(E21&gt;0,1,IF(E21=0,0,-1))</f>
        <v>-1</v>
      </c>
      <c r="P21" s="92">
        <f t="shared" ref="P21:P26" si="1">IF(O21=1,1,0)</f>
        <v>0</v>
      </c>
      <c r="Q21" s="92">
        <f t="shared" ref="Q21:Q26" si="2">IF(O21&lt;0,1,0)</f>
        <v>1</v>
      </c>
      <c r="T21" s="12" t="s">
        <v>1704</v>
      </c>
      <c r="U21" s="99">
        <v>-1.5125999999999999E-2</v>
      </c>
      <c r="V21" s="337">
        <v>0.5061264102875167</v>
      </c>
    </row>
    <row r="22" spans="1:24" x14ac:dyDescent="0.2">
      <c r="A22" s="295"/>
      <c r="B22" s="3" t="s">
        <v>1020</v>
      </c>
      <c r="C22" s="101" cm="1">
        <f t="array" ref="C22:M22">tinh_du_lieu_cp(B22)</f>
        <v>10.7</v>
      </c>
      <c r="D22" s="103">
        <v>24.5</v>
      </c>
      <c r="E22" s="102">
        <v>-2.2831000000000001E-2</v>
      </c>
      <c r="F22" s="98">
        <v>0.71033210332103325</v>
      </c>
      <c r="G22" s="98">
        <v>1.0109034267912773</v>
      </c>
      <c r="H22" s="98">
        <v>0.89036947304663838</v>
      </c>
      <c r="I22" s="102">
        <v>0.10447761194029839</v>
      </c>
      <c r="J22" s="92">
        <v>10.050000000000001</v>
      </c>
      <c r="K22" s="92">
        <v>11.1</v>
      </c>
      <c r="L22" s="102">
        <v>6.4676616915422744E-2</v>
      </c>
      <c r="M22" s="102">
        <v>-3.603603603603607E-2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2390</v>
      </c>
      <c r="U22" s="99">
        <v>-1.4705999999999999E-2</v>
      </c>
      <c r="V22" s="337">
        <v>0.19569178008787913</v>
      </c>
    </row>
    <row r="23" spans="1:24" x14ac:dyDescent="0.2">
      <c r="A23" s="295"/>
      <c r="B23" s="3" t="s">
        <v>1145</v>
      </c>
      <c r="C23" s="101" cm="1">
        <f t="array" ref="C23:M23">tinh_du_lieu_cp(B23)</f>
        <v>17.350000000000001</v>
      </c>
      <c r="D23" s="103">
        <v>308.89999999999998</v>
      </c>
      <c r="E23" s="102">
        <v>-8.5710000000000005E-3</v>
      </c>
      <c r="F23" s="98">
        <v>0.5361112645056445</v>
      </c>
      <c r="G23" s="98">
        <v>1.0119630953957535</v>
      </c>
      <c r="H23" s="98">
        <v>0.6409156926481776</v>
      </c>
      <c r="I23" s="102">
        <v>0.40557275541795673</v>
      </c>
      <c r="J23" s="92">
        <v>16.149999999999999</v>
      </c>
      <c r="K23" s="92">
        <v>22.7</v>
      </c>
      <c r="L23" s="102">
        <v>7.4303405572755596E-2</v>
      </c>
      <c r="M23" s="102">
        <v>-0.23568281938325983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1372</v>
      </c>
      <c r="U23" s="99">
        <v>-9.9600000000000001E-3</v>
      </c>
      <c r="V23" s="337">
        <v>6.0068259385665533E-2</v>
      </c>
    </row>
    <row r="24" spans="1:24" x14ac:dyDescent="0.2">
      <c r="A24" s="295"/>
      <c r="B24" s="3" t="s">
        <v>1157</v>
      </c>
      <c r="C24" s="101">
        <f t="array" ref="C24:M24">tinh_du_lieu_cp(B24)</f>
        <v>5.4</v>
      </c>
      <c r="D24" s="103">
        <v>0</v>
      </c>
      <c r="E24" s="102">
        <v>0</v>
      </c>
      <c r="F24" s="98">
        <v>0</v>
      </c>
      <c r="G24" s="98">
        <v>1.0559681217170802</v>
      </c>
      <c r="H24" s="98">
        <v>0</v>
      </c>
      <c r="I24" s="102">
        <v>0.75434782608695672</v>
      </c>
      <c r="J24" s="92">
        <v>4.5999999999999996</v>
      </c>
      <c r="K24" s="92">
        <v>8.07</v>
      </c>
      <c r="L24" s="102">
        <v>0.17391304347826103</v>
      </c>
      <c r="M24" s="102">
        <v>-0.33085501858736055</v>
      </c>
      <c r="N24" s="92"/>
      <c r="O24" s="92">
        <f t="shared" si="0"/>
        <v>0</v>
      </c>
      <c r="P24" s="92">
        <f t="shared" si="1"/>
        <v>0</v>
      </c>
      <c r="Q24" s="92">
        <f t="shared" si="2"/>
        <v>0</v>
      </c>
      <c r="T24" s="12" t="s">
        <v>1145</v>
      </c>
      <c r="U24" s="99">
        <v>-8.5710000000000005E-3</v>
      </c>
      <c r="V24" s="337">
        <v>0.5361112645056445</v>
      </c>
    </row>
    <row r="25" spans="1:24" x14ac:dyDescent="0.2">
      <c r="A25" s="295"/>
      <c r="B25" s="3" t="s">
        <v>1372</v>
      </c>
      <c r="C25" s="101">
        <f t="array" ref="C25:M25">tinh_du_lieu_cp(B25)</f>
        <v>49.7</v>
      </c>
      <c r="D25" s="103">
        <v>2.8</v>
      </c>
      <c r="E25" s="102">
        <v>-9.9600000000000001E-3</v>
      </c>
      <c r="F25" s="98">
        <v>6.0068259385665533E-2</v>
      </c>
      <c r="G25" s="98">
        <v>0.99268575909755852</v>
      </c>
      <c r="H25" s="98">
        <v>9.2868988391376445E-2</v>
      </c>
      <c r="I25" s="102">
        <v>0.13043478260869565</v>
      </c>
      <c r="J25" s="92">
        <v>46</v>
      </c>
      <c r="K25" s="92">
        <v>52</v>
      </c>
      <c r="L25" s="102">
        <v>8.0434782608695715E-2</v>
      </c>
      <c r="M25" s="102">
        <v>-4.4230769230769178E-2</v>
      </c>
      <c r="N25" s="92"/>
      <c r="O25" s="92">
        <f t="shared" si="0"/>
        <v>-1</v>
      </c>
      <c r="P25" s="92">
        <f t="shared" si="1"/>
        <v>0</v>
      </c>
      <c r="Q25" s="92">
        <f t="shared" si="2"/>
        <v>1</v>
      </c>
      <c r="T25" s="12" t="s">
        <v>223</v>
      </c>
      <c r="U25" s="99">
        <v>-6.3829999999999998E-3</v>
      </c>
      <c r="V25" s="337">
        <v>0.32105081780346206</v>
      </c>
    </row>
    <row r="26" spans="1:24" x14ac:dyDescent="0.2">
      <c r="A26" s="295"/>
      <c r="B26" s="3" t="s">
        <v>1509</v>
      </c>
      <c r="C26" s="101">
        <f t="array" ref="C26:M26">tinh_du_lieu_cp(B26)</f>
        <v>3.38</v>
      </c>
      <c r="D26" s="103">
        <v>25.8</v>
      </c>
      <c r="E26" s="102">
        <v>-2.9499999999999999E-3</v>
      </c>
      <c r="F26" s="98">
        <v>0.71748198710656041</v>
      </c>
      <c r="G26" s="98">
        <v>1.0096188421431143</v>
      </c>
      <c r="H26" s="98">
        <v>1.7104972375690608</v>
      </c>
      <c r="I26" s="102">
        <v>7.7639751552795025E-2</v>
      </c>
      <c r="J26" s="92">
        <v>3.22</v>
      </c>
      <c r="K26" s="92">
        <v>3.47</v>
      </c>
      <c r="L26" s="102">
        <v>4.9689440993788726E-2</v>
      </c>
      <c r="M26" s="102">
        <v>-2.5936599423631211E-2</v>
      </c>
      <c r="N26" s="92"/>
      <c r="O26" s="92">
        <f t="shared" si="0"/>
        <v>-1</v>
      </c>
      <c r="P26" s="92">
        <f t="shared" si="1"/>
        <v>0</v>
      </c>
      <c r="Q26" s="92">
        <f t="shared" si="2"/>
        <v>1</v>
      </c>
      <c r="T26" s="12" t="s">
        <v>1509</v>
      </c>
      <c r="U26" s="99">
        <v>-2.9499999999999999E-3</v>
      </c>
      <c r="V26" s="337">
        <v>0.71748198710656041</v>
      </c>
    </row>
    <row r="27" spans="1:24" x14ac:dyDescent="0.2">
      <c r="A27" s="295"/>
      <c r="B27" s="3" t="s">
        <v>1704</v>
      </c>
      <c r="C27" s="101">
        <f t="array" ref="C27:M27">tinh_du_lieu_cp(B27)</f>
        <v>58.6</v>
      </c>
      <c r="D27" s="103">
        <v>208.6</v>
      </c>
      <c r="E27" s="102">
        <v>-1.5125999999999999E-2</v>
      </c>
      <c r="F27" s="98">
        <v>0.5061264102875167</v>
      </c>
      <c r="G27" s="98">
        <v>1.0536533333333333</v>
      </c>
      <c r="H27" s="98">
        <v>0.69630041724617531</v>
      </c>
      <c r="I27" s="102">
        <v>0.29188619599578491</v>
      </c>
      <c r="J27" s="101">
        <v>47.45</v>
      </c>
      <c r="K27" s="101">
        <v>61.3</v>
      </c>
      <c r="L27" s="102">
        <v>0.23498419388830344</v>
      </c>
      <c r="M27" s="102">
        <v>-4.4045676998368609E-2</v>
      </c>
      <c r="N27" s="92"/>
      <c r="O27" s="92">
        <f>IF(E27&gt;0,1,IF(E27=0,0,-1))</f>
        <v>-1</v>
      </c>
      <c r="P27" s="92">
        <f>IF(O27=1,1,0)</f>
        <v>0</v>
      </c>
      <c r="Q27" s="92">
        <f>IF(O27&lt;0,1,0)</f>
        <v>1</v>
      </c>
      <c r="T27" s="12" t="s">
        <v>1157</v>
      </c>
      <c r="U27" s="99">
        <v>0</v>
      </c>
      <c r="V27" s="337">
        <v>0</v>
      </c>
    </row>
    <row r="28" spans="1:24" x14ac:dyDescent="0.2">
      <c r="A28" s="295"/>
      <c r="B28" s="3" t="s">
        <v>2390</v>
      </c>
      <c r="C28" s="101">
        <f t="array" ref="C28:M28">tinh_du_lieu_cp(B28)</f>
        <v>26.8</v>
      </c>
      <c r="D28" s="103">
        <v>16.600000000000001</v>
      </c>
      <c r="E28" s="102">
        <v>-1.4705999999999999E-2</v>
      </c>
      <c r="F28" s="98">
        <v>0.19569178008787913</v>
      </c>
      <c r="G28" s="98">
        <v>1.0453955901426717</v>
      </c>
      <c r="H28" s="98">
        <v>0.22432432432432434</v>
      </c>
      <c r="I28" s="102">
        <v>0.19780219780219779</v>
      </c>
      <c r="J28" s="92">
        <v>22.75</v>
      </c>
      <c r="K28" s="92">
        <v>27.25</v>
      </c>
      <c r="L28" s="102">
        <v>0.17802197802197806</v>
      </c>
      <c r="M28" s="102">
        <v>-1.6513761467889881E-2</v>
      </c>
      <c r="N28" s="92"/>
      <c r="O28" s="92">
        <f t="shared" ref="O28:O31" si="3">IF(E28&gt;0,1,IF(E28=0,0,-1))</f>
        <v>-1</v>
      </c>
      <c r="P28" s="92">
        <f t="shared" ref="P28:P31" si="4">IF(O28=1,1,0)</f>
        <v>0</v>
      </c>
      <c r="Q28" s="92">
        <f t="shared" ref="Q28:Q31" si="5">IF(O28&lt;0,1,0)</f>
        <v>1</v>
      </c>
      <c r="T28" s="12" t="s">
        <v>161</v>
      </c>
      <c r="U28" s="99">
        <v>0</v>
      </c>
      <c r="V28" s="337">
        <v>0</v>
      </c>
      <c r="W28" s="116"/>
    </row>
    <row r="29" spans="1:24" x14ac:dyDescent="0.2">
      <c r="A29" s="295"/>
      <c r="B29" s="3" t="s">
        <v>2402</v>
      </c>
      <c r="C29" s="101">
        <f t="array" ref="C29:M29">tinh_du_lieu_cp(B29)</f>
        <v>3.19</v>
      </c>
      <c r="D29" s="103">
        <v>1.4</v>
      </c>
      <c r="E29" s="102">
        <v>-2.1472000000000002E-2</v>
      </c>
      <c r="F29" s="98">
        <v>5.3094294087226337E-2</v>
      </c>
      <c r="G29" s="98">
        <v>1.0066462167689161</v>
      </c>
      <c r="H29" s="98">
        <v>4.3591074208614425E-2</v>
      </c>
      <c r="I29" s="102">
        <v>0.1666666666666666</v>
      </c>
      <c r="J29" s="92">
        <v>3.06</v>
      </c>
      <c r="K29" s="92">
        <v>3.57</v>
      </c>
      <c r="L29" s="102">
        <v>4.2483660130718921E-2</v>
      </c>
      <c r="M29" s="102">
        <v>-0.10644257703081229</v>
      </c>
      <c r="N29" s="92"/>
      <c r="O29" s="92">
        <f t="shared" si="3"/>
        <v>-1</v>
      </c>
      <c r="P29" s="92">
        <f t="shared" si="4"/>
        <v>0</v>
      </c>
      <c r="Q29" s="92">
        <f t="shared" si="5"/>
        <v>1</v>
      </c>
      <c r="T29" s="12" t="s">
        <v>2451</v>
      </c>
      <c r="U29" s="99">
        <v>1.2290000000000001E-3</v>
      </c>
      <c r="V29" s="337">
        <v>0.68327819581387306</v>
      </c>
      <c r="W29" s="116"/>
    </row>
    <row r="30" spans="1:24" x14ac:dyDescent="0.2">
      <c r="A30" s="295"/>
      <c r="B30" s="3" t="s">
        <v>2451</v>
      </c>
      <c r="C30" s="101" cm="1">
        <f t="array" ref="C30:M30">tinh_du_lieu_cp(B30)</f>
        <v>40.75</v>
      </c>
      <c r="D30" s="103">
        <v>1149.0999999999999</v>
      </c>
      <c r="E30" s="102">
        <v>1.2290000000000001E-3</v>
      </c>
      <c r="F30" s="98">
        <v>0.68327819581387306</v>
      </c>
      <c r="G30" s="98">
        <v>0.98631609635217388</v>
      </c>
      <c r="H30" s="98">
        <v>0.72190984765195543</v>
      </c>
      <c r="I30" s="102">
        <v>0.19410319410319404</v>
      </c>
      <c r="J30" s="92">
        <v>40.700000000000003</v>
      </c>
      <c r="K30" s="92">
        <v>48.6</v>
      </c>
      <c r="L30" s="102">
        <v>1.2285012285011586E-3</v>
      </c>
      <c r="M30" s="102">
        <v>-0.16152263374485598</v>
      </c>
      <c r="N30" s="92"/>
      <c r="O30" s="92">
        <f t="shared" si="3"/>
        <v>1</v>
      </c>
      <c r="P30" s="92">
        <f t="shared" si="4"/>
        <v>1</v>
      </c>
      <c r="Q30" s="92">
        <f t="shared" si="5"/>
        <v>0</v>
      </c>
      <c r="T30" s="12" t="s">
        <v>2663</v>
      </c>
      <c r="U30" s="99">
        <v>2.9329999999999998E-3</v>
      </c>
      <c r="V30" s="337">
        <v>0.49855789039967036</v>
      </c>
      <c r="W30" s="116"/>
    </row>
    <row r="31" spans="1:24" x14ac:dyDescent="0.2">
      <c r="A31" s="295"/>
      <c r="B31" s="3" t="s">
        <v>2663</v>
      </c>
      <c r="C31" s="101" cm="1">
        <f t="array" ref="C31:M31">tinh_du_lieu_cp(B31)</f>
        <v>17.100000000000001</v>
      </c>
      <c r="D31" s="103">
        <v>5.5</v>
      </c>
      <c r="E31" s="102">
        <v>2.9329999999999998E-3</v>
      </c>
      <c r="F31" s="98">
        <v>0.49855789039967036</v>
      </c>
      <c r="G31" s="98">
        <v>1.0140140140140141</v>
      </c>
      <c r="H31" s="98">
        <v>0.30841121495327106</v>
      </c>
      <c r="I31" s="102">
        <v>9.615384615384627E-2</v>
      </c>
      <c r="J31" s="92">
        <v>15.6</v>
      </c>
      <c r="K31" s="92">
        <v>17.100000000000001</v>
      </c>
      <c r="L31" s="102">
        <v>9.615384615384627E-2</v>
      </c>
      <c r="M31" s="102">
        <v>0</v>
      </c>
      <c r="N31" s="92"/>
      <c r="O31" s="92">
        <f t="shared" si="3"/>
        <v>1</v>
      </c>
      <c r="P31" s="92">
        <f t="shared" si="4"/>
        <v>1</v>
      </c>
      <c r="Q31" s="92">
        <f t="shared" si="5"/>
        <v>0</v>
      </c>
      <c r="T31" s="12" t="s">
        <v>3051</v>
      </c>
      <c r="U31" s="99">
        <v>-9.7836999999999993E-2</v>
      </c>
      <c r="V31" s="337">
        <v>4.2817930027985316</v>
      </c>
      <c r="W31" s="116"/>
    </row>
    <row r="32" spans="1:24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  <row r="38" spans="22:23" x14ac:dyDescent="0.2">
      <c r="V38" s="115"/>
      <c r="W38" s="116"/>
    </row>
    <row r="39" spans="22:23" x14ac:dyDescent="0.2">
      <c r="V39" s="115"/>
      <c r="W39" s="116"/>
    </row>
    <row r="40" spans="22:23" x14ac:dyDescent="0.2">
      <c r="V40" s="115"/>
      <c r="W40" s="116"/>
    </row>
    <row r="41" spans="22:23" x14ac:dyDescent="0.2">
      <c r="V41" s="115"/>
      <c r="W41" s="116"/>
    </row>
    <row r="42" spans="22:23" x14ac:dyDescent="0.2">
      <c r="V42" s="115"/>
      <c r="W42" s="116"/>
    </row>
  </sheetData>
  <mergeCells count="16">
    <mergeCell ref="F14:G14"/>
    <mergeCell ref="G18:G19"/>
    <mergeCell ref="A18:A19"/>
    <mergeCell ref="H18:H19"/>
    <mergeCell ref="B18:B19"/>
    <mergeCell ref="C18:C19"/>
    <mergeCell ref="D18:D19"/>
    <mergeCell ref="E18:E19"/>
    <mergeCell ref="F18:F19"/>
    <mergeCell ref="A20:A31"/>
    <mergeCell ref="N18:N19"/>
    <mergeCell ref="I18:I19"/>
    <mergeCell ref="J18:J19"/>
    <mergeCell ref="K18:K19"/>
    <mergeCell ref="L18:L19"/>
    <mergeCell ref="M18:M19"/>
  </mergeCells>
  <conditionalFormatting sqref="A14">
    <cfRule type="expression" dxfId="900" priority="189" stopIfTrue="1">
      <formula>A14="giảm"</formula>
    </cfRule>
    <cfRule type="expression" dxfId="899" priority="190" stopIfTrue="1">
      <formula>A14="tăng"</formula>
    </cfRule>
  </conditionalFormatting>
  <conditionalFormatting sqref="G20 G27">
    <cfRule type="expression" dxfId="898" priority="182" stopIfTrue="1">
      <formula>G20&gt;2</formula>
    </cfRule>
    <cfRule type="expression" dxfId="897" priority="183" stopIfTrue="1">
      <formula>AND(G20&gt;0.5, G20&lt;1)</formula>
    </cfRule>
    <cfRule type="expression" dxfId="896" priority="184" stopIfTrue="1">
      <formula>G20&lt;=0.5</formula>
    </cfRule>
    <cfRule type="expression" dxfId="895" priority="185" stopIfTrue="1">
      <formula>AND(G20&gt;=1,G20&lt;2)</formula>
    </cfRule>
  </conditionalFormatting>
  <conditionalFormatting sqref="H20 H27">
    <cfRule type="expression" dxfId="894" priority="174" stopIfTrue="1">
      <formula>H20&gt;=2</formula>
    </cfRule>
    <cfRule type="expression" dxfId="893" priority="175" stopIfTrue="1">
      <formula>AND(H20&gt;=1,H20&lt;2)</formula>
    </cfRule>
    <cfRule type="expression" dxfId="892" priority="176" stopIfTrue="1">
      <formula>AND(H20&gt;0.5, H20&lt;1)</formula>
    </cfRule>
    <cfRule type="expression" dxfId="891" priority="177" stopIfTrue="1">
      <formula>H20&lt;=0.5</formula>
    </cfRule>
  </conditionalFormatting>
  <conditionalFormatting sqref="H20 H27">
    <cfRule type="expression" dxfId="890" priority="160" stopIfTrue="1">
      <formula>H20&gt;=2</formula>
    </cfRule>
    <cfRule type="expression" dxfId="889" priority="161" stopIfTrue="1">
      <formula>AND(H20&gt;=1,H20&lt;2)</formula>
    </cfRule>
    <cfRule type="expression" dxfId="888" priority="162" stopIfTrue="1">
      <formula>AND(H20&gt;0.5, H20&lt;1)</formula>
    </cfRule>
    <cfRule type="expression" dxfId="887" priority="163" stopIfTrue="1">
      <formula>H20&lt;=0.5</formula>
    </cfRule>
    <cfRule type="expression" dxfId="886" priority="164" stopIfTrue="1">
      <formula>H20&gt;=2</formula>
    </cfRule>
  </conditionalFormatting>
  <conditionalFormatting sqref="G20 G27">
    <cfRule type="expression" dxfId="885" priority="165" stopIfTrue="1">
      <formula>G20&gt;2</formula>
    </cfRule>
    <cfRule type="expression" dxfId="884" priority="166" stopIfTrue="1">
      <formula>AND(G20&gt;0.5, G20&lt;1)</formula>
    </cfRule>
    <cfRule type="expression" dxfId="883" priority="167" stopIfTrue="1">
      <formula>G20&lt;=0.5</formula>
    </cfRule>
    <cfRule type="expression" dxfId="882" priority="168" stopIfTrue="1">
      <formula>AND(G20&gt;=1,G20&lt;2)</formula>
    </cfRule>
    <cfRule type="expression" dxfId="881" priority="169" stopIfTrue="1">
      <formula>G20&gt;2</formula>
    </cfRule>
  </conditionalFormatting>
  <conditionalFormatting sqref="F20:H31">
    <cfRule type="expression" dxfId="880" priority="140" stopIfTrue="1">
      <formula>F20&lt;0</formula>
    </cfRule>
    <cfRule type="expression" dxfId="879" priority="141" stopIfTrue="1">
      <formula>F20=1</formula>
    </cfRule>
    <cfRule type="expression" dxfId="878" priority="142" stopIfTrue="1">
      <formula>AND(F20&lt;1,F20&gt;0)</formula>
    </cfRule>
    <cfRule type="expression" dxfId="877" priority="143" stopIfTrue="1">
      <formula>AND(F20&lt;2,F20&gt;1)</formula>
    </cfRule>
    <cfRule type="expression" dxfId="876" priority="144" stopIfTrue="1">
      <formula>F20&gt;=2</formula>
    </cfRule>
  </conditionalFormatting>
  <conditionalFormatting sqref="C3:C7">
    <cfRule type="expression" dxfId="875" priority="32" stopIfTrue="1">
      <formula>H3="giảm"</formula>
    </cfRule>
    <cfRule type="expression" dxfId="874" priority="33" stopIfTrue="1">
      <formula>H3="tăng"</formula>
    </cfRule>
  </conditionalFormatting>
  <conditionalFormatting sqref="H3:H7">
    <cfRule type="expression" dxfId="873" priority="30" stopIfTrue="1">
      <formula>H3="giảm"</formula>
    </cfRule>
    <cfRule type="expression" dxfId="872" priority="31" stopIfTrue="1">
      <formula>H3="tăng"</formula>
    </cfRule>
  </conditionalFormatting>
  <conditionalFormatting sqref="B3:B7">
    <cfRule type="expression" dxfId="871" priority="34" stopIfTrue="1">
      <formula>H3="giảm"</formula>
    </cfRule>
    <cfRule type="expression" dxfId="870" priority="35" stopIfTrue="1">
      <formula>H3="tăng"</formula>
    </cfRule>
  </conditionalFormatting>
  <conditionalFormatting sqref="A3:A7">
    <cfRule type="expression" dxfId="869" priority="38" stopIfTrue="1">
      <formula>H3="giảm"</formula>
    </cfRule>
    <cfRule type="expression" dxfId="868" priority="39" stopIfTrue="1">
      <formula>H3="tăng"</formula>
    </cfRule>
  </conditionalFormatting>
  <conditionalFormatting sqref="G3:G7">
    <cfRule type="expression" dxfId="867" priority="27" stopIfTrue="1">
      <formula>G3=0</formula>
    </cfRule>
    <cfRule type="expression" dxfId="866" priority="28" stopIfTrue="1">
      <formula>G3&lt;0</formula>
    </cfRule>
    <cfRule type="expression" dxfId="865" priority="29" stopIfTrue="1">
      <formula>G3&gt;0</formula>
    </cfRule>
  </conditionalFormatting>
  <conditionalFormatting sqref="E3:E7">
    <cfRule type="expression" dxfId="864" priority="25" stopIfTrue="1">
      <formula>H3="tăng"</formula>
    </cfRule>
    <cfRule type="expression" dxfId="863" priority="26" stopIfTrue="1">
      <formula>H3="giảm"</formula>
    </cfRule>
  </conditionalFormatting>
  <conditionalFormatting sqref="F3:F7">
    <cfRule type="expression" dxfId="862" priority="23" stopIfTrue="1">
      <formula>H3="tăng"</formula>
    </cfRule>
    <cfRule type="expression" dxfId="861" priority="24" stopIfTrue="1">
      <formula>H3="giảm"</formula>
    </cfRule>
  </conditionalFormatting>
  <conditionalFormatting sqref="D3:D7">
    <cfRule type="expression" dxfId="860" priority="21" stopIfTrue="1">
      <formula>H3="giảm"</formula>
    </cfRule>
    <cfRule type="expression" dxfId="859" priority="22" stopIfTrue="1">
      <formula>H3="tăng"</formula>
    </cfRule>
  </conditionalFormatting>
  <conditionalFormatting sqref="F27 F20">
    <cfRule type="colorScale" priority="1423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1">
    <cfRule type="colorScale" priority="14237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4239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4241">
      <colorScale>
        <cfvo type="min"/>
        <cfvo type="max"/>
        <color rgb="FFFF7C80"/>
        <color theme="0" tint="-4.9989318521683403E-2"/>
      </colorScale>
    </cfRule>
  </conditionalFormatting>
  <conditionalFormatting sqref="C20:C31">
    <cfRule type="expression" dxfId="858" priority="6" stopIfTrue="1">
      <formula>E20&gt;=6.8%</formula>
    </cfRule>
    <cfRule type="expression" dxfId="857" priority="7" stopIfTrue="1">
      <formula>AND(E20&gt;0%,E20&lt;6.8%)</formula>
    </cfRule>
    <cfRule type="expression" dxfId="856" priority="8" stopIfTrue="1">
      <formula>E20=0%</formula>
    </cfRule>
    <cfRule type="expression" dxfId="855" priority="9" stopIfTrue="1">
      <formula>AND(E20&gt;-6.8%, E20&lt;0%)</formula>
    </cfRule>
    <cfRule type="expression" dxfId="854" priority="10" stopIfTrue="1">
      <formula>E20&lt;=-6.8%</formula>
    </cfRule>
  </conditionalFormatting>
  <conditionalFormatting sqref="B20:B31">
    <cfRule type="expression" dxfId="853" priority="16" stopIfTrue="1">
      <formula>E20&gt;=6.8%</formula>
    </cfRule>
    <cfRule type="expression" dxfId="852" priority="17" stopIfTrue="1">
      <formula>AND(E20&gt;0%,E20&lt;6.8%)</formula>
    </cfRule>
    <cfRule type="expression" dxfId="851" priority="18" stopIfTrue="1">
      <formula>E20=0%</formula>
    </cfRule>
    <cfRule type="expression" dxfId="850" priority="19" stopIfTrue="1">
      <formula>AND(E20&gt;-6.8%, E20&lt;0%)</formula>
    </cfRule>
    <cfRule type="expression" dxfId="849" priority="20" stopIfTrue="1">
      <formula>E20&lt;=-6.8%</formula>
    </cfRule>
  </conditionalFormatting>
  <conditionalFormatting sqref="D20:D31">
    <cfRule type="expression" dxfId="848" priority="1" stopIfTrue="1">
      <formula>D20&gt;20000</formula>
    </cfRule>
    <cfRule type="expression" dxfId="847" priority="2" stopIfTrue="1">
      <formula>AND(D20&gt;10000,D20&lt;=20000)</formula>
    </cfRule>
    <cfRule type="expression" dxfId="846" priority="3" stopIfTrue="1">
      <formula>AND(D20&gt;1000,D20&lt;=10000)</formula>
    </cfRule>
    <cfRule type="expression" dxfId="845" priority="4" stopIfTrue="1">
      <formula>AND(D20&gt;200,D20&lt;=1000)</formula>
    </cfRule>
    <cfRule type="expression" dxfId="844" priority="5" stopIfTrue="1">
      <formula>D20&lt;=200</formula>
    </cfRule>
  </conditionalFormatting>
  <conditionalFormatting sqref="E20:E31">
    <cfRule type="expression" dxfId="843" priority="11" stopIfTrue="1">
      <formula>E20&gt;=6.8%</formula>
    </cfRule>
    <cfRule type="expression" dxfId="842" priority="12" stopIfTrue="1">
      <formula>AND(E20&gt;0%,E20&lt;6.8%)</formula>
    </cfRule>
    <cfRule type="expression" dxfId="841" priority="13" stopIfTrue="1">
      <formula>E20=0%</formula>
    </cfRule>
    <cfRule type="expression" dxfId="840" priority="14" stopIfTrue="1">
      <formula>AND(E20&gt;-6.8%, E20&lt;0%)</formula>
    </cfRule>
    <cfRule type="expression" dxfId="839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F36287-5DDB-4B59-925C-5BD2104A2164}">
          <x14:formula1>
            <xm:f>'Nơi chứ dữ liệu'!$I$2:$N$2</xm:f>
          </x14:formula1>
          <xm:sqref>N20 N27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E6F4-CD3A-4675-B214-46472E57BA58}">
  <sheetPr codeName="Sheet19">
    <tabColor rgb="FF00B0F0"/>
  </sheetPr>
  <dimension ref="A1:X42"/>
  <sheetViews>
    <sheetView zoomScaleNormal="100" workbookViewId="0">
      <selection activeCell="T24" sqref="T24"/>
    </sheetView>
  </sheetViews>
  <sheetFormatPr defaultRowHeight="15" x14ac:dyDescent="0.2"/>
  <cols>
    <col min="1" max="1" width="8" customWidth="1"/>
    <col min="2" max="2" width="9.6640625" customWidth="1"/>
    <col min="3" max="3" width="12.109375" customWidth="1"/>
    <col min="4" max="4" width="11.21875" customWidth="1"/>
    <col min="5" max="5" width="14.77734375" customWidth="1"/>
    <col min="6" max="6" width="12.33203125" customWidth="1"/>
    <col min="7" max="7" width="12.6640625" customWidth="1"/>
    <col min="8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"&amp;SUM($O$20:O25)&amp;" "&amp;"trên tổng"&amp;" "&amp;$O$19</f>
        <v>Tổng điểm nhóm hôm nay -2 trên tổng 11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3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5</v>
      </c>
      <c r="B16" s="189"/>
      <c r="C16" s="189"/>
      <c r="D16" s="189"/>
      <c r="E16" s="189"/>
      <c r="F16" s="190">
        <f>AVERAGE(E20:E31)</f>
        <v>-5.2165833333333335E-3</v>
      </c>
      <c r="G16" s="191">
        <f>AVERAGE(F20:F31)</f>
        <v>0.6213887986392822</v>
      </c>
    </row>
    <row r="17" spans="1:24" ht="15.75" x14ac:dyDescent="0.2">
      <c r="A17" s="188" t="str">
        <f>"Tổng điểm tham chiếu nhóm hôm nay"&amp;" "&amp;(O19-(P19+Q19))</f>
        <v>Tổng điểm tham chiếu nhóm hôm nay 3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COUNT(O20:O30)</f>
        <v>11</v>
      </c>
      <c r="P19" s="158">
        <f>SUM(P20:P30)</f>
        <v>3</v>
      </c>
      <c r="Q19" s="158">
        <f>SUM(Q20:Q30)</f>
        <v>5</v>
      </c>
      <c r="T19" s="12" t="s">
        <v>2329</v>
      </c>
      <c r="U19" s="99">
        <v>-4.9919000000000005E-2</v>
      </c>
      <c r="V19" s="337">
        <v>1.1618369158510962</v>
      </c>
      <c r="X19"/>
    </row>
    <row r="20" spans="1:24" ht="15.75" customHeight="1" x14ac:dyDescent="0.2">
      <c r="A20" s="305" t="s">
        <v>3075</v>
      </c>
      <c r="B20" s="3" t="s">
        <v>963</v>
      </c>
      <c r="C20" s="101" cm="1">
        <f t="array" ref="C20:M20">tinh_du_lieu_cp(B20)</f>
        <v>9.8000000000000007</v>
      </c>
      <c r="D20" s="103">
        <v>0</v>
      </c>
      <c r="E20" s="102">
        <v>0</v>
      </c>
      <c r="F20" s="98">
        <v>0</v>
      </c>
      <c r="G20" s="98">
        <v>0.98944469940339597</v>
      </c>
      <c r="H20" s="98">
        <v>0</v>
      </c>
      <c r="I20" s="93">
        <v>0.12631578947368413</v>
      </c>
      <c r="J20" s="92">
        <v>9.5</v>
      </c>
      <c r="K20" s="92">
        <v>10.7</v>
      </c>
      <c r="L20" s="93">
        <v>3.157894736842113E-2</v>
      </c>
      <c r="M20" s="93">
        <v>-8.4112149532710151E-2</v>
      </c>
      <c r="N20" s="92"/>
      <c r="O20" s="92">
        <f t="shared" ref="O20:O25" si="0">IF(E20&gt;0,1,IF(E20=0,0,-1))</f>
        <v>0</v>
      </c>
      <c r="P20" s="92">
        <f t="shared" ref="P20:P27" si="1">IF(O20=1,1,0)</f>
        <v>0</v>
      </c>
      <c r="Q20" s="92">
        <f t="shared" ref="Q20:Q27" si="2">IF(O20&lt;0,1,0)</f>
        <v>0</v>
      </c>
      <c r="T20" s="12" t="s">
        <v>2711</v>
      </c>
      <c r="U20" s="99">
        <v>-1.9762999999999999E-2</v>
      </c>
      <c r="V20" s="337">
        <v>0.67981843575418999</v>
      </c>
    </row>
    <row r="21" spans="1:24" ht="15.75" customHeight="1" x14ac:dyDescent="0.2">
      <c r="A21" s="305"/>
      <c r="B21" s="3" t="s">
        <v>1303</v>
      </c>
      <c r="C21" s="101" cm="1">
        <f t="array" ref="C21:M21">tinh_du_lieu_cp(B21)</f>
        <v>12.35</v>
      </c>
      <c r="D21" s="103">
        <v>1.2</v>
      </c>
      <c r="E21" s="102">
        <v>0</v>
      </c>
      <c r="F21" s="98">
        <v>7.2229822161422708E-2</v>
      </c>
      <c r="G21" s="98">
        <v>1.0235792401542447</v>
      </c>
      <c r="H21" s="98">
        <v>4.9792531120331947E-2</v>
      </c>
      <c r="I21" s="93">
        <v>0.20353982300884946</v>
      </c>
      <c r="J21" s="92">
        <v>11.3</v>
      </c>
      <c r="K21" s="92">
        <v>13.6</v>
      </c>
      <c r="L21" s="93">
        <v>9.292035398230078E-2</v>
      </c>
      <c r="M21" s="93">
        <v>-9.1911764705882359E-2</v>
      </c>
      <c r="N21" s="92"/>
      <c r="O21" s="92">
        <f t="shared" si="0"/>
        <v>0</v>
      </c>
      <c r="P21" s="92">
        <f t="shared" si="1"/>
        <v>0</v>
      </c>
      <c r="Q21" s="92">
        <f t="shared" si="2"/>
        <v>0</v>
      </c>
      <c r="T21" s="12" t="s">
        <v>2570</v>
      </c>
      <c r="U21" s="99">
        <v>-1.2605E-2</v>
      </c>
      <c r="V21" s="337">
        <v>0.72355634085615617</v>
      </c>
    </row>
    <row r="22" spans="1:24" ht="15.75" customHeight="1" x14ac:dyDescent="0.2">
      <c r="A22" s="305"/>
      <c r="B22" s="3" t="s">
        <v>109</v>
      </c>
      <c r="C22" s="101" cm="1">
        <f t="array" ref="C22:M22">tinh_du_lieu_cp(B22)</f>
        <v>27.85</v>
      </c>
      <c r="D22" s="103">
        <v>15677.1</v>
      </c>
      <c r="E22" s="102">
        <v>-7.1300000000000001E-3</v>
      </c>
      <c r="F22" s="98">
        <v>0.61602626690640339</v>
      </c>
      <c r="G22" s="98">
        <v>1.0409643996499256</v>
      </c>
      <c r="H22" s="98">
        <v>0.51892999438383869</v>
      </c>
      <c r="I22" s="93">
        <v>0.12007874015748035</v>
      </c>
      <c r="J22" s="92">
        <v>25.4</v>
      </c>
      <c r="K22" s="92">
        <v>28.45</v>
      </c>
      <c r="L22" s="93">
        <v>9.6456692913385947E-2</v>
      </c>
      <c r="M22" s="93">
        <v>-2.1089630931458624E-2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1795</v>
      </c>
      <c r="U22" s="99">
        <v>-1.2539E-2</v>
      </c>
      <c r="V22" s="337">
        <v>0.91748420357270022</v>
      </c>
    </row>
    <row r="23" spans="1:24" ht="15.75" customHeight="1" x14ac:dyDescent="0.2">
      <c r="A23" s="305"/>
      <c r="B23" s="3" t="s">
        <v>117</v>
      </c>
      <c r="C23" s="101" cm="1">
        <f t="array" ref="C23:M23">tinh_du_lieu_cp(B23)</f>
        <v>18.7</v>
      </c>
      <c r="D23" s="103">
        <v>5107.2</v>
      </c>
      <c r="E23" s="102">
        <v>-1.0582000000000001E-2</v>
      </c>
      <c r="F23" s="98">
        <v>0.72169509553796463</v>
      </c>
      <c r="G23" s="98">
        <v>1.0509193776520511</v>
      </c>
      <c r="H23" s="98">
        <v>0.44386633254631574</v>
      </c>
      <c r="I23" s="93">
        <v>0.15015015015015015</v>
      </c>
      <c r="J23" s="92">
        <v>16.649999999999999</v>
      </c>
      <c r="K23" s="92">
        <v>19.149999999999999</v>
      </c>
      <c r="L23" s="93">
        <v>0.12312312312312318</v>
      </c>
      <c r="M23" s="93">
        <v>-2.3498694516971244E-2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117</v>
      </c>
      <c r="U23" s="99">
        <v>-1.0582000000000001E-2</v>
      </c>
      <c r="V23" s="337">
        <v>0.72169509553796463</v>
      </c>
    </row>
    <row r="24" spans="1:24" ht="15.75" customHeight="1" x14ac:dyDescent="0.2">
      <c r="A24" s="305"/>
      <c r="B24" s="3" t="s">
        <v>1795</v>
      </c>
      <c r="C24" s="101" cm="1">
        <f t="array" ref="C24:M24">tinh_du_lieu_cp(B24)</f>
        <v>15.75</v>
      </c>
      <c r="D24" s="103">
        <v>7285.3</v>
      </c>
      <c r="E24" s="102">
        <v>-1.2539E-2</v>
      </c>
      <c r="F24" s="98">
        <v>0.91748420357270022</v>
      </c>
      <c r="G24" s="98">
        <v>1.0709773318468971</v>
      </c>
      <c r="H24" s="98">
        <v>0.5324525672633722</v>
      </c>
      <c r="I24" s="93">
        <v>0.48301886792452819</v>
      </c>
      <c r="J24" s="92">
        <v>13.25</v>
      </c>
      <c r="K24" s="92">
        <v>19.649999999999999</v>
      </c>
      <c r="L24" s="93">
        <v>0.18867924528301888</v>
      </c>
      <c r="M24" s="93">
        <v>-0.19847328244274803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109</v>
      </c>
      <c r="U24" s="99">
        <v>-7.1300000000000001E-3</v>
      </c>
      <c r="V24" s="337">
        <v>0.61602626690640339</v>
      </c>
    </row>
    <row r="25" spans="1:24" ht="15.75" customHeight="1" x14ac:dyDescent="0.2">
      <c r="A25" s="305"/>
      <c r="B25" s="3" t="s">
        <v>2279</v>
      </c>
      <c r="C25" s="101" cm="1">
        <f t="array" ref="C25:M25">tinh_du_lieu_cp(B25)</f>
        <v>4.2300000000000004</v>
      </c>
      <c r="D25" s="103">
        <v>0.6</v>
      </c>
      <c r="E25" s="102">
        <v>1.6827000000000002E-2</v>
      </c>
      <c r="F25" s="98">
        <v>4.1548630783758263E-2</v>
      </c>
      <c r="G25" s="98">
        <v>1.0096387288473385</v>
      </c>
      <c r="H25" s="98">
        <v>0.12949640287769784</v>
      </c>
      <c r="I25" s="93">
        <v>9.8236775818639821E-2</v>
      </c>
      <c r="J25" s="92">
        <v>3.97</v>
      </c>
      <c r="K25" s="92">
        <v>4.3600000000000003</v>
      </c>
      <c r="L25" s="93">
        <v>6.5491183879093251E-2</v>
      </c>
      <c r="M25" s="93">
        <v>-2.9816513761467864E-2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1303</v>
      </c>
      <c r="U25" s="99">
        <v>0</v>
      </c>
      <c r="V25" s="337">
        <v>7.2229822161422708E-2</v>
      </c>
    </row>
    <row r="26" spans="1:24" ht="15.75" customHeight="1" x14ac:dyDescent="0.2">
      <c r="A26" s="305"/>
      <c r="B26" s="3" t="s">
        <v>2286</v>
      </c>
      <c r="C26" s="101" cm="1">
        <f t="array" ref="C26:M26">tinh_du_lieu_cp(B26)</f>
        <v>15.15</v>
      </c>
      <c r="D26" s="103">
        <v>431.1</v>
      </c>
      <c r="E26" s="102">
        <v>3.3110000000000001E-3</v>
      </c>
      <c r="F26" s="98">
        <v>0.60635624916087538</v>
      </c>
      <c r="G26" s="98">
        <v>0.97745500782472605</v>
      </c>
      <c r="H26" s="98">
        <v>0.41349212692830306</v>
      </c>
      <c r="I26" s="93">
        <v>0.16438356164383564</v>
      </c>
      <c r="J26" s="92">
        <v>14.6</v>
      </c>
      <c r="K26" s="92">
        <v>17</v>
      </c>
      <c r="L26" s="93">
        <v>3.7671232876712375E-2</v>
      </c>
      <c r="M26" s="93">
        <v>-0.10882352941176468</v>
      </c>
      <c r="N26" s="92"/>
      <c r="O26" s="92">
        <f t="shared" ref="O26:O27" si="3">IF(E26&gt;0,1,IF(E26=0,0,-1))</f>
        <v>1</v>
      </c>
      <c r="P26" s="92">
        <f t="shared" si="1"/>
        <v>1</v>
      </c>
      <c r="Q26" s="92">
        <f t="shared" si="2"/>
        <v>0</v>
      </c>
      <c r="T26" s="12" t="s">
        <v>963</v>
      </c>
      <c r="U26" s="99">
        <v>0</v>
      </c>
      <c r="V26" s="337">
        <v>0</v>
      </c>
    </row>
    <row r="27" spans="1:24" ht="15.75" customHeight="1" x14ac:dyDescent="0.2">
      <c r="A27" s="305"/>
      <c r="B27" s="3" t="s">
        <v>2329</v>
      </c>
      <c r="C27" s="101" cm="1">
        <f t="array" ref="C27:M27">tinh_du_lieu_cp(B27)</f>
        <v>5.9</v>
      </c>
      <c r="D27" s="103">
        <v>1410</v>
      </c>
      <c r="E27" s="102">
        <v>-4.9919000000000005E-2</v>
      </c>
      <c r="F27" s="98">
        <v>1.1618369158510962</v>
      </c>
      <c r="G27" s="98">
        <v>1.0268741159830268</v>
      </c>
      <c r="H27" s="98">
        <v>1.1071849234393405</v>
      </c>
      <c r="I27" s="93">
        <v>0.52430555555555547</v>
      </c>
      <c r="J27" s="92">
        <v>5.76</v>
      </c>
      <c r="K27" s="92">
        <v>8.7799999999999994</v>
      </c>
      <c r="L27" s="93">
        <v>2.4305555555555657E-2</v>
      </c>
      <c r="M27" s="93">
        <v>-0.32801822323462404</v>
      </c>
      <c r="N27" s="92"/>
      <c r="O27" s="92">
        <f t="shared" si="3"/>
        <v>-1</v>
      </c>
      <c r="P27" s="92">
        <f t="shared" si="1"/>
        <v>0</v>
      </c>
      <c r="Q27" s="92">
        <f t="shared" si="2"/>
        <v>1</v>
      </c>
      <c r="T27" s="12" t="s">
        <v>2559</v>
      </c>
      <c r="U27" s="99">
        <v>0</v>
      </c>
      <c r="V27" s="337">
        <v>0</v>
      </c>
    </row>
    <row r="28" spans="1:24" ht="15.75" customHeight="1" x14ac:dyDescent="0.2">
      <c r="A28" s="305"/>
      <c r="B28" s="3" t="s">
        <v>2536</v>
      </c>
      <c r="C28" s="101" cm="1">
        <f t="array" ref="C28:M28">tinh_du_lieu_cp(B28)</f>
        <v>6.22</v>
      </c>
      <c r="D28" s="103">
        <v>1128.9000000000001</v>
      </c>
      <c r="E28" s="102">
        <v>2.9801000000000001E-2</v>
      </c>
      <c r="F28" s="98">
        <v>1.2947248244475376</v>
      </c>
      <c r="G28" s="98">
        <v>1.2116630669546435</v>
      </c>
      <c r="H28" s="98">
        <v>0.47617507697931755</v>
      </c>
      <c r="I28" s="93">
        <v>0.44651162790697674</v>
      </c>
      <c r="J28" s="92">
        <v>4.3</v>
      </c>
      <c r="K28" s="92">
        <v>6.22</v>
      </c>
      <c r="L28" s="93">
        <v>0.44651162790697674</v>
      </c>
      <c r="M28" s="93">
        <v>0</v>
      </c>
      <c r="N28" s="92"/>
      <c r="O28" s="92">
        <f t="shared" ref="O28" si="4">IF(E28&gt;0,1,IF(E28=0,0,-1))</f>
        <v>1</v>
      </c>
      <c r="P28" s="92">
        <f t="shared" ref="P28" si="5">IF(O28=1,1,0)</f>
        <v>1</v>
      </c>
      <c r="Q28" s="92">
        <f t="shared" ref="Q28" si="6">IF(O28&lt;0,1,0)</f>
        <v>0</v>
      </c>
      <c r="T28" s="12" t="s">
        <v>2286</v>
      </c>
      <c r="U28" s="99">
        <v>3.3110000000000001E-3</v>
      </c>
      <c r="V28" s="337">
        <v>0.60635624916087538</v>
      </c>
    </row>
    <row r="29" spans="1:24" x14ac:dyDescent="0.2">
      <c r="A29" s="305"/>
      <c r="B29" s="3" t="s">
        <v>2559</v>
      </c>
      <c r="C29" s="101">
        <f t="array" ref="C29:M29">tinh_du_lieu_cp(B29)</f>
        <v>3.7</v>
      </c>
      <c r="D29" s="103">
        <v>0</v>
      </c>
      <c r="E29" s="102">
        <v>0</v>
      </c>
      <c r="F29" s="98" t="str">
        <v/>
      </c>
      <c r="G29" s="98">
        <v>0.99999999999999967</v>
      </c>
      <c r="H29" s="98" t="str">
        <v/>
      </c>
      <c r="I29" s="93">
        <v>0</v>
      </c>
      <c r="J29" s="92">
        <v>3.7</v>
      </c>
      <c r="K29" s="92">
        <v>3.7</v>
      </c>
      <c r="L29" s="93">
        <v>0</v>
      </c>
      <c r="M29" s="93">
        <v>0</v>
      </c>
      <c r="N29" s="92"/>
      <c r="O29" s="92">
        <f t="shared" ref="O29:O30" si="7">IF(E29&gt;0,1,IF(E29=0,0,-1))</f>
        <v>0</v>
      </c>
      <c r="P29" s="92">
        <f t="shared" ref="P29:P30" si="8">IF(O29=1,1,0)</f>
        <v>0</v>
      </c>
      <c r="Q29" s="92">
        <f t="shared" ref="Q29:Q30" si="9">IF(O29&lt;0,1,0)</f>
        <v>0</v>
      </c>
      <c r="T29" s="12" t="s">
        <v>2279</v>
      </c>
      <c r="U29" s="99">
        <v>1.6827000000000002E-2</v>
      </c>
      <c r="V29" s="337">
        <v>4.1548630783758263E-2</v>
      </c>
      <c r="W29" s="116"/>
    </row>
    <row r="30" spans="1:24" x14ac:dyDescent="0.2">
      <c r="A30" s="305"/>
      <c r="B30" s="3" t="s">
        <v>2570</v>
      </c>
      <c r="C30" s="101">
        <f t="array" ref="C30:M30">tinh_du_lieu_cp(B30)</f>
        <v>2.35</v>
      </c>
      <c r="D30" s="103">
        <v>81.900000000000006</v>
      </c>
      <c r="E30" s="102">
        <v>-1.2605E-2</v>
      </c>
      <c r="F30" s="98">
        <v>0.72355634085615617</v>
      </c>
      <c r="G30" s="98">
        <v>1.0170421155729674</v>
      </c>
      <c r="H30" s="98">
        <v>1.0190792202405641</v>
      </c>
      <c r="I30" s="93">
        <v>8.1081081081080947E-2</v>
      </c>
      <c r="J30" s="92">
        <v>2.2200000000000002</v>
      </c>
      <c r="K30" s="92">
        <v>2.4</v>
      </c>
      <c r="L30" s="93">
        <v>5.8558558558558509E-2</v>
      </c>
      <c r="M30" s="93">
        <v>-2.0833333333333259E-2</v>
      </c>
      <c r="N30" s="92"/>
      <c r="O30" s="92">
        <f t="shared" si="7"/>
        <v>-1</v>
      </c>
      <c r="P30" s="92">
        <f t="shared" si="8"/>
        <v>0</v>
      </c>
      <c r="Q30" s="92">
        <f t="shared" si="9"/>
        <v>1</v>
      </c>
      <c r="T30" s="12" t="s">
        <v>2536</v>
      </c>
      <c r="U30" s="99">
        <v>2.9801000000000001E-2</v>
      </c>
      <c r="V30" s="337">
        <v>1.2947248244475376</v>
      </c>
      <c r="W30" s="116"/>
    </row>
    <row r="31" spans="1:24" x14ac:dyDescent="0.2">
      <c r="A31" s="305"/>
      <c r="B31" s="3" t="s">
        <v>2711</v>
      </c>
      <c r="C31" s="101">
        <f t="array" ref="C31:M31">tinh_du_lieu_cp(B31)</f>
        <v>12.4</v>
      </c>
      <c r="D31" s="103">
        <v>17.7</v>
      </c>
      <c r="E31" s="102">
        <v>-1.9762999999999999E-2</v>
      </c>
      <c r="F31" s="98">
        <v>0.67981843575418999</v>
      </c>
      <c r="G31" s="98">
        <v>1.1069982648930017</v>
      </c>
      <c r="H31" s="98">
        <v>0.28147362841240392</v>
      </c>
      <c r="I31" s="93">
        <v>0.72549019607843168</v>
      </c>
      <c r="J31" s="92">
        <v>10.199999999999999</v>
      </c>
      <c r="K31" s="92">
        <v>17.600000000000001</v>
      </c>
      <c r="L31" s="93">
        <v>0.21568627450980404</v>
      </c>
      <c r="M31" s="93">
        <v>-0.29545454545454547</v>
      </c>
      <c r="N31" s="92"/>
      <c r="O31" s="92">
        <f t="shared" ref="O31" si="10">IF(E31&gt;0,1,IF(E31=0,0,-1))</f>
        <v>-1</v>
      </c>
      <c r="P31" s="92">
        <f t="shared" ref="P31" si="11">IF(O31=1,1,0)</f>
        <v>0</v>
      </c>
      <c r="Q31" s="92">
        <f t="shared" ref="Q31" si="12">IF(O31&lt;0,1,0)</f>
        <v>1</v>
      </c>
      <c r="T31" s="12" t="s">
        <v>3051</v>
      </c>
      <c r="U31" s="99">
        <v>-6.2599000000000002E-2</v>
      </c>
      <c r="V31" s="337">
        <v>6.8352767850321037</v>
      </c>
      <c r="W31" s="116"/>
    </row>
    <row r="32" spans="1:24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  <row r="38" spans="22:23" x14ac:dyDescent="0.2">
      <c r="V38" s="115"/>
      <c r="W38" s="116"/>
    </row>
    <row r="39" spans="22:23" x14ac:dyDescent="0.2">
      <c r="V39" s="115"/>
      <c r="W39" s="116"/>
    </row>
    <row r="40" spans="22:23" x14ac:dyDescent="0.2">
      <c r="V40" s="115"/>
      <c r="W40" s="116"/>
    </row>
    <row r="41" spans="22:23" x14ac:dyDescent="0.2">
      <c r="V41" s="115"/>
      <c r="W41" s="116"/>
    </row>
    <row r="42" spans="22:23" x14ac:dyDescent="0.2">
      <c r="V42" s="115"/>
      <c r="W42" s="116"/>
    </row>
  </sheetData>
  <mergeCells count="16">
    <mergeCell ref="A20:A31"/>
    <mergeCell ref="F14:G14"/>
    <mergeCell ref="A18:A19"/>
    <mergeCell ref="N18:N19"/>
    <mergeCell ref="H18:H19"/>
    <mergeCell ref="I18:I19"/>
    <mergeCell ref="J18:J19"/>
    <mergeCell ref="K18:K19"/>
    <mergeCell ref="L18:L19"/>
    <mergeCell ref="M18:M19"/>
    <mergeCell ref="G18:G19"/>
    <mergeCell ref="B18:B19"/>
    <mergeCell ref="C18:C19"/>
    <mergeCell ref="D18:D19"/>
    <mergeCell ref="E18:E19"/>
    <mergeCell ref="F18:F19"/>
  </mergeCells>
  <conditionalFormatting sqref="A14">
    <cfRule type="expression" dxfId="837" priority="201" stopIfTrue="1">
      <formula>A14="giảm"</formula>
    </cfRule>
    <cfRule type="expression" dxfId="836" priority="202" stopIfTrue="1">
      <formula>A14="tăng"</formula>
    </cfRule>
  </conditionalFormatting>
  <conditionalFormatting sqref="G20:G25 G31">
    <cfRule type="expression" dxfId="835" priority="189" stopIfTrue="1">
      <formula>G20&gt;2</formula>
    </cfRule>
    <cfRule type="expression" dxfId="834" priority="190" stopIfTrue="1">
      <formula>AND(G20&gt;0.5, G20&lt;1)</formula>
    </cfRule>
    <cfRule type="expression" dxfId="833" priority="191" stopIfTrue="1">
      <formula>G20&lt;=0.5</formula>
    </cfRule>
    <cfRule type="expression" dxfId="832" priority="192" stopIfTrue="1">
      <formula>AND(G20&gt;=1,G20&lt;2)</formula>
    </cfRule>
  </conditionalFormatting>
  <conditionalFormatting sqref="H20:H25 H31">
    <cfRule type="expression" dxfId="831" priority="177" stopIfTrue="1">
      <formula>H20&gt;=2</formula>
    </cfRule>
    <cfRule type="expression" dxfId="830" priority="178" stopIfTrue="1">
      <formula>AND(H20&gt;=1,H20&lt;2)</formula>
    </cfRule>
    <cfRule type="expression" dxfId="829" priority="179" stopIfTrue="1">
      <formula>AND(H20&gt;0.5, H20&lt;1)</formula>
    </cfRule>
    <cfRule type="expression" dxfId="828" priority="180" stopIfTrue="1">
      <formula>H20&lt;=0.5</formula>
    </cfRule>
  </conditionalFormatting>
  <conditionalFormatting sqref="H20:H25 H31">
    <cfRule type="expression" dxfId="827" priority="159" stopIfTrue="1">
      <formula>H20&gt;=2</formula>
    </cfRule>
    <cfRule type="expression" dxfId="826" priority="160" stopIfTrue="1">
      <formula>AND(H20&gt;=1,H20&lt;2)</formula>
    </cfRule>
    <cfRule type="expression" dxfId="825" priority="161" stopIfTrue="1">
      <formula>AND(H20&gt;0.5, H20&lt;1)</formula>
    </cfRule>
    <cfRule type="expression" dxfId="824" priority="162" stopIfTrue="1">
      <formula>H20&lt;=0.5</formula>
    </cfRule>
    <cfRule type="expression" dxfId="823" priority="163" stopIfTrue="1">
      <formula>H20&gt;=2</formula>
    </cfRule>
  </conditionalFormatting>
  <conditionalFormatting sqref="G20:G25 G31">
    <cfRule type="expression" dxfId="822" priority="164" stopIfTrue="1">
      <formula>G20&gt;2</formula>
    </cfRule>
    <cfRule type="expression" dxfId="821" priority="165" stopIfTrue="1">
      <formula>AND(G20&gt;0.5, G20&lt;1)</formula>
    </cfRule>
    <cfRule type="expression" dxfId="820" priority="166" stopIfTrue="1">
      <formula>G20&lt;=0.5</formula>
    </cfRule>
    <cfRule type="expression" dxfId="819" priority="167" stopIfTrue="1">
      <formula>AND(G20&gt;=1,G20&lt;2)</formula>
    </cfRule>
    <cfRule type="expression" dxfId="818" priority="168" stopIfTrue="1">
      <formula>G20&gt;2</formula>
    </cfRule>
  </conditionalFormatting>
  <conditionalFormatting sqref="F20:H28 F31:H31">
    <cfRule type="expression" dxfId="817" priority="139" stopIfTrue="1">
      <formula>F20&lt;0</formula>
    </cfRule>
    <cfRule type="expression" dxfId="816" priority="140" stopIfTrue="1">
      <formula>F20=1</formula>
    </cfRule>
    <cfRule type="expression" dxfId="815" priority="141" stopIfTrue="1">
      <formula>AND(F20&lt;1,F20&gt;0)</formula>
    </cfRule>
    <cfRule type="expression" dxfId="814" priority="142" stopIfTrue="1">
      <formula>AND(F20&lt;2,F20&gt;1)</formula>
    </cfRule>
    <cfRule type="expression" dxfId="813" priority="143" stopIfTrue="1">
      <formula>F20&gt;=2</formula>
    </cfRule>
  </conditionalFormatting>
  <conditionalFormatting sqref="F20:F25 F31">
    <cfRule type="colorScale" priority="9719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1">
    <cfRule type="colorScale" priority="10103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0105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0107">
      <colorScale>
        <cfvo type="min"/>
        <cfvo type="max"/>
        <color rgb="FFFF7C80"/>
        <color theme="0" tint="-4.9989318521683403E-2"/>
      </colorScale>
    </cfRule>
  </conditionalFormatting>
  <conditionalFormatting sqref="C3:C7">
    <cfRule type="expression" dxfId="812" priority="56" stopIfTrue="1">
      <formula>H3="giảm"</formula>
    </cfRule>
    <cfRule type="expression" dxfId="811" priority="57" stopIfTrue="1">
      <formula>H3="tăng"</formula>
    </cfRule>
  </conditionalFormatting>
  <conditionalFormatting sqref="H3:H7">
    <cfRule type="expression" dxfId="810" priority="54" stopIfTrue="1">
      <formula>H3="giảm"</formula>
    </cfRule>
    <cfRule type="expression" dxfId="809" priority="55" stopIfTrue="1">
      <formula>H3="tăng"</formula>
    </cfRule>
  </conditionalFormatting>
  <conditionalFormatting sqref="B3:B7">
    <cfRule type="expression" dxfId="808" priority="58" stopIfTrue="1">
      <formula>H3="giảm"</formula>
    </cfRule>
    <cfRule type="expression" dxfId="807" priority="59" stopIfTrue="1">
      <formula>H3="tăng"</formula>
    </cfRule>
  </conditionalFormatting>
  <conditionalFormatting sqref="A3:A7">
    <cfRule type="expression" dxfId="806" priority="62" stopIfTrue="1">
      <formula>H3="giảm"</formula>
    </cfRule>
    <cfRule type="expression" dxfId="805" priority="63" stopIfTrue="1">
      <formula>H3="tăng"</formula>
    </cfRule>
  </conditionalFormatting>
  <conditionalFormatting sqref="G3:G7">
    <cfRule type="expression" dxfId="804" priority="51" stopIfTrue="1">
      <formula>G3=0</formula>
    </cfRule>
    <cfRule type="expression" dxfId="803" priority="52" stopIfTrue="1">
      <formula>G3&lt;0</formula>
    </cfRule>
    <cfRule type="expression" dxfId="802" priority="53" stopIfTrue="1">
      <formula>G3&gt;0</formula>
    </cfRule>
  </conditionalFormatting>
  <conditionalFormatting sqref="E3:E7">
    <cfRule type="expression" dxfId="801" priority="49" stopIfTrue="1">
      <formula>H3="tăng"</formula>
    </cfRule>
    <cfRule type="expression" dxfId="800" priority="50" stopIfTrue="1">
      <formula>H3="giảm"</formula>
    </cfRule>
  </conditionalFormatting>
  <conditionalFormatting sqref="F3:F7">
    <cfRule type="expression" dxfId="799" priority="47" stopIfTrue="1">
      <formula>H3="tăng"</formula>
    </cfRule>
    <cfRule type="expression" dxfId="798" priority="48" stopIfTrue="1">
      <formula>H3="giảm"</formula>
    </cfRule>
  </conditionalFormatting>
  <conditionalFormatting sqref="D3:D7">
    <cfRule type="expression" dxfId="797" priority="45" stopIfTrue="1">
      <formula>H3="giảm"</formula>
    </cfRule>
    <cfRule type="expression" dxfId="796" priority="46" stopIfTrue="1">
      <formula>H3="tăng"</formula>
    </cfRule>
  </conditionalFormatting>
  <conditionalFormatting sqref="G29:G30">
    <cfRule type="expression" dxfId="795" priority="40" stopIfTrue="1">
      <formula>G29&gt;2</formula>
    </cfRule>
    <cfRule type="expression" dxfId="794" priority="41" stopIfTrue="1">
      <formula>AND(G29&gt;0.5, G29&lt;1)</formula>
    </cfRule>
    <cfRule type="expression" dxfId="793" priority="42" stopIfTrue="1">
      <formula>G29&lt;=0.5</formula>
    </cfRule>
    <cfRule type="expression" dxfId="792" priority="43" stopIfTrue="1">
      <formula>AND(G29&gt;=1,G29&lt;2)</formula>
    </cfRule>
  </conditionalFormatting>
  <conditionalFormatting sqref="H29:H30">
    <cfRule type="expression" dxfId="791" priority="36" stopIfTrue="1">
      <formula>H29&gt;=2</formula>
    </cfRule>
    <cfRule type="expression" dxfId="790" priority="37" stopIfTrue="1">
      <formula>AND(H29&gt;=1,H29&lt;2)</formula>
    </cfRule>
    <cfRule type="expression" dxfId="789" priority="38" stopIfTrue="1">
      <formula>AND(H29&gt;0.5, H29&lt;1)</formula>
    </cfRule>
    <cfRule type="expression" dxfId="788" priority="39" stopIfTrue="1">
      <formula>H29&lt;=0.5</formula>
    </cfRule>
  </conditionalFormatting>
  <conditionalFormatting sqref="H29:H30">
    <cfRule type="expression" dxfId="787" priority="26" stopIfTrue="1">
      <formula>H29&gt;=2</formula>
    </cfRule>
    <cfRule type="expression" dxfId="786" priority="27" stopIfTrue="1">
      <formula>AND(H29&gt;=1,H29&lt;2)</formula>
    </cfRule>
    <cfRule type="expression" dxfId="785" priority="28" stopIfTrue="1">
      <formula>AND(H29&gt;0.5, H29&lt;1)</formula>
    </cfRule>
    <cfRule type="expression" dxfId="784" priority="29" stopIfTrue="1">
      <formula>H29&lt;=0.5</formula>
    </cfRule>
    <cfRule type="expression" dxfId="783" priority="30" stopIfTrue="1">
      <formula>H29&gt;=2</formula>
    </cfRule>
  </conditionalFormatting>
  <conditionalFormatting sqref="G29:G30">
    <cfRule type="expression" dxfId="782" priority="31" stopIfTrue="1">
      <formula>G29&gt;2</formula>
    </cfRule>
    <cfRule type="expression" dxfId="781" priority="32" stopIfTrue="1">
      <formula>AND(G29&gt;0.5, G29&lt;1)</formula>
    </cfRule>
    <cfRule type="expression" dxfId="780" priority="33" stopIfTrue="1">
      <formula>G29&lt;=0.5</formula>
    </cfRule>
    <cfRule type="expression" dxfId="779" priority="34" stopIfTrue="1">
      <formula>AND(G29&gt;=1,G29&lt;2)</formula>
    </cfRule>
    <cfRule type="expression" dxfId="778" priority="35" stopIfTrue="1">
      <formula>G29&gt;2</formula>
    </cfRule>
  </conditionalFormatting>
  <conditionalFormatting sqref="F29:H30">
    <cfRule type="expression" dxfId="777" priority="21" stopIfTrue="1">
      <formula>F29&lt;0</formula>
    </cfRule>
    <cfRule type="expression" dxfId="776" priority="22" stopIfTrue="1">
      <formula>F29=1</formula>
    </cfRule>
    <cfRule type="expression" dxfId="775" priority="23" stopIfTrue="1">
      <formula>AND(F29&lt;1,F29&gt;0)</formula>
    </cfRule>
    <cfRule type="expression" dxfId="774" priority="24" stopIfTrue="1">
      <formula>AND(F29&lt;2,F29&gt;1)</formula>
    </cfRule>
    <cfRule type="expression" dxfId="773" priority="25" stopIfTrue="1">
      <formula>F29&gt;=2</formula>
    </cfRule>
  </conditionalFormatting>
  <conditionalFormatting sqref="F29:F30">
    <cfRule type="colorScale" priority="4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20:C31">
    <cfRule type="expression" dxfId="772" priority="6" stopIfTrue="1">
      <formula>E20&gt;=6.8%</formula>
    </cfRule>
    <cfRule type="expression" dxfId="771" priority="7" stopIfTrue="1">
      <formula>AND(E20&gt;0%,E20&lt;6.8%)</formula>
    </cfRule>
    <cfRule type="expression" dxfId="770" priority="8" stopIfTrue="1">
      <formula>E20=0%</formula>
    </cfRule>
    <cfRule type="expression" dxfId="769" priority="9" stopIfTrue="1">
      <formula>AND(E20&gt;-6.8%, E20&lt;0%)</formula>
    </cfRule>
    <cfRule type="expression" dxfId="768" priority="10" stopIfTrue="1">
      <formula>E20&lt;=-6.8%</formula>
    </cfRule>
  </conditionalFormatting>
  <conditionalFormatting sqref="B20:B31">
    <cfRule type="expression" dxfId="767" priority="16" stopIfTrue="1">
      <formula>E20&gt;=6.8%</formula>
    </cfRule>
    <cfRule type="expression" dxfId="766" priority="17" stopIfTrue="1">
      <formula>AND(E20&gt;0%,E20&lt;6.8%)</formula>
    </cfRule>
    <cfRule type="expression" dxfId="765" priority="18" stopIfTrue="1">
      <formula>E20=0%</formula>
    </cfRule>
    <cfRule type="expression" dxfId="764" priority="19" stopIfTrue="1">
      <formula>AND(E20&gt;-6.8%, E20&lt;0%)</formula>
    </cfRule>
    <cfRule type="expression" dxfId="763" priority="20" stopIfTrue="1">
      <formula>E20&lt;=-6.8%</formula>
    </cfRule>
  </conditionalFormatting>
  <conditionalFormatting sqref="D20:D31">
    <cfRule type="expression" dxfId="762" priority="1" stopIfTrue="1">
      <formula>D20&gt;20000</formula>
    </cfRule>
    <cfRule type="expression" dxfId="761" priority="2" stopIfTrue="1">
      <formula>AND(D20&gt;10000,D20&lt;=20000)</formula>
    </cfRule>
    <cfRule type="expression" dxfId="760" priority="3" stopIfTrue="1">
      <formula>AND(D20&gt;1000,D20&lt;=10000)</formula>
    </cfRule>
    <cfRule type="expression" dxfId="759" priority="4" stopIfTrue="1">
      <formula>AND(D20&gt;200,D20&lt;=1000)</formula>
    </cfRule>
    <cfRule type="expression" dxfId="758" priority="5" stopIfTrue="1">
      <formula>D20&lt;=200</formula>
    </cfRule>
  </conditionalFormatting>
  <conditionalFormatting sqref="E20:E31">
    <cfRule type="expression" dxfId="757" priority="11" stopIfTrue="1">
      <formula>E20&gt;=6.8%</formula>
    </cfRule>
    <cfRule type="expression" dxfId="756" priority="12" stopIfTrue="1">
      <formula>AND(E20&gt;0%,E20&lt;6.8%)</formula>
    </cfRule>
    <cfRule type="expression" dxfId="755" priority="13" stopIfTrue="1">
      <formula>E20=0%</formula>
    </cfRule>
    <cfRule type="expression" dxfId="754" priority="14" stopIfTrue="1">
      <formula>AND(E20&gt;-6.8%, E20&lt;0%)</formula>
    </cfRule>
    <cfRule type="expression" dxfId="753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723E55-2AC6-43AC-8E6D-388EBE600321}">
          <x14:formula1>
            <xm:f>'Nơi chứ dữ liệu'!$I$2:$K$2</xm:f>
          </x14:formula1>
          <xm:sqref>N20:N31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70A65-23F8-4E0A-8DA4-211CD621F292}">
  <sheetPr codeName="Sheet16">
    <tabColor theme="5"/>
  </sheetPr>
  <dimension ref="A1:W47"/>
  <sheetViews>
    <sheetView topLeftCell="A13" zoomScaleNormal="100" workbookViewId="0">
      <selection activeCell="B20" sqref="B20:E47"/>
    </sheetView>
  </sheetViews>
  <sheetFormatPr defaultRowHeight="15" x14ac:dyDescent="0.2"/>
  <cols>
    <col min="1" max="1" width="8" customWidth="1"/>
    <col min="2" max="2" width="9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11.886718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"&amp;SUM($O$20:O29)&amp;" "&amp;"trên tổng"&amp;" "&amp;$O$19</f>
        <v>Tổng điểm nhóm hôm nay -6 trên tổng 10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1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7</v>
      </c>
      <c r="B16" s="189"/>
      <c r="C16" s="189"/>
      <c r="D16" s="189"/>
      <c r="E16" s="189"/>
      <c r="F16" s="193">
        <f>AVERAGE(E20:E47)</f>
        <v>-5.4451785714285713E-3</v>
      </c>
      <c r="G16" s="191">
        <f>AVERAGE(F20:F47)</f>
        <v>0.46177276794786215</v>
      </c>
    </row>
    <row r="17" spans="1:23" ht="15.75" x14ac:dyDescent="0.2">
      <c r="A17" s="188" t="str">
        <f>"Tổng điểm tham chiếu nhóm hôm nay"&amp;" "&amp;(O19-(P19+Q19))</f>
        <v>Tổng điểm tham chiếu nhóm hôm nay 2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308" t="s">
        <v>127</v>
      </c>
      <c r="B18" s="306" t="s">
        <v>16</v>
      </c>
      <c r="C18" s="306" t="s">
        <v>3031</v>
      </c>
      <c r="D18" s="306" t="s">
        <v>3032</v>
      </c>
      <c r="E18" s="306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8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W18"/>
    </row>
    <row r="19" spans="1:23" s="100" customFormat="1" ht="15.75" x14ac:dyDescent="0.25">
      <c r="A19" s="301"/>
      <c r="B19" s="300"/>
      <c r="C19" s="300"/>
      <c r="D19" s="300"/>
      <c r="E19" s="300"/>
      <c r="F19" s="300"/>
      <c r="G19" s="300"/>
      <c r="H19" s="300"/>
      <c r="I19" s="300"/>
      <c r="J19" s="300"/>
      <c r="K19" s="300"/>
      <c r="L19" s="300"/>
      <c r="M19" s="300"/>
      <c r="N19" s="301"/>
      <c r="O19" s="158">
        <f>COUNT(O20:O29)</f>
        <v>10</v>
      </c>
      <c r="P19" s="158">
        <f>SUM(P20:P29)</f>
        <v>1</v>
      </c>
      <c r="Q19" s="158">
        <f>SUM(Q20:Q29)</f>
        <v>7</v>
      </c>
      <c r="T19" s="12" t="s">
        <v>3091</v>
      </c>
      <c r="U19" s="99">
        <v>-5.6910999999999996E-2</v>
      </c>
      <c r="V19" s="337">
        <v>0.24541742392275823</v>
      </c>
      <c r="W19" s="116"/>
    </row>
    <row r="20" spans="1:23" ht="15.75" customHeight="1" x14ac:dyDescent="0.2">
      <c r="A20" s="305" t="s">
        <v>3164</v>
      </c>
      <c r="B20" s="3" t="s">
        <v>513</v>
      </c>
      <c r="C20" s="101">
        <f t="array" ref="C20:M20">tinh_du_lieu_cp(B20)</f>
        <v>12.2</v>
      </c>
      <c r="D20" s="103">
        <v>4.9000000000000004</v>
      </c>
      <c r="E20" s="102">
        <v>-8.1300000000000001E-3</v>
      </c>
      <c r="F20" s="98">
        <v>0.29919511518179293</v>
      </c>
      <c r="G20" s="98">
        <v>1.0101408450704226</v>
      </c>
      <c r="H20" s="98">
        <v>0.27348837209302324</v>
      </c>
      <c r="I20" s="93">
        <v>7.8947368421052655E-2</v>
      </c>
      <c r="J20" s="101">
        <v>11.4</v>
      </c>
      <c r="K20" s="101">
        <v>12.3</v>
      </c>
      <c r="L20" s="93">
        <v>7.0175438596491127E-2</v>
      </c>
      <c r="M20" s="93">
        <v>-8.1300813008131235E-3</v>
      </c>
      <c r="N20" s="92"/>
      <c r="O20" s="92">
        <f t="shared" ref="O20:O24" si="0">IF(E20&gt;0,1,IF(E20=0,0,-1))</f>
        <v>-1</v>
      </c>
      <c r="P20" s="92">
        <f t="shared" ref="P20:P28" si="1">IF(O20=1,1,0)</f>
        <v>0</v>
      </c>
      <c r="Q20" s="92">
        <f t="shared" ref="Q20:Q28" si="2">IF(O20&lt;0,1,0)</f>
        <v>1</v>
      </c>
      <c r="T20" s="12" t="s">
        <v>1137</v>
      </c>
      <c r="U20" s="99">
        <v>-2.3656E-2</v>
      </c>
      <c r="V20" s="337">
        <v>1.0649010379337009</v>
      </c>
      <c r="W20" s="116"/>
    </row>
    <row r="21" spans="1:23" ht="15.75" customHeight="1" x14ac:dyDescent="0.2">
      <c r="A21" s="305"/>
      <c r="B21" s="3" t="s">
        <v>637</v>
      </c>
      <c r="C21" s="101">
        <f t="array" ref="C21:M21">tinh_du_lieu_cp(B21)</f>
        <v>35</v>
      </c>
      <c r="D21" s="103">
        <v>1.3</v>
      </c>
      <c r="E21" s="102">
        <v>1.431E-3</v>
      </c>
      <c r="F21" s="98">
        <v>5.7291666666666664E-2</v>
      </c>
      <c r="G21" s="98">
        <v>1.0105726293669559</v>
      </c>
      <c r="H21" s="98">
        <v>6.0046189376443418E-2</v>
      </c>
      <c r="I21" s="93">
        <v>8.4848484848484756E-2</v>
      </c>
      <c r="J21" s="101">
        <v>33</v>
      </c>
      <c r="K21" s="101">
        <v>35.799999999999997</v>
      </c>
      <c r="L21" s="93">
        <v>6.0606060606060608E-2</v>
      </c>
      <c r="M21" s="93">
        <v>-2.234636871508372E-2</v>
      </c>
      <c r="N21" s="92"/>
      <c r="O21" s="92">
        <f t="shared" si="0"/>
        <v>1</v>
      </c>
      <c r="P21" s="92">
        <f t="shared" si="1"/>
        <v>1</v>
      </c>
      <c r="Q21" s="92">
        <f t="shared" si="2"/>
        <v>0</v>
      </c>
      <c r="T21" s="12" t="s">
        <v>1877</v>
      </c>
      <c r="U21" s="99">
        <v>-1.8867999999999999E-2</v>
      </c>
      <c r="V21" s="337">
        <v>0.27704670477834104</v>
      </c>
      <c r="W21" s="116"/>
    </row>
    <row r="22" spans="1:23" ht="15.75" customHeight="1" x14ac:dyDescent="0.2">
      <c r="A22" s="305"/>
      <c r="B22" s="3" t="s">
        <v>933</v>
      </c>
      <c r="C22" s="101">
        <f t="array" ref="C22:M22">tinh_du_lieu_cp(B22)</f>
        <v>58.3</v>
      </c>
      <c r="D22" s="103">
        <v>1.3</v>
      </c>
      <c r="E22" s="102">
        <v>0</v>
      </c>
      <c r="F22" s="98">
        <v>0.28260869565217389</v>
      </c>
      <c r="G22" s="98">
        <v>1.0078797874289904</v>
      </c>
      <c r="H22" s="98">
        <v>0.27857142857142858</v>
      </c>
      <c r="I22" s="93">
        <v>2.4561403508771906E-2</v>
      </c>
      <c r="J22" s="101">
        <v>57</v>
      </c>
      <c r="K22" s="101">
        <v>58.4</v>
      </c>
      <c r="L22" s="93">
        <v>2.2807017543859599E-2</v>
      </c>
      <c r="M22" s="93">
        <v>-1.7123287671233121E-3</v>
      </c>
      <c r="N22" s="92"/>
      <c r="O22" s="92">
        <f t="shared" si="0"/>
        <v>0</v>
      </c>
      <c r="P22" s="92">
        <f t="shared" si="1"/>
        <v>0</v>
      </c>
      <c r="Q22" s="92">
        <f t="shared" si="2"/>
        <v>0</v>
      </c>
      <c r="T22" s="12" t="s">
        <v>1133</v>
      </c>
      <c r="U22" s="99">
        <v>-1.1583000000000001E-2</v>
      </c>
      <c r="V22" s="337">
        <v>0.75968248686000639</v>
      </c>
      <c r="W22" s="116"/>
    </row>
    <row r="23" spans="1:23" ht="15.75" customHeight="1" x14ac:dyDescent="0.2">
      <c r="A23" s="305"/>
      <c r="B23" s="3" t="s">
        <v>3091</v>
      </c>
      <c r="C23" s="101" cm="1">
        <f t="array" ref="C23:M23">tinh_du_lieu_cp(B23)</f>
        <v>58</v>
      </c>
      <c r="D23" s="103">
        <v>671.5</v>
      </c>
      <c r="E23" s="102">
        <v>-5.6910999999999996E-2</v>
      </c>
      <c r="F23" s="98">
        <v>0.24541742392275823</v>
      </c>
      <c r="G23" s="98">
        <v>1.1750980736577081</v>
      </c>
      <c r="H23" s="98">
        <v>0.37942497669206215</v>
      </c>
      <c r="I23" s="93">
        <v>1.1126279863481225</v>
      </c>
      <c r="J23" s="101">
        <v>29.3</v>
      </c>
      <c r="K23" s="101">
        <v>61.9</v>
      </c>
      <c r="L23" s="93">
        <v>0.97952218430034121</v>
      </c>
      <c r="M23" s="93">
        <v>-6.3004846526655875E-2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2012</v>
      </c>
      <c r="U23" s="99">
        <v>-8.5840000000000014E-3</v>
      </c>
      <c r="V23" s="337">
        <v>0.44267990074441688</v>
      </c>
      <c r="W23" s="116"/>
    </row>
    <row r="24" spans="1:23" ht="15.75" customHeight="1" x14ac:dyDescent="0.2">
      <c r="A24" s="305"/>
      <c r="B24" s="3" t="s">
        <v>1133</v>
      </c>
      <c r="C24" s="101" cm="1">
        <f t="array" ref="C24:M24">tinh_du_lieu_cp(B24)</f>
        <v>12.8</v>
      </c>
      <c r="D24" s="103">
        <v>705.6</v>
      </c>
      <c r="E24" s="102">
        <v>-1.1583000000000001E-2</v>
      </c>
      <c r="F24" s="98">
        <v>0.75968248686000639</v>
      </c>
      <c r="G24" s="98">
        <v>1.0273467689198028</v>
      </c>
      <c r="H24" s="98">
        <v>1.1091142490372272</v>
      </c>
      <c r="I24" s="93">
        <v>0.21461187214611888</v>
      </c>
      <c r="J24" s="101">
        <v>10.95</v>
      </c>
      <c r="K24" s="101">
        <v>13.3</v>
      </c>
      <c r="L24" s="93">
        <v>0.16894977168949785</v>
      </c>
      <c r="M24" s="93">
        <v>-3.7593984962406013E-2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2010</v>
      </c>
      <c r="U24" s="99">
        <v>-8.1300000000000001E-3</v>
      </c>
      <c r="V24" s="337">
        <v>0.34847962479035194</v>
      </c>
      <c r="W24" s="116"/>
    </row>
    <row r="25" spans="1:23" ht="15.75" customHeight="1" x14ac:dyDescent="0.2">
      <c r="A25" s="305"/>
      <c r="B25" s="3" t="s">
        <v>1137</v>
      </c>
      <c r="C25" s="101" cm="1">
        <f t="array" ref="C25:M25">tinh_du_lieu_cp(B25)</f>
        <v>22.7</v>
      </c>
      <c r="D25" s="103">
        <v>10785.4</v>
      </c>
      <c r="E25" s="102">
        <v>-2.3656E-2</v>
      </c>
      <c r="F25" s="98">
        <v>1.0649010379337009</v>
      </c>
      <c r="G25" s="98">
        <v>1.031755808780755</v>
      </c>
      <c r="H25" s="98">
        <v>0.99392546833794371</v>
      </c>
      <c r="I25" s="93">
        <v>0.29166666666666669</v>
      </c>
      <c r="J25" s="101">
        <v>18</v>
      </c>
      <c r="K25" s="101">
        <v>23.25</v>
      </c>
      <c r="L25" s="93">
        <v>0.26111111111111107</v>
      </c>
      <c r="M25" s="93">
        <v>-2.3655913978494654E-2</v>
      </c>
      <c r="N25" s="92"/>
      <c r="O25" s="94">
        <f>IF(E25&gt;0,1,IF(E25=0,0,-1))</f>
        <v>-1</v>
      </c>
      <c r="P25" s="92">
        <f t="shared" si="1"/>
        <v>0</v>
      </c>
      <c r="Q25" s="92">
        <f t="shared" si="2"/>
        <v>1</v>
      </c>
      <c r="T25" s="12" t="s">
        <v>513</v>
      </c>
      <c r="U25" s="99">
        <v>-8.1300000000000001E-3</v>
      </c>
      <c r="V25" s="337">
        <v>0.29919511518179293</v>
      </c>
      <c r="W25" s="116"/>
    </row>
    <row r="26" spans="1:23" ht="15.75" customHeight="1" x14ac:dyDescent="0.2">
      <c r="A26" s="305"/>
      <c r="B26" s="3" t="s">
        <v>1310</v>
      </c>
      <c r="C26" s="101" cm="1">
        <f t="array" ref="C26:M26">tinh_du_lieu_cp(B26)</f>
        <v>25</v>
      </c>
      <c r="D26" s="103">
        <v>0</v>
      </c>
      <c r="E26" s="102">
        <v>0</v>
      </c>
      <c r="F26" s="98">
        <v>0</v>
      </c>
      <c r="G26" s="98">
        <v>0.99673794853207665</v>
      </c>
      <c r="H26" s="98">
        <v>0</v>
      </c>
      <c r="I26" s="93">
        <v>7.5313807531380783E-2</v>
      </c>
      <c r="J26" s="101">
        <v>23.9</v>
      </c>
      <c r="K26" s="101">
        <v>25.7</v>
      </c>
      <c r="L26" s="93">
        <v>4.6025104602510525E-2</v>
      </c>
      <c r="M26" s="93">
        <v>-2.7237354085603085E-2</v>
      </c>
      <c r="N26" s="92"/>
      <c r="O26" s="92">
        <f>IF(E26&gt;0,1,IF(E26=0,0,-1))</f>
        <v>0</v>
      </c>
      <c r="P26" s="92">
        <f t="shared" si="1"/>
        <v>0</v>
      </c>
      <c r="Q26" s="92">
        <f t="shared" si="2"/>
        <v>0</v>
      </c>
      <c r="T26" s="12" t="s">
        <v>1831</v>
      </c>
      <c r="U26" s="99">
        <v>-7.2290000000000002E-3</v>
      </c>
      <c r="V26" s="337">
        <v>0.4779950881092806</v>
      </c>
      <c r="W26" s="116"/>
    </row>
    <row r="27" spans="1:23" ht="15.75" customHeight="1" x14ac:dyDescent="0.2">
      <c r="A27" s="305"/>
      <c r="B27" s="3" t="s">
        <v>1495</v>
      </c>
      <c r="C27" s="101" cm="1">
        <f t="array" ref="C27:M27">tinh_du_lieu_cp(B27)</f>
        <v>11.1</v>
      </c>
      <c r="D27" s="103">
        <v>21.8</v>
      </c>
      <c r="E27" s="102">
        <v>-4.4840000000000001E-3</v>
      </c>
      <c r="F27" s="98">
        <v>6.6766900545717794E-2</v>
      </c>
      <c r="G27" s="98">
        <v>0.98316633266533082</v>
      </c>
      <c r="H27" s="98">
        <v>0.17145104207628786</v>
      </c>
      <c r="I27" s="93">
        <v>0.39366515837104066</v>
      </c>
      <c r="J27" s="101">
        <v>11.05</v>
      </c>
      <c r="K27" s="101">
        <v>15.4</v>
      </c>
      <c r="L27" s="93">
        <v>4.5248868778279576E-3</v>
      </c>
      <c r="M27" s="93">
        <v>-0.27922077922077926</v>
      </c>
      <c r="N27" s="92"/>
      <c r="O27" s="92">
        <f t="shared" ref="O27:O28" si="3">IF(E27&gt;0,1,IF(E27=0,0,-1))</f>
        <v>-1</v>
      </c>
      <c r="P27" s="92">
        <f t="shared" si="1"/>
        <v>0</v>
      </c>
      <c r="Q27" s="92">
        <f t="shared" si="2"/>
        <v>1</v>
      </c>
      <c r="T27" s="12" t="s">
        <v>2675</v>
      </c>
      <c r="U27" s="99">
        <v>-7.1069999999999996E-3</v>
      </c>
      <c r="V27" s="337">
        <v>1.077485380116959</v>
      </c>
      <c r="W27" s="116"/>
    </row>
    <row r="28" spans="1:23" ht="15.75" customHeight="1" x14ac:dyDescent="0.2">
      <c r="A28" s="305"/>
      <c r="B28" s="3" t="s">
        <v>1831</v>
      </c>
      <c r="C28" s="101" cm="1">
        <f t="array" ref="C28:M28">tinh_du_lieu_cp(B28)</f>
        <v>20.6</v>
      </c>
      <c r="D28" s="103">
        <v>242.4</v>
      </c>
      <c r="E28" s="102">
        <v>-7.2290000000000002E-3</v>
      </c>
      <c r="F28" s="98">
        <v>0.4779950881092806</v>
      </c>
      <c r="G28" s="98">
        <v>1.0150406504065039</v>
      </c>
      <c r="H28" s="98">
        <v>0.51642225615168835</v>
      </c>
      <c r="I28" s="93">
        <v>9.5115681233933241E-2</v>
      </c>
      <c r="J28" s="101">
        <v>19.45</v>
      </c>
      <c r="K28" s="101">
        <v>21.3</v>
      </c>
      <c r="L28" s="93">
        <v>5.9125964010282889E-2</v>
      </c>
      <c r="M28" s="93">
        <v>-3.2863849765258184E-2</v>
      </c>
      <c r="N28" s="92"/>
      <c r="O28" s="92">
        <f t="shared" si="3"/>
        <v>-1</v>
      </c>
      <c r="P28" s="92">
        <f t="shared" si="1"/>
        <v>0</v>
      </c>
      <c r="Q28" s="92">
        <f t="shared" si="2"/>
        <v>1</v>
      </c>
      <c r="T28" s="12" t="s">
        <v>2306</v>
      </c>
      <c r="U28" s="99">
        <v>-6.7340000000000004E-3</v>
      </c>
      <c r="V28" s="337">
        <v>0.22542047254710304</v>
      </c>
      <c r="W28" s="116"/>
    </row>
    <row r="29" spans="1:23" x14ac:dyDescent="0.2">
      <c r="A29" s="305"/>
      <c r="B29" s="3" t="s">
        <v>1877</v>
      </c>
      <c r="C29" s="101" cm="1">
        <f t="array" ref="C29:M29">tinh_du_lieu_cp(B29)</f>
        <v>39</v>
      </c>
      <c r="D29" s="103">
        <v>140.1</v>
      </c>
      <c r="E29" s="102">
        <v>-1.8867999999999999E-2</v>
      </c>
      <c r="F29" s="98">
        <v>0.27704670477834104</v>
      </c>
      <c r="G29" s="98">
        <v>1.023083035359555</v>
      </c>
      <c r="H29" s="98">
        <v>0.31720754716981131</v>
      </c>
      <c r="I29" s="93">
        <v>0.29178470254957523</v>
      </c>
      <c r="J29" s="101">
        <v>35.299999999999997</v>
      </c>
      <c r="K29" s="101">
        <v>45.6</v>
      </c>
      <c r="L29" s="93">
        <v>0.10481586402266298</v>
      </c>
      <c r="M29" s="93">
        <v>-0.14473684210526319</v>
      </c>
      <c r="N29" s="92"/>
      <c r="O29" s="92">
        <f t="shared" ref="O29" si="4">IF(E29&gt;0,1,IF(E29=0,0,-1))</f>
        <v>-1</v>
      </c>
      <c r="P29" s="92">
        <f t="shared" ref="P29" si="5">IF(O29=1,1,0)</f>
        <v>0</v>
      </c>
      <c r="Q29" s="92">
        <f t="shared" ref="Q29" si="6">IF(O29&lt;0,1,0)</f>
        <v>1</v>
      </c>
      <c r="T29" s="12" t="s">
        <v>2668</v>
      </c>
      <c r="U29" s="99">
        <v>-5.7799999999999995E-3</v>
      </c>
      <c r="V29" s="337">
        <v>0.12449071978270712</v>
      </c>
      <c r="W29" s="116"/>
    </row>
    <row r="30" spans="1:23" x14ac:dyDescent="0.2">
      <c r="A30" s="305"/>
      <c r="B30" s="3" t="s">
        <v>1939</v>
      </c>
      <c r="C30" s="101" cm="1">
        <f t="array" ref="C30:M30">tinh_du_lieu_cp(B30)</f>
        <v>20</v>
      </c>
      <c r="D30" s="103">
        <v>1.8</v>
      </c>
      <c r="E30" s="102">
        <v>0</v>
      </c>
      <c r="F30" s="98">
        <v>0.1014344262295082</v>
      </c>
      <c r="G30" s="98">
        <v>1.0097590728880756</v>
      </c>
      <c r="H30" s="98">
        <v>0.11157024793388429</v>
      </c>
      <c r="I30" s="93">
        <v>9.9999999999999922E-2</v>
      </c>
      <c r="J30" s="101">
        <v>19</v>
      </c>
      <c r="K30" s="101">
        <v>20.9</v>
      </c>
      <c r="L30" s="93">
        <v>5.2631578947368418E-2</v>
      </c>
      <c r="M30" s="93">
        <v>-4.3062200956937732E-2</v>
      </c>
      <c r="N30" s="92"/>
      <c r="O30" s="92">
        <f t="shared" ref="O30:O47" si="7">IF(E30&gt;0,1,IF(E30=0,0,-1))</f>
        <v>0</v>
      </c>
      <c r="P30" s="92">
        <f t="shared" ref="P30:P47" si="8">IF(O30=1,1,0)</f>
        <v>0</v>
      </c>
      <c r="Q30" s="92">
        <f t="shared" ref="Q30:Q47" si="9">IF(O30&lt;0,1,0)</f>
        <v>0</v>
      </c>
      <c r="T30" s="12" t="s">
        <v>2290</v>
      </c>
      <c r="U30" s="99">
        <v>-5.3759999999999997E-3</v>
      </c>
      <c r="V30" s="337">
        <v>1.6505324298160697</v>
      </c>
      <c r="W30" s="116"/>
    </row>
    <row r="31" spans="1:23" x14ac:dyDescent="0.2">
      <c r="A31" s="305"/>
      <c r="B31" s="3" t="s">
        <v>2010</v>
      </c>
      <c r="C31" s="101" cm="1">
        <f t="array" ref="C31:M31">tinh_du_lieu_cp(B31)</f>
        <v>12.2</v>
      </c>
      <c r="D31" s="103">
        <v>1902.1</v>
      </c>
      <c r="E31" s="102">
        <v>-8.1300000000000001E-3</v>
      </c>
      <c r="F31" s="98">
        <v>0.34847962479035194</v>
      </c>
      <c r="G31" s="98">
        <v>1.0089717046238784</v>
      </c>
      <c r="H31" s="98">
        <v>0.33869905090902613</v>
      </c>
      <c r="I31" s="93">
        <v>0.11946902654867253</v>
      </c>
      <c r="J31" s="101">
        <v>11.3</v>
      </c>
      <c r="K31" s="101">
        <v>12.65</v>
      </c>
      <c r="L31" s="93">
        <v>7.9646017699114918E-2</v>
      </c>
      <c r="M31" s="93">
        <v>-3.5573122529644355E-2</v>
      </c>
      <c r="N31" s="92"/>
      <c r="O31" s="92">
        <f t="shared" si="7"/>
        <v>-1</v>
      </c>
      <c r="P31" s="92">
        <f t="shared" si="8"/>
        <v>0</v>
      </c>
      <c r="Q31" s="92">
        <f t="shared" si="9"/>
        <v>1</v>
      </c>
      <c r="T31" s="12" t="s">
        <v>1495</v>
      </c>
      <c r="U31" s="99">
        <v>-4.4840000000000001E-3</v>
      </c>
      <c r="V31" s="337">
        <v>6.6766900545717794E-2</v>
      </c>
      <c r="W31" s="116"/>
    </row>
    <row r="32" spans="1:23" x14ac:dyDescent="0.2">
      <c r="A32" s="305"/>
      <c r="B32" s="3" t="s">
        <v>2012</v>
      </c>
      <c r="C32" s="101" cm="1">
        <f t="array" ref="C32:M32">tinh_du_lieu_cp(B32)</f>
        <v>11.55</v>
      </c>
      <c r="D32" s="103">
        <v>178.4</v>
      </c>
      <c r="E32" s="102">
        <v>-8.5840000000000014E-3</v>
      </c>
      <c r="F32" s="98">
        <v>0.44267990074441688</v>
      </c>
      <c r="G32" s="98">
        <v>1.0001947040498445</v>
      </c>
      <c r="H32" s="98">
        <v>0.65316084940200148</v>
      </c>
      <c r="I32" s="93">
        <v>9.1743119266055037E-2</v>
      </c>
      <c r="J32" s="101">
        <v>10.9</v>
      </c>
      <c r="K32" s="101">
        <v>11.9</v>
      </c>
      <c r="L32" s="93">
        <v>5.9633027522935811E-2</v>
      </c>
      <c r="M32" s="93">
        <v>-2.9411764705882321E-2</v>
      </c>
      <c r="N32" s="92"/>
      <c r="O32" s="92">
        <f t="shared" si="7"/>
        <v>-1</v>
      </c>
      <c r="P32" s="92">
        <f t="shared" si="8"/>
        <v>0</v>
      </c>
      <c r="Q32" s="92">
        <f t="shared" si="9"/>
        <v>1</v>
      </c>
      <c r="T32" s="12" t="s">
        <v>2880</v>
      </c>
      <c r="U32" s="99">
        <v>-3.7880000000000001E-3</v>
      </c>
      <c r="V32" s="337">
        <v>1.8781241224375176</v>
      </c>
      <c r="W32" s="116"/>
    </row>
    <row r="33" spans="1:23" x14ac:dyDescent="0.2">
      <c r="A33" s="305"/>
      <c r="B33" s="3" t="s">
        <v>2157</v>
      </c>
      <c r="C33" s="101" cm="1">
        <f t="array" ref="C33:M33">tinh_du_lieu_cp(B33)</f>
        <v>72.5</v>
      </c>
      <c r="D33" s="103">
        <v>427.5</v>
      </c>
      <c r="E33" s="102">
        <v>-1.377E-3</v>
      </c>
      <c r="F33" s="98">
        <v>0.51085811126440783</v>
      </c>
      <c r="G33" s="98">
        <v>1.0508305070006088</v>
      </c>
      <c r="H33" s="98">
        <v>0.51728310410196421</v>
      </c>
      <c r="I33" s="93">
        <v>0.171875</v>
      </c>
      <c r="J33" s="101">
        <v>64</v>
      </c>
      <c r="K33" s="101">
        <v>75</v>
      </c>
      <c r="L33" s="93">
        <v>0.1328125</v>
      </c>
      <c r="M33" s="93">
        <v>-3.3333333333333333E-2</v>
      </c>
      <c r="N33" s="92"/>
      <c r="O33" s="92">
        <f t="shared" si="7"/>
        <v>-1</v>
      </c>
      <c r="P33" s="92">
        <f t="shared" si="8"/>
        <v>0</v>
      </c>
      <c r="Q33" s="92">
        <f t="shared" si="9"/>
        <v>1</v>
      </c>
      <c r="T33" s="12" t="s">
        <v>2188</v>
      </c>
      <c r="U33" s="99">
        <v>-1.6689999999999999E-3</v>
      </c>
      <c r="V33" s="337">
        <v>0.98828125000000011</v>
      </c>
      <c r="W33" s="116"/>
    </row>
    <row r="34" spans="1:23" x14ac:dyDescent="0.2">
      <c r="A34" s="305"/>
      <c r="B34" s="3" t="s">
        <v>2165</v>
      </c>
      <c r="C34" s="101" cm="1">
        <f t="array" ref="C34:M34">tinh_du_lieu_cp(B34)</f>
        <v>37.200000000000003</v>
      </c>
      <c r="D34" s="103">
        <v>0</v>
      </c>
      <c r="E34" s="102">
        <v>0</v>
      </c>
      <c r="F34" s="98">
        <v>0</v>
      </c>
      <c r="G34" s="98">
        <v>1.0141843971631204</v>
      </c>
      <c r="H34" s="98">
        <v>0</v>
      </c>
      <c r="I34" s="93">
        <v>6.8181818181818135E-2</v>
      </c>
      <c r="J34" s="101">
        <v>35.200000000000003</v>
      </c>
      <c r="K34" s="101">
        <v>37.6</v>
      </c>
      <c r="L34" s="93">
        <v>5.6818181818181816E-2</v>
      </c>
      <c r="M34" s="93">
        <v>-1.0638297872340387E-2</v>
      </c>
      <c r="N34" s="92"/>
      <c r="O34" s="92">
        <f t="shared" si="7"/>
        <v>0</v>
      </c>
      <c r="P34" s="92">
        <f t="shared" si="8"/>
        <v>0</v>
      </c>
      <c r="Q34" s="92">
        <f t="shared" si="9"/>
        <v>0</v>
      </c>
      <c r="T34" s="12" t="s">
        <v>2157</v>
      </c>
      <c r="U34" s="99">
        <v>-1.377E-3</v>
      </c>
      <c r="V34" s="337">
        <v>0.51085811126440783</v>
      </c>
      <c r="W34" s="116"/>
    </row>
    <row r="35" spans="1:23" x14ac:dyDescent="0.2">
      <c r="A35" s="305"/>
      <c r="B35" s="3" t="s">
        <v>2188</v>
      </c>
      <c r="C35" s="101" cm="1">
        <f t="array" ref="C35:M35">tinh_du_lieu_cp(B35)</f>
        <v>29.9</v>
      </c>
      <c r="D35" s="103">
        <v>20.7</v>
      </c>
      <c r="E35" s="102">
        <v>-1.6689999999999999E-3</v>
      </c>
      <c r="F35" s="98">
        <v>0.98828125000000011</v>
      </c>
      <c r="G35" s="98">
        <v>0.99291154513234303</v>
      </c>
      <c r="H35" s="98">
        <v>0.72167344567112146</v>
      </c>
      <c r="I35" s="93">
        <v>3.728813559322039E-2</v>
      </c>
      <c r="J35" s="101">
        <v>29.5</v>
      </c>
      <c r="K35" s="101">
        <v>30.6</v>
      </c>
      <c r="L35" s="93">
        <v>1.3559322033898256E-2</v>
      </c>
      <c r="M35" s="93">
        <v>-2.2875816993464144E-2</v>
      </c>
      <c r="N35" s="92"/>
      <c r="O35" s="92">
        <f t="shared" si="7"/>
        <v>-1</v>
      </c>
      <c r="P35" s="92">
        <f t="shared" si="8"/>
        <v>0</v>
      </c>
      <c r="Q35" s="92">
        <f t="shared" si="9"/>
        <v>1</v>
      </c>
      <c r="T35" s="12" t="s">
        <v>1939</v>
      </c>
      <c r="U35" s="99">
        <v>0</v>
      </c>
      <c r="V35" s="337">
        <v>0.1014344262295082</v>
      </c>
      <c r="W35" s="116"/>
    </row>
    <row r="36" spans="1:23" x14ac:dyDescent="0.2">
      <c r="A36" s="305"/>
      <c r="B36" s="3" t="s">
        <v>2290</v>
      </c>
      <c r="C36" s="101" cm="1">
        <f t="array" ref="C36:M36">tinh_du_lieu_cp(B36)</f>
        <v>37</v>
      </c>
      <c r="D36" s="103">
        <v>15.5</v>
      </c>
      <c r="E36" s="102">
        <v>-5.3759999999999997E-3</v>
      </c>
      <c r="F36" s="98">
        <v>1.6505324298160697</v>
      </c>
      <c r="G36" s="98">
        <v>1.0236732790776535</v>
      </c>
      <c r="H36" s="98">
        <v>1.5270935960591132</v>
      </c>
      <c r="I36" s="93">
        <v>9.7345132743362955E-2</v>
      </c>
      <c r="J36" s="101">
        <v>33.9</v>
      </c>
      <c r="K36" s="101">
        <v>37.200000000000003</v>
      </c>
      <c r="L36" s="93">
        <v>9.144542772861361E-2</v>
      </c>
      <c r="M36" s="93">
        <v>-5.3763440860215813E-3</v>
      </c>
      <c r="N36" s="92"/>
      <c r="O36" s="92">
        <f t="shared" si="7"/>
        <v>-1</v>
      </c>
      <c r="P36" s="92">
        <f t="shared" si="8"/>
        <v>0</v>
      </c>
      <c r="Q36" s="92">
        <f t="shared" si="9"/>
        <v>1</v>
      </c>
      <c r="T36" s="12" t="s">
        <v>2624</v>
      </c>
      <c r="U36" s="99">
        <v>0</v>
      </c>
      <c r="V36" s="337">
        <v>0</v>
      </c>
      <c r="W36" s="116"/>
    </row>
    <row r="37" spans="1:23" x14ac:dyDescent="0.2">
      <c r="A37" s="305"/>
      <c r="B37" s="3" t="s">
        <v>2306</v>
      </c>
      <c r="C37" s="101" cm="1">
        <f t="array" ref="C37:M37">tinh_du_lieu_cp(B37)</f>
        <v>14.75</v>
      </c>
      <c r="D37" s="103">
        <v>30.4</v>
      </c>
      <c r="E37" s="102">
        <v>-6.7340000000000004E-3</v>
      </c>
      <c r="F37" s="98">
        <v>0.22542047254710304</v>
      </c>
      <c r="G37" s="98">
        <v>1.0159199336237295</v>
      </c>
      <c r="H37" s="98">
        <v>0.44239631336405527</v>
      </c>
      <c r="I37" s="93">
        <v>6.0498220640569367E-2</v>
      </c>
      <c r="J37" s="101">
        <v>14.05</v>
      </c>
      <c r="K37" s="101">
        <v>14.9</v>
      </c>
      <c r="L37" s="93">
        <v>4.9822064056939445E-2</v>
      </c>
      <c r="M37" s="93">
        <v>-1.0067114093959755E-2</v>
      </c>
      <c r="N37" s="92"/>
      <c r="O37" s="92">
        <f t="shared" si="7"/>
        <v>-1</v>
      </c>
      <c r="P37" s="92">
        <f t="shared" si="8"/>
        <v>0</v>
      </c>
      <c r="Q37" s="92">
        <f t="shared" si="9"/>
        <v>1</v>
      </c>
      <c r="T37" s="12" t="s">
        <v>2549</v>
      </c>
      <c r="U37" s="99">
        <v>0</v>
      </c>
      <c r="V37" s="337">
        <v>1.1758620689655173</v>
      </c>
      <c r="W37" s="116"/>
    </row>
    <row r="38" spans="1:23" x14ac:dyDescent="0.2">
      <c r="A38" s="305"/>
      <c r="B38" s="3" t="s">
        <v>2325</v>
      </c>
      <c r="C38" s="101" cm="1">
        <f t="array" ref="C38:M38">tinh_du_lieu_cp(B38)</f>
        <v>11.8</v>
      </c>
      <c r="D38" s="103">
        <v>0</v>
      </c>
      <c r="E38" s="102">
        <v>0</v>
      </c>
      <c r="F38" s="98">
        <v>0</v>
      </c>
      <c r="G38" s="98">
        <v>0.89761946336068887</v>
      </c>
      <c r="H38" s="98">
        <v>0</v>
      </c>
      <c r="I38" s="93">
        <v>0.57635467980295563</v>
      </c>
      <c r="J38" s="101">
        <v>10.15</v>
      </c>
      <c r="K38" s="101">
        <v>16</v>
      </c>
      <c r="L38" s="93">
        <v>0.16256157635467983</v>
      </c>
      <c r="M38" s="93">
        <v>-0.26249999999999996</v>
      </c>
      <c r="N38" s="92"/>
      <c r="O38" s="92">
        <f t="shared" si="7"/>
        <v>0</v>
      </c>
      <c r="P38" s="92">
        <f t="shared" si="8"/>
        <v>0</v>
      </c>
      <c r="Q38" s="92">
        <f t="shared" si="9"/>
        <v>0</v>
      </c>
      <c r="T38" s="12" t="s">
        <v>933</v>
      </c>
      <c r="U38" s="99">
        <v>0</v>
      </c>
      <c r="V38" s="337">
        <v>0.28260869565217389</v>
      </c>
      <c r="W38" s="116"/>
    </row>
    <row r="39" spans="1:23" x14ac:dyDescent="0.2">
      <c r="A39" s="305"/>
      <c r="B39" s="3" t="s">
        <v>2429</v>
      </c>
      <c r="C39" s="101" cm="1">
        <f t="array" ref="C39:M39">tinh_du_lieu_cp(B39)</f>
        <v>40</v>
      </c>
      <c r="D39" s="103">
        <v>0.1</v>
      </c>
      <c r="E39" s="102">
        <v>0</v>
      </c>
      <c r="F39" s="98">
        <v>6.0773480662983423E-2</v>
      </c>
      <c r="G39" s="98">
        <v>1.0030204593377787</v>
      </c>
      <c r="H39" s="98">
        <v>0.15384615384615385</v>
      </c>
      <c r="I39" s="93">
        <v>7.5447570332480701E-2</v>
      </c>
      <c r="J39" s="101">
        <v>39.1</v>
      </c>
      <c r="K39" s="101">
        <v>42.05</v>
      </c>
      <c r="L39" s="93">
        <v>2.3017902813299195E-2</v>
      </c>
      <c r="M39" s="93">
        <v>-4.8751486325802548E-2</v>
      </c>
      <c r="N39" s="92"/>
      <c r="O39" s="92">
        <f t="shared" si="7"/>
        <v>0</v>
      </c>
      <c r="P39" s="92">
        <f t="shared" si="8"/>
        <v>0</v>
      </c>
      <c r="Q39" s="92">
        <f t="shared" si="9"/>
        <v>0</v>
      </c>
      <c r="T39" s="12" t="s">
        <v>2325</v>
      </c>
      <c r="U39" s="99">
        <v>0</v>
      </c>
      <c r="V39" s="337">
        <v>0</v>
      </c>
      <c r="W39" s="116"/>
    </row>
    <row r="40" spans="1:23" x14ac:dyDescent="0.2">
      <c r="A40" s="305"/>
      <c r="B40" s="3" t="s">
        <v>2549</v>
      </c>
      <c r="C40" s="101" cm="1">
        <f t="array" ref="C40:M40">tinh_du_lieu_cp(B40)</f>
        <v>66.900000000000006</v>
      </c>
      <c r="D40" s="103">
        <v>3.1</v>
      </c>
      <c r="E40" s="102">
        <v>0</v>
      </c>
      <c r="F40" s="98">
        <v>1.1758620689655173</v>
      </c>
      <c r="G40" s="98">
        <v>1.0010447184937885</v>
      </c>
      <c r="H40" s="98">
        <v>1.4198473282442747</v>
      </c>
      <c r="I40" s="93">
        <v>0.13846153846153847</v>
      </c>
      <c r="J40" s="101">
        <v>65</v>
      </c>
      <c r="K40" s="101">
        <v>74</v>
      </c>
      <c r="L40" s="93">
        <v>2.9230769230769317E-2</v>
      </c>
      <c r="M40" s="93">
        <v>-9.5945945945945868E-2</v>
      </c>
      <c r="N40" s="92"/>
      <c r="O40" s="92">
        <f t="shared" si="7"/>
        <v>0</v>
      </c>
      <c r="P40" s="92">
        <f t="shared" si="8"/>
        <v>0</v>
      </c>
      <c r="Q40" s="92">
        <f t="shared" si="9"/>
        <v>0</v>
      </c>
      <c r="T40" s="12" t="s">
        <v>1310</v>
      </c>
      <c r="U40" s="99">
        <v>0</v>
      </c>
      <c r="V40" s="337">
        <v>0</v>
      </c>
      <c r="W40" s="116"/>
    </row>
    <row r="41" spans="1:23" x14ac:dyDescent="0.2">
      <c r="A41" s="305"/>
      <c r="B41" s="3" t="s">
        <v>3141</v>
      </c>
      <c r="C41" s="101" cm="1">
        <f t="array" ref="C41:M41">tinh_du_lieu_cp(B41)</f>
        <v>12.65</v>
      </c>
      <c r="D41" s="103">
        <v>266.8</v>
      </c>
      <c r="E41" s="102">
        <v>0</v>
      </c>
      <c r="F41" s="98">
        <v>0.35995020451716164</v>
      </c>
      <c r="G41" s="98">
        <v>0.98105862529777466</v>
      </c>
      <c r="H41" s="98">
        <v>0.50474538861737339</v>
      </c>
      <c r="I41" s="93">
        <v>0.27522935779816515</v>
      </c>
      <c r="J41" s="101">
        <v>10.9</v>
      </c>
      <c r="K41" s="101">
        <v>13.9</v>
      </c>
      <c r="L41" s="93">
        <v>0.16055045871559631</v>
      </c>
      <c r="M41" s="93">
        <v>-8.9928057553956831E-2</v>
      </c>
      <c r="N41" s="92"/>
      <c r="O41" s="92">
        <f t="shared" si="7"/>
        <v>0</v>
      </c>
      <c r="P41" s="92">
        <f t="shared" si="8"/>
        <v>0</v>
      </c>
      <c r="Q41" s="92">
        <f t="shared" si="9"/>
        <v>0</v>
      </c>
      <c r="T41" s="12" t="s">
        <v>2908</v>
      </c>
      <c r="U41" s="99">
        <v>0</v>
      </c>
      <c r="V41" s="337">
        <v>7.8291814946619229E-2</v>
      </c>
    </row>
    <row r="42" spans="1:23" x14ac:dyDescent="0.2">
      <c r="A42" s="305"/>
      <c r="B42" s="3" t="s">
        <v>2624</v>
      </c>
      <c r="C42" s="101" cm="1">
        <f t="array" ref="C42:M42">tinh_du_lieu_cp(B42)</f>
        <v>43.2</v>
      </c>
      <c r="D42" s="103">
        <v>0</v>
      </c>
      <c r="E42" s="102">
        <v>0</v>
      </c>
      <c r="F42" s="98">
        <v>0</v>
      </c>
      <c r="G42" s="98">
        <v>1.0558297048863086</v>
      </c>
      <c r="H42" s="98">
        <v>0</v>
      </c>
      <c r="I42" s="93">
        <v>0.31707317073170754</v>
      </c>
      <c r="J42" s="101">
        <v>32.799999999999997</v>
      </c>
      <c r="K42" s="101">
        <v>43.2</v>
      </c>
      <c r="L42" s="93">
        <v>0.31707317073170754</v>
      </c>
      <c r="M42" s="93">
        <v>0</v>
      </c>
      <c r="N42" s="92"/>
      <c r="O42" s="92">
        <f t="shared" si="7"/>
        <v>0</v>
      </c>
      <c r="P42" s="92">
        <f t="shared" si="8"/>
        <v>0</v>
      </c>
      <c r="Q42" s="92">
        <f t="shared" si="9"/>
        <v>0</v>
      </c>
      <c r="T42" s="12" t="s">
        <v>3141</v>
      </c>
      <c r="U42" s="99">
        <v>0</v>
      </c>
      <c r="V42" s="337">
        <v>0.35995020451716164</v>
      </c>
    </row>
    <row r="43" spans="1:23" x14ac:dyDescent="0.2">
      <c r="A43" s="305"/>
      <c r="B43" s="3" t="s">
        <v>2668</v>
      </c>
      <c r="C43" s="101" cm="1">
        <f t="array" ref="C43:M43">tinh_du_lieu_cp(B43)</f>
        <v>17.2</v>
      </c>
      <c r="D43" s="103">
        <v>2.5</v>
      </c>
      <c r="E43" s="102">
        <v>-5.7799999999999995E-3</v>
      </c>
      <c r="F43" s="98">
        <v>0.12449071978270712</v>
      </c>
      <c r="G43" s="98">
        <v>1.0276230584612598</v>
      </c>
      <c r="H43" s="98">
        <v>0.14749262536873156</v>
      </c>
      <c r="I43" s="93">
        <v>0.32706766917293217</v>
      </c>
      <c r="J43" s="101">
        <v>13.3</v>
      </c>
      <c r="K43" s="101">
        <v>17.649999999999999</v>
      </c>
      <c r="L43" s="93">
        <v>0.29323308270676679</v>
      </c>
      <c r="M43" s="93">
        <v>-2.5495750708215258E-2</v>
      </c>
      <c r="N43" s="92"/>
      <c r="O43" s="92">
        <f t="shared" si="7"/>
        <v>-1</v>
      </c>
      <c r="P43" s="92">
        <f t="shared" si="8"/>
        <v>0</v>
      </c>
      <c r="Q43" s="92">
        <f t="shared" si="9"/>
        <v>1</v>
      </c>
      <c r="T43" s="12" t="s">
        <v>2429</v>
      </c>
      <c r="U43" s="99">
        <v>0</v>
      </c>
      <c r="V43" s="337">
        <v>6.0773480662983423E-2</v>
      </c>
    </row>
    <row r="44" spans="1:23" x14ac:dyDescent="0.2">
      <c r="A44" s="305"/>
      <c r="B44" s="3" t="s">
        <v>2675</v>
      </c>
      <c r="C44" s="101" cm="1">
        <f t="array" ref="C44:M44">tinh_du_lieu_cp(B44)</f>
        <v>48.9</v>
      </c>
      <c r="D44" s="103">
        <v>6.7</v>
      </c>
      <c r="E44" s="102">
        <v>-7.1069999999999996E-3</v>
      </c>
      <c r="F44" s="98">
        <v>1.077485380116959</v>
      </c>
      <c r="G44" s="98">
        <v>1.0466304946135094</v>
      </c>
      <c r="H44" s="98">
        <v>1.3581081081081081</v>
      </c>
      <c r="I44" s="93">
        <v>0.33247422680412386</v>
      </c>
      <c r="J44" s="101">
        <v>38.799999999999997</v>
      </c>
      <c r="K44" s="101">
        <v>51.7</v>
      </c>
      <c r="L44" s="93">
        <v>0.26030927835051554</v>
      </c>
      <c r="M44" s="93">
        <v>-5.4158607350096789E-2</v>
      </c>
      <c r="N44" s="92"/>
      <c r="O44" s="92">
        <f t="shared" si="7"/>
        <v>-1</v>
      </c>
      <c r="P44" s="92">
        <f t="shared" si="8"/>
        <v>0</v>
      </c>
      <c r="Q44" s="92">
        <f t="shared" si="9"/>
        <v>1</v>
      </c>
      <c r="T44" s="12" t="s">
        <v>2165</v>
      </c>
      <c r="U44" s="99">
        <v>0</v>
      </c>
      <c r="V44" s="337">
        <v>0</v>
      </c>
    </row>
    <row r="45" spans="1:23" x14ac:dyDescent="0.2">
      <c r="A45" s="305"/>
      <c r="B45" s="3" t="s">
        <v>2880</v>
      </c>
      <c r="C45" s="101" cm="1">
        <f t="array" ref="C45:M45">tinh_du_lieu_cp(B45)</f>
        <v>26.3</v>
      </c>
      <c r="D45" s="103">
        <v>30.4</v>
      </c>
      <c r="E45" s="102">
        <v>-3.7880000000000001E-3</v>
      </c>
      <c r="F45" s="98">
        <v>1.8781241224375176</v>
      </c>
      <c r="G45" s="98">
        <v>0.96972997123788796</v>
      </c>
      <c r="H45" s="98">
        <v>0.83746556473829203</v>
      </c>
      <c r="I45" s="93">
        <v>8.5271317829457335E-2</v>
      </c>
      <c r="J45" s="101">
        <v>25.8</v>
      </c>
      <c r="K45" s="101">
        <v>28</v>
      </c>
      <c r="L45" s="93">
        <v>1.937984496124031E-2</v>
      </c>
      <c r="M45" s="93">
        <v>-6.0714285714285686E-2</v>
      </c>
      <c r="N45" s="92"/>
      <c r="O45" s="92">
        <f t="shared" si="7"/>
        <v>-1</v>
      </c>
      <c r="P45" s="92">
        <f t="shared" si="8"/>
        <v>0</v>
      </c>
      <c r="Q45" s="92">
        <f t="shared" si="9"/>
        <v>1</v>
      </c>
      <c r="T45" s="12" t="s">
        <v>637</v>
      </c>
      <c r="U45" s="99">
        <v>1.431E-3</v>
      </c>
      <c r="V45" s="337">
        <v>5.7291666666666664E-2</v>
      </c>
    </row>
    <row r="46" spans="1:23" x14ac:dyDescent="0.2">
      <c r="A46" s="305"/>
      <c r="B46" s="3" t="s">
        <v>2908</v>
      </c>
      <c r="C46" s="101" cm="1">
        <f t="array" ref="C46:M46">tinh_du_lieu_cp(B46)</f>
        <v>53</v>
      </c>
      <c r="D46" s="103">
        <v>0.7</v>
      </c>
      <c r="E46" s="102">
        <v>0</v>
      </c>
      <c r="F46" s="98">
        <v>7.8291814946619229E-2</v>
      </c>
      <c r="G46" s="98">
        <v>1.0307443365695794</v>
      </c>
      <c r="H46" s="98">
        <v>5.8333333333333334E-2</v>
      </c>
      <c r="I46" s="93">
        <v>8.9613034623217888E-2</v>
      </c>
      <c r="J46" s="101">
        <v>49.1</v>
      </c>
      <c r="K46" s="101">
        <v>53.5</v>
      </c>
      <c r="L46" s="93">
        <v>7.9429735234215856E-2</v>
      </c>
      <c r="M46" s="93">
        <v>-9.3457943925233638E-3</v>
      </c>
      <c r="N46" s="92"/>
      <c r="O46" s="92">
        <f t="shared" si="7"/>
        <v>0</v>
      </c>
      <c r="P46" s="92">
        <f t="shared" si="8"/>
        <v>0</v>
      </c>
      <c r="Q46" s="92">
        <f t="shared" si="9"/>
        <v>0</v>
      </c>
      <c r="T46" s="12" t="s">
        <v>2917</v>
      </c>
      <c r="U46" s="99">
        <v>2.5510000000000001E-2</v>
      </c>
      <c r="V46" s="337">
        <v>0.37606837606837601</v>
      </c>
    </row>
    <row r="47" spans="1:23" x14ac:dyDescent="0.2">
      <c r="A47" s="305"/>
      <c r="B47" s="3" t="s">
        <v>2917</v>
      </c>
      <c r="C47" s="101" cm="1">
        <f t="array" ref="C47:M47">tinh_du_lieu_cp(B47)</f>
        <v>10.050000000000001</v>
      </c>
      <c r="D47" s="103">
        <v>0.8</v>
      </c>
      <c r="E47" s="102">
        <v>2.5510000000000001E-2</v>
      </c>
      <c r="F47" s="98">
        <v>0.37606837606837601</v>
      </c>
      <c r="G47" s="98">
        <v>0.98994394988460288</v>
      </c>
      <c r="H47" s="98">
        <v>0.64864864864864868</v>
      </c>
      <c r="I47" s="93">
        <v>0.24352331606217612</v>
      </c>
      <c r="J47" s="101">
        <v>9.65</v>
      </c>
      <c r="K47" s="101">
        <v>12</v>
      </c>
      <c r="L47" s="93">
        <v>4.1450777202072575E-2</v>
      </c>
      <c r="M47" s="93">
        <v>-0.16249999999999995</v>
      </c>
      <c r="N47" s="92"/>
      <c r="O47" s="92">
        <f t="shared" si="7"/>
        <v>1</v>
      </c>
      <c r="P47" s="92">
        <f t="shared" si="8"/>
        <v>1</v>
      </c>
      <c r="Q47" s="92">
        <f t="shared" si="9"/>
        <v>0</v>
      </c>
      <c r="T47" s="12" t="s">
        <v>3051</v>
      </c>
      <c r="U47" s="99">
        <v>-0.15246500000000002</v>
      </c>
      <c r="V47" s="337">
        <v>12.929637502540137</v>
      </c>
    </row>
  </sheetData>
  <mergeCells count="16">
    <mergeCell ref="F14:G14"/>
    <mergeCell ref="N18:N19"/>
    <mergeCell ref="H18:H19"/>
    <mergeCell ref="I18:I19"/>
    <mergeCell ref="J18:J19"/>
    <mergeCell ref="K18:K19"/>
    <mergeCell ref="L18:L19"/>
    <mergeCell ref="M18:M19"/>
    <mergeCell ref="F18:F19"/>
    <mergeCell ref="G18:G19"/>
    <mergeCell ref="A20:A47"/>
    <mergeCell ref="E18:E19"/>
    <mergeCell ref="A18:A19"/>
    <mergeCell ref="B18:B19"/>
    <mergeCell ref="C18:C19"/>
    <mergeCell ref="D18:D19"/>
  </mergeCells>
  <conditionalFormatting sqref="A14 O26:O28">
    <cfRule type="expression" dxfId="751" priority="186" stopIfTrue="1">
      <formula>A14="giảm"</formula>
    </cfRule>
    <cfRule type="expression" dxfId="750" priority="187" stopIfTrue="1">
      <formula>A14="tăng"</formula>
    </cfRule>
  </conditionalFormatting>
  <conditionalFormatting sqref="G20:G28 G30:G38 G40:G47">
    <cfRule type="expression" dxfId="749" priority="168" stopIfTrue="1">
      <formula>G20&gt;2</formula>
    </cfRule>
    <cfRule type="expression" dxfId="748" priority="169" stopIfTrue="1">
      <formula>AND(G20&gt;0.5, G20&lt;1)</formula>
    </cfRule>
    <cfRule type="expression" dxfId="747" priority="170" stopIfTrue="1">
      <formula>G20&lt;=0.5</formula>
    </cfRule>
    <cfRule type="expression" dxfId="746" priority="171" stopIfTrue="1">
      <formula>AND(G20&gt;=1,G20&lt;2)</formula>
    </cfRule>
  </conditionalFormatting>
  <conditionalFormatting sqref="H20:H28 H30:H38 H40:H47">
    <cfRule type="expression" dxfId="745" priority="156" stopIfTrue="1">
      <formula>H20&gt;=2</formula>
    </cfRule>
    <cfRule type="expression" dxfId="744" priority="157" stopIfTrue="1">
      <formula>AND(H20&gt;=1,H20&lt;2)</formula>
    </cfRule>
    <cfRule type="expression" dxfId="743" priority="158" stopIfTrue="1">
      <formula>AND(H20&gt;0.5, H20&lt;1)</formula>
    </cfRule>
    <cfRule type="expression" dxfId="742" priority="159" stopIfTrue="1">
      <formula>H20&lt;=0.5</formula>
    </cfRule>
  </conditionalFormatting>
  <conditionalFormatting sqref="H20:H28 H30:H38 H40:H47">
    <cfRule type="expression" dxfId="741" priority="138" stopIfTrue="1">
      <formula>H20&gt;=2</formula>
    </cfRule>
    <cfRule type="expression" dxfId="740" priority="139" stopIfTrue="1">
      <formula>AND(H20&gt;=1,H20&lt;2)</formula>
    </cfRule>
    <cfRule type="expression" dxfId="739" priority="140" stopIfTrue="1">
      <formula>AND(H20&gt;0.5, H20&lt;1)</formula>
    </cfRule>
    <cfRule type="expression" dxfId="738" priority="141" stopIfTrue="1">
      <formula>H20&lt;=0.5</formula>
    </cfRule>
    <cfRule type="expression" dxfId="737" priority="142" stopIfTrue="1">
      <formula>H20&gt;=2</formula>
    </cfRule>
  </conditionalFormatting>
  <conditionalFormatting sqref="G20:G28 G30:G38 G40:G47">
    <cfRule type="expression" dxfId="736" priority="143" stopIfTrue="1">
      <formula>G20&gt;2</formula>
    </cfRule>
    <cfRule type="expression" dxfId="735" priority="144" stopIfTrue="1">
      <formula>AND(G20&gt;0.5, G20&lt;1)</formula>
    </cfRule>
    <cfRule type="expression" dxfId="734" priority="145" stopIfTrue="1">
      <formula>G20&lt;=0.5</formula>
    </cfRule>
    <cfRule type="expression" dxfId="733" priority="146" stopIfTrue="1">
      <formula>AND(G20&gt;=1,G20&lt;2)</formula>
    </cfRule>
    <cfRule type="expression" dxfId="732" priority="147" stopIfTrue="1">
      <formula>G20&gt;2</formula>
    </cfRule>
  </conditionalFormatting>
  <conditionalFormatting sqref="F20:H47">
    <cfRule type="expression" dxfId="731" priority="118" stopIfTrue="1">
      <formula>F20&lt;0</formula>
    </cfRule>
    <cfRule type="expression" dxfId="730" priority="119" stopIfTrue="1">
      <formula>F20=1</formula>
    </cfRule>
    <cfRule type="expression" dxfId="729" priority="120" stopIfTrue="1">
      <formula>AND(F20&lt;1,F20&gt;=0)</formula>
    </cfRule>
    <cfRule type="expression" dxfId="728" priority="121" stopIfTrue="1">
      <formula>AND(F20&lt;2,F20&gt;1)</formula>
    </cfRule>
    <cfRule type="expression" dxfId="727" priority="122" stopIfTrue="1">
      <formula>F20&gt;=2</formula>
    </cfRule>
  </conditionalFormatting>
  <conditionalFormatting sqref="F20:F28 F30:F38 F40:F47">
    <cfRule type="colorScale" priority="615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3:C7">
    <cfRule type="expression" dxfId="726" priority="32" stopIfTrue="1">
      <formula>H3="giảm"</formula>
    </cfRule>
    <cfRule type="expression" dxfId="725" priority="33" stopIfTrue="1">
      <formula>H3="tăng"</formula>
    </cfRule>
  </conditionalFormatting>
  <conditionalFormatting sqref="H3:H7">
    <cfRule type="expression" dxfId="724" priority="30" stopIfTrue="1">
      <formula>H3="giảm"</formula>
    </cfRule>
    <cfRule type="expression" dxfId="723" priority="31" stopIfTrue="1">
      <formula>H3="tăng"</formula>
    </cfRule>
  </conditionalFormatting>
  <conditionalFormatting sqref="B3:B7">
    <cfRule type="expression" dxfId="722" priority="34" stopIfTrue="1">
      <formula>H3="giảm"</formula>
    </cfRule>
    <cfRule type="expression" dxfId="721" priority="35" stopIfTrue="1">
      <formula>H3="tăng"</formula>
    </cfRule>
  </conditionalFormatting>
  <conditionalFormatting sqref="A3:A7">
    <cfRule type="expression" dxfId="720" priority="38" stopIfTrue="1">
      <formula>H3="giảm"</formula>
    </cfRule>
    <cfRule type="expression" dxfId="719" priority="39" stopIfTrue="1">
      <formula>H3="tăng"</formula>
    </cfRule>
  </conditionalFormatting>
  <conditionalFormatting sqref="G3:G7">
    <cfRule type="expression" dxfId="718" priority="27" stopIfTrue="1">
      <formula>G3=0</formula>
    </cfRule>
    <cfRule type="expression" dxfId="717" priority="28" stopIfTrue="1">
      <formula>G3&lt;0</formula>
    </cfRule>
    <cfRule type="expression" dxfId="716" priority="29" stopIfTrue="1">
      <formula>G3&gt;0</formula>
    </cfRule>
  </conditionalFormatting>
  <conditionalFormatting sqref="E3:E7">
    <cfRule type="expression" dxfId="715" priority="25" stopIfTrue="1">
      <formula>H3="tăng"</formula>
    </cfRule>
    <cfRule type="expression" dxfId="714" priority="26" stopIfTrue="1">
      <formula>H3="giảm"</formula>
    </cfRule>
  </conditionalFormatting>
  <conditionalFormatting sqref="F3:F7">
    <cfRule type="expression" dxfId="713" priority="23" stopIfTrue="1">
      <formula>H3="tăng"</formula>
    </cfRule>
    <cfRule type="expression" dxfId="712" priority="24" stopIfTrue="1">
      <formula>H3="giảm"</formula>
    </cfRule>
  </conditionalFormatting>
  <conditionalFormatting sqref="D3:D7">
    <cfRule type="expression" dxfId="711" priority="21" stopIfTrue="1">
      <formula>H3="giảm"</formula>
    </cfRule>
    <cfRule type="expression" dxfId="710" priority="22" stopIfTrue="1">
      <formula>H3="tăng"</formula>
    </cfRule>
  </conditionalFormatting>
  <conditionalFormatting sqref="I20:I47">
    <cfRule type="colorScale" priority="14242">
      <colorScale>
        <cfvo type="min"/>
        <cfvo type="max"/>
        <color theme="0" tint="-4.9989318521683403E-2"/>
        <color rgb="FF00B050"/>
      </colorScale>
    </cfRule>
  </conditionalFormatting>
  <conditionalFormatting sqref="L20:L47">
    <cfRule type="colorScale" priority="14243">
      <colorScale>
        <cfvo type="min"/>
        <cfvo type="max"/>
        <color theme="0" tint="-4.9989318521683403E-2"/>
        <color rgb="FF00B050"/>
      </colorScale>
    </cfRule>
  </conditionalFormatting>
  <conditionalFormatting sqref="M20:M47">
    <cfRule type="colorScale" priority="14244">
      <colorScale>
        <cfvo type="min"/>
        <cfvo type="max"/>
        <color rgb="FFFF7C80"/>
        <color theme="0" tint="-4.9989318521683403E-2"/>
      </colorScale>
    </cfRule>
  </conditionalFormatting>
  <conditionalFormatting sqref="C20:C47">
    <cfRule type="expression" dxfId="709" priority="6" stopIfTrue="1">
      <formula>E20&gt;=6.8%</formula>
    </cfRule>
    <cfRule type="expression" dxfId="708" priority="7" stopIfTrue="1">
      <formula>AND(E20&gt;0%,E20&lt;6.8%)</formula>
    </cfRule>
    <cfRule type="expression" dxfId="707" priority="8" stopIfTrue="1">
      <formula>E20=0%</formula>
    </cfRule>
    <cfRule type="expression" dxfId="706" priority="9" stopIfTrue="1">
      <formula>AND(E20&gt;-6.8%, E20&lt;0%)</formula>
    </cfRule>
    <cfRule type="expression" dxfId="705" priority="10" stopIfTrue="1">
      <formula>E20&lt;=-6.8%</formula>
    </cfRule>
  </conditionalFormatting>
  <conditionalFormatting sqref="B20:B47">
    <cfRule type="expression" dxfId="704" priority="16" stopIfTrue="1">
      <formula>E20&gt;=6.8%</formula>
    </cfRule>
    <cfRule type="expression" dxfId="703" priority="17" stopIfTrue="1">
      <formula>AND(E20&gt;0%,E20&lt;6.8%)</formula>
    </cfRule>
    <cfRule type="expression" dxfId="702" priority="18" stopIfTrue="1">
      <formula>E20=0%</formula>
    </cfRule>
    <cfRule type="expression" dxfId="701" priority="19" stopIfTrue="1">
      <formula>AND(E20&gt;-6.8%, E20&lt;0%)</formula>
    </cfRule>
    <cfRule type="expression" dxfId="700" priority="20" stopIfTrue="1">
      <formula>E20&lt;=-6.8%</formula>
    </cfRule>
  </conditionalFormatting>
  <conditionalFormatting sqref="D20:D47">
    <cfRule type="expression" dxfId="699" priority="1" stopIfTrue="1">
      <formula>D20&gt;20000</formula>
    </cfRule>
    <cfRule type="expression" dxfId="698" priority="2" stopIfTrue="1">
      <formula>AND(D20&gt;10000,D20&lt;=20000)</formula>
    </cfRule>
    <cfRule type="expression" dxfId="697" priority="3" stopIfTrue="1">
      <formula>AND(D20&gt;1000,D20&lt;=10000)</formula>
    </cfRule>
    <cfRule type="expression" dxfId="696" priority="4" stopIfTrue="1">
      <formula>AND(D20&gt;200,D20&lt;=1000)</formula>
    </cfRule>
    <cfRule type="expression" dxfId="695" priority="5" stopIfTrue="1">
      <formula>D20&lt;=200</formula>
    </cfRule>
  </conditionalFormatting>
  <conditionalFormatting sqref="E20:E47">
    <cfRule type="expression" dxfId="694" priority="11" stopIfTrue="1">
      <formula>E20&gt;=6.8%</formula>
    </cfRule>
    <cfRule type="expression" dxfId="693" priority="12" stopIfTrue="1">
      <formula>AND(E20&gt;0%,E20&lt;6.8%)</formula>
    </cfRule>
    <cfRule type="expression" dxfId="692" priority="13" stopIfTrue="1">
      <formula>E20=0%</formula>
    </cfRule>
    <cfRule type="expression" dxfId="691" priority="14" stopIfTrue="1">
      <formula>AND(E20&gt;-6.8%, E20&lt;0%)</formula>
    </cfRule>
    <cfRule type="expression" dxfId="690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0CF4B2-D05F-4F83-84E9-54FD9411940A}">
          <x14:formula1>
            <xm:f>'Nơi chứ dữ liệu'!$I$2:$K$2</xm:f>
          </x14:formula1>
          <xm:sqref>N20:N47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DD2DD-C862-49FD-AB75-C3B6E87501CF}">
  <sheetPr codeName="Sheet25">
    <tabColor theme="4" tint="-0.249977111117893"/>
  </sheetPr>
  <dimension ref="A1:X28"/>
  <sheetViews>
    <sheetView topLeftCell="A5" zoomScaleNormal="100" workbookViewId="0">
      <selection activeCell="F17" sqref="F17"/>
    </sheetView>
  </sheetViews>
  <sheetFormatPr defaultRowHeight="15" x14ac:dyDescent="0.2"/>
  <cols>
    <col min="1" max="1" width="8" customWidth="1"/>
    <col min="2" max="2" width="9.6640625" customWidth="1"/>
    <col min="3" max="3" width="12.77734375" customWidth="1"/>
    <col min="4" max="4" width="11.21875" customWidth="1"/>
    <col min="5" max="5" width="13.3320312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"&amp;SUM($O$20:O27)&amp;" "&amp;"trên tổng"&amp;" "&amp;$O$19</f>
        <v>Tổng điểm nhóm BĐS hôm nay -5 trên tổng 8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1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6</v>
      </c>
      <c r="B16" s="189"/>
      <c r="C16" s="189"/>
      <c r="D16" s="189"/>
      <c r="E16" s="189"/>
      <c r="F16" s="190">
        <f>AVERAGE(E20:E27)</f>
        <v>-1.4419500000000002E-2</v>
      </c>
      <c r="G16" s="191">
        <f>AVERAGE(F20:F27)</f>
        <v>0.83930482800239148</v>
      </c>
    </row>
    <row r="17" spans="1:24" ht="15.75" x14ac:dyDescent="0.2">
      <c r="A17" s="188" t="str">
        <f>"Tổng điểm tham chiếu nhóm BĐS hôm nay"&amp;" "&amp;(O19-(P19+Q19))</f>
        <v>Tổng điểm tham chiếu nhóm BĐS hôm nay 1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3087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COUNT(O20:O27)</f>
        <v>8</v>
      </c>
      <c r="P19" s="158">
        <f>SUM(P20:P27)</f>
        <v>1</v>
      </c>
      <c r="Q19" s="158">
        <f>SUM(Q20:Q27)</f>
        <v>6</v>
      </c>
      <c r="T19" s="12" t="s">
        <v>1545</v>
      </c>
      <c r="U19" s="99">
        <v>-5.6235E-2</v>
      </c>
      <c r="V19" s="337">
        <v>4.4000000000000004</v>
      </c>
      <c r="X19"/>
    </row>
    <row r="20" spans="1:24" ht="15.75" customHeight="1" x14ac:dyDescent="0.2">
      <c r="A20" s="305" t="s">
        <v>3088</v>
      </c>
      <c r="B20" s="3" t="s">
        <v>281</v>
      </c>
      <c r="C20" s="101" cm="1">
        <f t="array" ref="C20:M20">tinh_du_lieu_cp(B20)</f>
        <v>7.2</v>
      </c>
      <c r="D20" s="103">
        <v>351.7</v>
      </c>
      <c r="E20" s="102">
        <v>-9.6290000000000004E-3</v>
      </c>
      <c r="F20" s="98">
        <v>0.65703149546122297</v>
      </c>
      <c r="G20" s="98">
        <v>0.99236211106241801</v>
      </c>
      <c r="H20" s="98">
        <v>0.77509641873278234</v>
      </c>
      <c r="I20" s="93">
        <v>0.14329268292682934</v>
      </c>
      <c r="J20" s="101">
        <v>6.56</v>
      </c>
      <c r="K20" s="101">
        <v>7.5</v>
      </c>
      <c r="L20" s="93">
        <v>9.7560975609756184E-2</v>
      </c>
      <c r="M20" s="93">
        <v>-3.9999999999999973E-2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2" t="s">
        <v>2470</v>
      </c>
      <c r="U20" s="99">
        <v>-1.4924999999999999E-2</v>
      </c>
      <c r="V20" s="337">
        <v>0.6363845622650196</v>
      </c>
    </row>
    <row r="21" spans="1:24" ht="15.75" customHeight="1" x14ac:dyDescent="0.2">
      <c r="A21" s="305"/>
      <c r="B21" s="3" t="s">
        <v>1545</v>
      </c>
      <c r="C21" s="101">
        <f t="array" ref="C21:M21">tinh_du_lieu_cp(B21)</f>
        <v>19.3</v>
      </c>
      <c r="D21" s="103">
        <v>0.1</v>
      </c>
      <c r="E21" s="102">
        <v>-5.6235E-2</v>
      </c>
      <c r="F21" s="98">
        <v>4.4000000000000004</v>
      </c>
      <c r="G21" s="98">
        <v>1.0339722254103063</v>
      </c>
      <c r="H21" s="98">
        <v>3</v>
      </c>
      <c r="I21" s="93">
        <v>0.22572178477690291</v>
      </c>
      <c r="J21" s="101">
        <v>19.05</v>
      </c>
      <c r="K21" s="101">
        <v>23.35</v>
      </c>
      <c r="L21" s="93">
        <v>1.3123359580052493E-2</v>
      </c>
      <c r="M21" s="93">
        <v>-0.17344753747323344</v>
      </c>
      <c r="N21" s="92"/>
      <c r="O21" s="92">
        <f t="shared" ref="O21:O25" si="0">IF(E21&gt;0,1,IF(E21=0,0,-1))</f>
        <v>-1</v>
      </c>
      <c r="P21" s="92">
        <f t="shared" ref="P21:P27" si="1">IF(O21=1,1,0)</f>
        <v>0</v>
      </c>
      <c r="Q21" s="92">
        <f t="shared" ref="Q21:Q27" si="2">IF(O21&lt;0,1,0)</f>
        <v>1</v>
      </c>
      <c r="T21" s="12" t="s">
        <v>2194</v>
      </c>
      <c r="U21" s="99">
        <v>-1.2244999999999999E-2</v>
      </c>
      <c r="V21" s="337">
        <v>0.48757415991413378</v>
      </c>
    </row>
    <row r="22" spans="1:24" ht="15.75" customHeight="1" x14ac:dyDescent="0.2">
      <c r="A22" s="305"/>
      <c r="B22" s="3" t="s">
        <v>1835</v>
      </c>
      <c r="C22" s="101">
        <f t="array" ref="C22:M22">tinh_du_lieu_cp(B22)</f>
        <v>235</v>
      </c>
      <c r="D22" s="103">
        <v>9.1</v>
      </c>
      <c r="E22" s="102">
        <v>-2.3681000000000001E-2</v>
      </c>
      <c r="F22" s="98">
        <v>0.18622736109689964</v>
      </c>
      <c r="G22" s="98">
        <v>1.0555636687320498</v>
      </c>
      <c r="H22" s="98">
        <v>0.13901053017495979</v>
      </c>
      <c r="I22" s="93">
        <v>0.19500000000000001</v>
      </c>
      <c r="J22" s="101">
        <v>200</v>
      </c>
      <c r="K22" s="101">
        <v>239</v>
      </c>
      <c r="L22" s="93">
        <v>0.17499999999999999</v>
      </c>
      <c r="M22" s="93">
        <v>-1.6736401673640166E-2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281</v>
      </c>
      <c r="U22" s="99">
        <v>-9.6290000000000004E-3</v>
      </c>
      <c r="V22" s="337">
        <v>0.65703149546122297</v>
      </c>
    </row>
    <row r="23" spans="1:24" ht="15.75" customHeight="1" x14ac:dyDescent="0.2">
      <c r="A23" s="305"/>
      <c r="B23" s="3" t="s">
        <v>1805</v>
      </c>
      <c r="C23" s="101">
        <f t="array" ref="C23:M23">tinh_du_lieu_cp(B23)</f>
        <v>8.2100000000000009</v>
      </c>
      <c r="D23" s="103">
        <v>22</v>
      </c>
      <c r="E23" s="102">
        <v>-3.6409999999999997E-3</v>
      </c>
      <c r="F23" s="98">
        <v>0.14620148013895182</v>
      </c>
      <c r="G23" s="98">
        <v>1.0273674190418658</v>
      </c>
      <c r="H23" s="98">
        <v>7.4353630372331447E-2</v>
      </c>
      <c r="I23" s="93">
        <v>0.56774193548387097</v>
      </c>
      <c r="J23" s="101">
        <v>7.75</v>
      </c>
      <c r="K23" s="101">
        <v>12.15</v>
      </c>
      <c r="L23" s="93">
        <v>5.9354838709677532E-2</v>
      </c>
      <c r="M23" s="93">
        <v>-0.32427983539094646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1805</v>
      </c>
      <c r="U23" s="99">
        <v>-3.6409999999999997E-3</v>
      </c>
      <c r="V23" s="337">
        <v>0.14620148013895182</v>
      </c>
    </row>
    <row r="24" spans="1:24" ht="15.75" customHeight="1" x14ac:dyDescent="0.2">
      <c r="A24" s="305"/>
      <c r="B24" s="3" t="s">
        <v>2194</v>
      </c>
      <c r="C24" s="101">
        <f t="array" ref="C24:M24">tinh_du_lieu_cp(B24)</f>
        <v>12.1</v>
      </c>
      <c r="D24" s="103">
        <v>187.9</v>
      </c>
      <c r="E24" s="102">
        <v>-1.2244999999999999E-2</v>
      </c>
      <c r="F24" s="98">
        <v>0.48757415991413378</v>
      </c>
      <c r="G24" s="98">
        <v>1.0623596247853089</v>
      </c>
      <c r="H24" s="98">
        <v>0.64737295434969855</v>
      </c>
      <c r="I24" s="93">
        <v>0.23499999999999996</v>
      </c>
      <c r="J24" s="101">
        <v>10</v>
      </c>
      <c r="K24" s="101">
        <v>12.35</v>
      </c>
      <c r="L24" s="93">
        <v>0.20999999999999996</v>
      </c>
      <c r="M24" s="93">
        <v>-2.0242914979757085E-2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2407</v>
      </c>
      <c r="U24" s="99">
        <v>0</v>
      </c>
      <c r="V24" s="337">
        <v>0</v>
      </c>
    </row>
    <row r="25" spans="1:24" ht="15.75" customHeight="1" x14ac:dyDescent="0.2">
      <c r="A25" s="305"/>
      <c r="B25" s="3" t="s">
        <v>2362</v>
      </c>
      <c r="C25" s="101">
        <f t="array" ref="C25:M25">tinh_du_lieu_cp(B25)</f>
        <v>10.050000000000001</v>
      </c>
      <c r="D25" s="103">
        <v>2.4</v>
      </c>
      <c r="E25" s="102">
        <v>5.0000000000000001E-3</v>
      </c>
      <c r="F25" s="98">
        <v>0.20101956514290281</v>
      </c>
      <c r="G25" s="98">
        <v>1.1109083844373491</v>
      </c>
      <c r="H25" s="98">
        <v>0.64573991031390132</v>
      </c>
      <c r="I25" s="93">
        <v>0.30859375000000017</v>
      </c>
      <c r="J25" s="101">
        <v>7.68</v>
      </c>
      <c r="K25" s="101">
        <v>10.050000000000001</v>
      </c>
      <c r="L25" s="93">
        <v>0.30859375000000017</v>
      </c>
      <c r="M25" s="93">
        <v>0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2362</v>
      </c>
      <c r="U25" s="99">
        <v>5.0000000000000001E-3</v>
      </c>
      <c r="V25" s="337">
        <v>0.20101956514290281</v>
      </c>
    </row>
    <row r="26" spans="1:24" ht="15.75" customHeight="1" x14ac:dyDescent="0.2">
      <c r="A26" s="305"/>
      <c r="B26" s="3" t="s">
        <v>2407</v>
      </c>
      <c r="C26" s="101">
        <f t="array" ref="C26:M26">tinh_du_lieu_cp(B26)</f>
        <v>55.7</v>
      </c>
      <c r="D26" s="103">
        <v>0</v>
      </c>
      <c r="E26" s="102">
        <v>0</v>
      </c>
      <c r="F26" s="98">
        <v>0</v>
      </c>
      <c r="G26" s="98">
        <v>0.99806555900045058</v>
      </c>
      <c r="H26" s="98">
        <v>0</v>
      </c>
      <c r="I26" s="93">
        <v>0.11310592459605021</v>
      </c>
      <c r="J26" s="101">
        <v>55.7</v>
      </c>
      <c r="K26" s="101">
        <v>62</v>
      </c>
      <c r="L26" s="93">
        <v>0</v>
      </c>
      <c r="M26" s="93">
        <v>-0.10161290322580641</v>
      </c>
      <c r="N26" s="92"/>
      <c r="O26" s="92">
        <f>IF(E26&gt;0,1,IF(E26=0,0,-1))</f>
        <v>0</v>
      </c>
      <c r="P26" s="92">
        <f t="shared" si="1"/>
        <v>0</v>
      </c>
      <c r="Q26" s="92">
        <f t="shared" si="2"/>
        <v>0</v>
      </c>
      <c r="T26" s="12" t="s">
        <v>3051</v>
      </c>
      <c r="U26" s="99">
        <v>-9.1674999999999993E-2</v>
      </c>
      <c r="V26" s="337">
        <v>6.5282112629222313</v>
      </c>
    </row>
    <row r="27" spans="1:24" ht="15.75" customHeight="1" x14ac:dyDescent="0.2">
      <c r="A27" s="305"/>
      <c r="B27" s="3" t="s">
        <v>2470</v>
      </c>
      <c r="C27" s="101">
        <f t="array" ref="C27:M27">tinh_du_lieu_cp(B27)</f>
        <v>33</v>
      </c>
      <c r="D27" s="103">
        <v>75.400000000000006</v>
      </c>
      <c r="E27" s="102">
        <v>-1.4924999999999999E-2</v>
      </c>
      <c r="F27" s="98">
        <v>0.6363845622650196</v>
      </c>
      <c r="G27" s="98">
        <v>0.99772902756960524</v>
      </c>
      <c r="H27" s="98">
        <v>0.62676641729010807</v>
      </c>
      <c r="I27" s="93">
        <v>6.8535825545171208E-2</v>
      </c>
      <c r="J27" s="101">
        <v>32.1</v>
      </c>
      <c r="K27" s="101">
        <v>34.299999999999997</v>
      </c>
      <c r="L27" s="93">
        <v>2.8037383177570048E-2</v>
      </c>
      <c r="M27" s="93">
        <v>-3.7900874635568432E-2</v>
      </c>
      <c r="N27" s="92"/>
      <c r="O27" s="92">
        <f t="shared" ref="O27" si="3">IF(E27&gt;0,1,IF(E27=0,0,-1))</f>
        <v>-1</v>
      </c>
      <c r="P27" s="92">
        <f t="shared" si="1"/>
        <v>0</v>
      </c>
      <c r="Q27" s="92">
        <f t="shared" si="2"/>
        <v>1</v>
      </c>
    </row>
    <row r="28" spans="1:24" x14ac:dyDescent="0.2">
      <c r="V28" s="115"/>
      <c r="W28" s="116"/>
    </row>
  </sheetData>
  <mergeCells count="16">
    <mergeCell ref="F14:G14"/>
    <mergeCell ref="G18:G19"/>
    <mergeCell ref="A20:A27"/>
    <mergeCell ref="H18:H19"/>
    <mergeCell ref="A18:A19"/>
    <mergeCell ref="B18:B19"/>
    <mergeCell ref="C18:C19"/>
    <mergeCell ref="D18:D19"/>
    <mergeCell ref="E18:E19"/>
    <mergeCell ref="F18:F19"/>
    <mergeCell ref="M18:M19"/>
    <mergeCell ref="N18:N19"/>
    <mergeCell ref="I18:I19"/>
    <mergeCell ref="J18:J19"/>
    <mergeCell ref="K18:K19"/>
    <mergeCell ref="L18:L19"/>
  </mergeCells>
  <conditionalFormatting sqref="A14">
    <cfRule type="expression" dxfId="688" priority="185" stopIfTrue="1">
      <formula>A14="giảm"</formula>
    </cfRule>
    <cfRule type="expression" dxfId="687" priority="186" stopIfTrue="1">
      <formula>A14="tăng"</formula>
    </cfRule>
  </conditionalFormatting>
  <conditionalFormatting sqref="O26">
    <cfRule type="expression" dxfId="686" priority="183" stopIfTrue="1">
      <formula>O26="giảm"</formula>
    </cfRule>
    <cfRule type="expression" dxfId="685" priority="184" stopIfTrue="1">
      <formula>O26="tăng"</formula>
    </cfRule>
  </conditionalFormatting>
  <conditionalFormatting sqref="G21:G25 G27">
    <cfRule type="expression" dxfId="684" priority="179" stopIfTrue="1">
      <formula>G21&gt;2</formula>
    </cfRule>
    <cfRule type="expression" dxfId="683" priority="180" stopIfTrue="1">
      <formula>AND(G21&gt;0.5, G21&lt;1)</formula>
    </cfRule>
    <cfRule type="expression" dxfId="682" priority="181" stopIfTrue="1">
      <formula>G21&lt;=0.5</formula>
    </cfRule>
    <cfRule type="expression" dxfId="681" priority="182" stopIfTrue="1">
      <formula>AND(G21&gt;=1,G21&lt;2)</formula>
    </cfRule>
  </conditionalFormatting>
  <conditionalFormatting sqref="G26">
    <cfRule type="expression" dxfId="680" priority="171" stopIfTrue="1">
      <formula>G26&gt;2</formula>
    </cfRule>
    <cfRule type="expression" dxfId="679" priority="172" stopIfTrue="1">
      <formula>AND(G26&gt;0.5, G26&lt;1)</formula>
    </cfRule>
    <cfRule type="expression" dxfId="678" priority="173" stopIfTrue="1">
      <formula>G26&lt;=0.5</formula>
    </cfRule>
    <cfRule type="expression" dxfId="677" priority="174" stopIfTrue="1">
      <formula>AND(G26&gt;=1,G26&lt;2)</formula>
    </cfRule>
  </conditionalFormatting>
  <conditionalFormatting sqref="H21:H25 H27">
    <cfRule type="expression" dxfId="676" priority="167" stopIfTrue="1">
      <formula>H21&gt;=2</formula>
    </cfRule>
    <cfRule type="expression" dxfId="675" priority="168" stopIfTrue="1">
      <formula>AND(H21&gt;=1,H21&lt;2)</formula>
    </cfRule>
    <cfRule type="expression" dxfId="674" priority="169" stopIfTrue="1">
      <formula>AND(H21&gt;0.5, H21&lt;1)</formula>
    </cfRule>
    <cfRule type="expression" dxfId="673" priority="170" stopIfTrue="1">
      <formula>H21&lt;=0.5</formula>
    </cfRule>
  </conditionalFormatting>
  <conditionalFormatting sqref="H26">
    <cfRule type="expression" dxfId="672" priority="159" stopIfTrue="1">
      <formula>H26&gt;=2</formula>
    </cfRule>
    <cfRule type="expression" dxfId="671" priority="160" stopIfTrue="1">
      <formula>AND(H26&gt;=1,H26&lt;2)</formula>
    </cfRule>
    <cfRule type="expression" dxfId="670" priority="161" stopIfTrue="1">
      <formula>AND(H26&gt;0.5, H26&lt;1)</formula>
    </cfRule>
    <cfRule type="expression" dxfId="669" priority="162" stopIfTrue="1">
      <formula>H26&lt;=0.5</formula>
    </cfRule>
  </conditionalFormatting>
  <conditionalFormatting sqref="H21:H27">
    <cfRule type="expression" dxfId="668" priority="149" stopIfTrue="1">
      <formula>H21&gt;=2</formula>
    </cfRule>
    <cfRule type="expression" dxfId="667" priority="150" stopIfTrue="1">
      <formula>AND(H21&gt;=1,H21&lt;2)</formula>
    </cfRule>
    <cfRule type="expression" dxfId="666" priority="151" stopIfTrue="1">
      <formula>AND(H21&gt;0.5, H21&lt;1)</formula>
    </cfRule>
    <cfRule type="expression" dxfId="665" priority="152" stopIfTrue="1">
      <formula>H21&lt;=0.5</formula>
    </cfRule>
    <cfRule type="expression" dxfId="664" priority="153" stopIfTrue="1">
      <formula>H21&gt;=2</formula>
    </cfRule>
  </conditionalFormatting>
  <conditionalFormatting sqref="G21:G27">
    <cfRule type="expression" dxfId="663" priority="154" stopIfTrue="1">
      <formula>G21&gt;2</formula>
    </cfRule>
    <cfRule type="expression" dxfId="662" priority="155" stopIfTrue="1">
      <formula>AND(G21&gt;0.5, G21&lt;1)</formula>
    </cfRule>
    <cfRule type="expression" dxfId="661" priority="156" stopIfTrue="1">
      <formula>G21&lt;=0.5</formula>
    </cfRule>
    <cfRule type="expression" dxfId="660" priority="157" stopIfTrue="1">
      <formula>AND(G21&gt;=1,G21&lt;2)</formula>
    </cfRule>
    <cfRule type="expression" dxfId="659" priority="158" stopIfTrue="1">
      <formula>G21&gt;2</formula>
    </cfRule>
  </conditionalFormatting>
  <conditionalFormatting sqref="F20:H27">
    <cfRule type="expression" dxfId="658" priority="144" stopIfTrue="1">
      <formula>F20&lt;0</formula>
    </cfRule>
    <cfRule type="expression" dxfId="657" priority="145" stopIfTrue="1">
      <formula>F20=1</formula>
    </cfRule>
    <cfRule type="expression" dxfId="656" priority="146" stopIfTrue="1">
      <formula>AND(F20&lt;1,F20&gt;0)</formula>
    </cfRule>
    <cfRule type="expression" dxfId="655" priority="147" stopIfTrue="1">
      <formula>AND(F20&lt;2,F20&gt;1)</formula>
    </cfRule>
    <cfRule type="expression" dxfId="654" priority="148" stopIfTrue="1">
      <formula>F20&gt;=2</formula>
    </cfRule>
  </conditionalFormatting>
  <conditionalFormatting sqref="C3:C7">
    <cfRule type="expression" dxfId="653" priority="63" stopIfTrue="1">
      <formula>H3="giảm"</formula>
    </cfRule>
    <cfRule type="expression" dxfId="652" priority="64" stopIfTrue="1">
      <formula>H3="tăng"</formula>
    </cfRule>
  </conditionalFormatting>
  <conditionalFormatting sqref="H3:H7">
    <cfRule type="expression" dxfId="651" priority="61" stopIfTrue="1">
      <formula>H3="giảm"</formula>
    </cfRule>
    <cfRule type="expression" dxfId="650" priority="62" stopIfTrue="1">
      <formula>H3="tăng"</formula>
    </cfRule>
  </conditionalFormatting>
  <conditionalFormatting sqref="B3:B7">
    <cfRule type="expression" dxfId="649" priority="65" stopIfTrue="1">
      <formula>H3="giảm"</formula>
    </cfRule>
    <cfRule type="expression" dxfId="648" priority="66" stopIfTrue="1">
      <formula>H3="tăng"</formula>
    </cfRule>
  </conditionalFormatting>
  <conditionalFormatting sqref="A3:A7">
    <cfRule type="expression" dxfId="647" priority="69" stopIfTrue="1">
      <formula>H3="giảm"</formula>
    </cfRule>
    <cfRule type="expression" dxfId="646" priority="70" stopIfTrue="1">
      <formula>H3="tăng"</formula>
    </cfRule>
  </conditionalFormatting>
  <conditionalFormatting sqref="G3:G7">
    <cfRule type="expression" dxfId="645" priority="58" stopIfTrue="1">
      <formula>G3=0</formula>
    </cfRule>
    <cfRule type="expression" dxfId="644" priority="59" stopIfTrue="1">
      <formula>G3&lt;0</formula>
    </cfRule>
    <cfRule type="expression" dxfId="643" priority="60" stopIfTrue="1">
      <formula>G3&gt;0</formula>
    </cfRule>
  </conditionalFormatting>
  <conditionalFormatting sqref="E3:E7">
    <cfRule type="expression" dxfId="642" priority="56" stopIfTrue="1">
      <formula>H3="tăng"</formula>
    </cfRule>
    <cfRule type="expression" dxfId="641" priority="57" stopIfTrue="1">
      <formula>H3="giảm"</formula>
    </cfRule>
  </conditionalFormatting>
  <conditionalFormatting sqref="F3:F7">
    <cfRule type="expression" dxfId="640" priority="54" stopIfTrue="1">
      <formula>H3="tăng"</formula>
    </cfRule>
    <cfRule type="expression" dxfId="639" priority="55" stopIfTrue="1">
      <formula>H3="giảm"</formula>
    </cfRule>
  </conditionalFormatting>
  <conditionalFormatting sqref="D3:D7">
    <cfRule type="expression" dxfId="638" priority="52" stopIfTrue="1">
      <formula>H3="giảm"</formula>
    </cfRule>
    <cfRule type="expression" dxfId="637" priority="53" stopIfTrue="1">
      <formula>H3="tăng"</formula>
    </cfRule>
  </conditionalFormatting>
  <conditionalFormatting sqref="I20:I27">
    <cfRule type="colorScale" priority="14957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14958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14959">
      <colorScale>
        <cfvo type="min"/>
        <cfvo type="max"/>
        <color rgb="FFFF7C80"/>
        <color theme="0" tint="-4.9989318521683403E-2"/>
      </colorScale>
    </cfRule>
  </conditionalFormatting>
  <conditionalFormatting sqref="C20:C27">
    <cfRule type="expression" dxfId="636" priority="6" stopIfTrue="1">
      <formula>E20&gt;=6.8%</formula>
    </cfRule>
    <cfRule type="expression" dxfId="635" priority="7" stopIfTrue="1">
      <formula>AND(E20&gt;0%,E20&lt;6.8%)</formula>
    </cfRule>
    <cfRule type="expression" dxfId="634" priority="8" stopIfTrue="1">
      <formula>E20=0%</formula>
    </cfRule>
    <cfRule type="expression" dxfId="633" priority="9" stopIfTrue="1">
      <formula>AND(E20&gt;-6.8%, E20&lt;0%)</formula>
    </cfRule>
    <cfRule type="expression" dxfId="632" priority="10" stopIfTrue="1">
      <formula>E20&lt;=-6.8%</formula>
    </cfRule>
  </conditionalFormatting>
  <conditionalFormatting sqref="B20:B27">
    <cfRule type="expression" dxfId="631" priority="16" stopIfTrue="1">
      <formula>E20&gt;=6.8%</formula>
    </cfRule>
    <cfRule type="expression" dxfId="630" priority="17" stopIfTrue="1">
      <formula>AND(E20&gt;0%,E20&lt;6.8%)</formula>
    </cfRule>
    <cfRule type="expression" dxfId="629" priority="18" stopIfTrue="1">
      <formula>E20=0%</formula>
    </cfRule>
    <cfRule type="expression" dxfId="628" priority="19" stopIfTrue="1">
      <formula>AND(E20&gt;-6.8%, E20&lt;0%)</formula>
    </cfRule>
    <cfRule type="expression" dxfId="627" priority="20" stopIfTrue="1">
      <formula>E20&lt;=-6.8%</formula>
    </cfRule>
  </conditionalFormatting>
  <conditionalFormatting sqref="D20:D27">
    <cfRule type="expression" dxfId="626" priority="1" stopIfTrue="1">
      <formula>D20&gt;20000</formula>
    </cfRule>
    <cfRule type="expression" dxfId="625" priority="2" stopIfTrue="1">
      <formula>AND(D20&gt;10000,D20&lt;=20000)</formula>
    </cfRule>
    <cfRule type="expression" dxfId="624" priority="3" stopIfTrue="1">
      <formula>AND(D20&gt;1000,D20&lt;=10000)</formula>
    </cfRule>
    <cfRule type="expression" dxfId="623" priority="4" stopIfTrue="1">
      <formula>AND(D20&gt;200,D20&lt;=1000)</formula>
    </cfRule>
    <cfRule type="expression" dxfId="622" priority="5" stopIfTrue="1">
      <formula>D20&lt;=200</formula>
    </cfRule>
  </conditionalFormatting>
  <conditionalFormatting sqref="E20:E27">
    <cfRule type="expression" dxfId="621" priority="11" stopIfTrue="1">
      <formula>E20&gt;=6.8%</formula>
    </cfRule>
    <cfRule type="expression" dxfId="620" priority="12" stopIfTrue="1">
      <formula>AND(E20&gt;0%,E20&lt;6.8%)</formula>
    </cfRule>
    <cfRule type="expression" dxfId="619" priority="13" stopIfTrue="1">
      <formula>E20=0%</formula>
    </cfRule>
    <cfRule type="expression" dxfId="618" priority="14" stopIfTrue="1">
      <formula>AND(E20&gt;-6.8%, E20&lt;0%)</formula>
    </cfRule>
    <cfRule type="expression" dxfId="617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872237-DA08-4B52-8D14-DDBCB3CADF6B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D5A14AB4-4355-4CB5-A62C-C9D8578DF3B8}">
          <x14:formula1>
            <xm:f>'Nơi chứ dữ liệu'!$I$2:$K$2</xm:f>
          </x14:formula1>
          <xm:sqref>N21:N27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D2063-A011-4F6D-A03C-9C430E591801}">
  <sheetPr codeName="Sheet28">
    <tabColor theme="5"/>
  </sheetPr>
  <dimension ref="A1:X39"/>
  <sheetViews>
    <sheetView topLeftCell="A5" zoomScaleNormal="100" workbookViewId="0">
      <selection activeCell="B20" sqref="B20:E39"/>
    </sheetView>
  </sheetViews>
  <sheetFormatPr defaultRowHeight="15" x14ac:dyDescent="0.2"/>
  <cols>
    <col min="1" max="1" width="8" customWidth="1"/>
    <col min="2" max="2" width="9.6640625" customWidth="1"/>
    <col min="3" max="3" width="12.77734375" customWidth="1"/>
    <col min="4" max="4" width="11.21875" customWidth="1"/>
    <col min="5" max="5" width="13.3320312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16.10937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"&amp;SUM($O$20:O27)&amp;" "&amp;"trên tổng"&amp;" "&amp;$O$19</f>
        <v>Tổng điểm nhóm BĐS hôm nay -4 trên tổng 20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8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10</v>
      </c>
      <c r="B16" s="189"/>
      <c r="C16" s="189"/>
      <c r="D16" s="189"/>
      <c r="E16" s="189"/>
      <c r="F16" s="190">
        <f>AVERAGE(E20:E39)</f>
        <v>1.4614000000000003E-3</v>
      </c>
      <c r="G16" s="191">
        <f>AVERAGE(F20:F39)</f>
        <v>0.53412190560800432</v>
      </c>
    </row>
    <row r="17" spans="1:24" ht="15.75" x14ac:dyDescent="0.2">
      <c r="A17" s="188" t="str">
        <f>"Tổng điểm tham chiếu nhóm BĐS hôm nay"&amp;" "&amp;(O19-(P19+Q19))</f>
        <v>Tổng điểm tham chiếu nhóm BĐS hôm nay 2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3087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3168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COUNT(O20:O39)</f>
        <v>20</v>
      </c>
      <c r="P19" s="158">
        <f>SUM(P20:P39)</f>
        <v>8</v>
      </c>
      <c r="Q19" s="158">
        <f>SUM(Q20:Q39)</f>
        <v>10</v>
      </c>
      <c r="T19" s="12" t="s">
        <v>1972</v>
      </c>
      <c r="U19" s="337">
        <v>-1.5842000000000002E-2</v>
      </c>
      <c r="V19" s="337">
        <v>0.15383344803854096</v>
      </c>
      <c r="X19"/>
    </row>
    <row r="20" spans="1:24" ht="15.75" customHeight="1" x14ac:dyDescent="0.2">
      <c r="A20" s="310" t="s">
        <v>3160</v>
      </c>
      <c r="B20" s="3" t="s">
        <v>140</v>
      </c>
      <c r="C20" s="101" cm="1">
        <f t="array" ref="C20:M20">tinh_du_lieu_cp(B20)</f>
        <v>8.7200000000000006</v>
      </c>
      <c r="D20" s="103">
        <v>1610.5</v>
      </c>
      <c r="E20" s="102">
        <v>-1.5800999999999999E-2</v>
      </c>
      <c r="F20" s="98">
        <v>0.92551426892183108</v>
      </c>
      <c r="G20" s="98">
        <v>1.012596899224806</v>
      </c>
      <c r="H20" s="98">
        <v>0.79742197428576145</v>
      </c>
      <c r="I20" s="93">
        <v>9.599027946537049E-2</v>
      </c>
      <c r="J20" s="101">
        <v>8.23</v>
      </c>
      <c r="K20" s="101">
        <v>9.02</v>
      </c>
      <c r="L20" s="93">
        <v>5.9538274605103303E-2</v>
      </c>
      <c r="M20" s="93">
        <v>-3.3259423503325829E-2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2" t="s">
        <v>140</v>
      </c>
      <c r="U20" s="337">
        <v>-1.5800999999999999E-2</v>
      </c>
      <c r="V20" s="337">
        <v>0.92551426892183108</v>
      </c>
    </row>
    <row r="21" spans="1:24" ht="15.75" customHeight="1" x14ac:dyDescent="0.2">
      <c r="A21" s="311"/>
      <c r="B21" s="3" t="s">
        <v>394</v>
      </c>
      <c r="C21" s="101" cm="1">
        <f t="array" ref="C21:M21">tinh_du_lieu_cp(B21)</f>
        <v>43.4</v>
      </c>
      <c r="D21" s="103">
        <v>522</v>
      </c>
      <c r="E21" s="102">
        <v>3.4680000000000002E-3</v>
      </c>
      <c r="F21" s="98">
        <v>0.72517854774849866</v>
      </c>
      <c r="G21" s="98">
        <v>1.0063442981286985</v>
      </c>
      <c r="H21" s="98">
        <v>0.71149477510222625</v>
      </c>
      <c r="I21" s="93">
        <v>0.22752808988764048</v>
      </c>
      <c r="J21" s="101">
        <v>35.6</v>
      </c>
      <c r="K21" s="101">
        <v>43.7</v>
      </c>
      <c r="L21" s="93">
        <v>0.21910112359550554</v>
      </c>
      <c r="M21" s="93">
        <v>-6.8649885583524995E-3</v>
      </c>
      <c r="N21" s="92"/>
      <c r="O21" s="92">
        <f t="shared" ref="O21:O24" si="0">IF(E21&gt;0,1,IF(E21=0,0,-1))</f>
        <v>1</v>
      </c>
      <c r="P21" s="92">
        <f t="shared" ref="P21:P35" si="1">IF(O21=1,1,0)</f>
        <v>1</v>
      </c>
      <c r="Q21" s="92">
        <f t="shared" ref="Q21:Q35" si="2">IF(O21&lt;0,1,0)</f>
        <v>0</v>
      </c>
      <c r="T21" s="12" t="s">
        <v>834</v>
      </c>
      <c r="U21" s="337">
        <v>-1.0591E-2</v>
      </c>
      <c r="V21" s="337">
        <v>0.45757477292535309</v>
      </c>
    </row>
    <row r="22" spans="1:24" ht="15.75" customHeight="1" x14ac:dyDescent="0.2">
      <c r="A22" s="311"/>
      <c r="B22" s="3" t="s">
        <v>452</v>
      </c>
      <c r="C22" s="101" cm="1">
        <f t="array" ref="C22:M22">tinh_du_lieu_cp(B22)</f>
        <v>120</v>
      </c>
      <c r="D22" s="103">
        <v>112.2</v>
      </c>
      <c r="E22" s="102">
        <v>3.3439999999999998E-3</v>
      </c>
      <c r="F22" s="98">
        <v>0.68616222827597706</v>
      </c>
      <c r="G22" s="98">
        <v>0.99783238815374908</v>
      </c>
      <c r="H22" s="98">
        <v>0.58205083866505281</v>
      </c>
      <c r="I22" s="93">
        <v>0.16822429906542052</v>
      </c>
      <c r="J22" s="101">
        <v>117.7</v>
      </c>
      <c r="K22" s="101">
        <v>137.5</v>
      </c>
      <c r="L22" s="93">
        <v>1.9541206457094284E-2</v>
      </c>
      <c r="M22" s="93">
        <v>-0.12727272727272726</v>
      </c>
      <c r="N22" s="92"/>
      <c r="O22" s="92">
        <f t="shared" si="0"/>
        <v>1</v>
      </c>
      <c r="P22" s="92">
        <f t="shared" si="1"/>
        <v>1</v>
      </c>
      <c r="Q22" s="92">
        <f t="shared" si="2"/>
        <v>0</v>
      </c>
      <c r="T22" s="12" t="s">
        <v>1220</v>
      </c>
      <c r="U22" s="337">
        <v>-7.3709999999999999E-3</v>
      </c>
      <c r="V22" s="337">
        <v>0.39993449066491971</v>
      </c>
    </row>
    <row r="23" spans="1:24" ht="15.75" customHeight="1" x14ac:dyDescent="0.2">
      <c r="A23" s="311"/>
      <c r="B23" s="3" t="s">
        <v>468</v>
      </c>
      <c r="C23" s="101" cm="1">
        <f t="array" ref="C23:M23">tinh_du_lieu_cp(B23)</f>
        <v>14.15</v>
      </c>
      <c r="D23" s="103">
        <v>7.8</v>
      </c>
      <c r="E23" s="102">
        <v>-3.5210000000000003E-3</v>
      </c>
      <c r="F23" s="98">
        <v>0.3994413407821229</v>
      </c>
      <c r="G23" s="98">
        <v>0.99289765198494717</v>
      </c>
      <c r="H23" s="98">
        <v>0.38297872340425532</v>
      </c>
      <c r="I23" s="93">
        <v>6.8345323741007144E-2</v>
      </c>
      <c r="J23" s="101">
        <v>13.9</v>
      </c>
      <c r="K23" s="101">
        <v>14.85</v>
      </c>
      <c r="L23" s="93">
        <v>1.7985611510791366E-2</v>
      </c>
      <c r="M23" s="93">
        <v>-4.713804713804709E-2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2759</v>
      </c>
      <c r="U23" s="337">
        <v>-6.8869999999999999E-3</v>
      </c>
      <c r="V23" s="337">
        <v>0.18396458435809152</v>
      </c>
    </row>
    <row r="24" spans="1:24" ht="15.75" customHeight="1" x14ac:dyDescent="0.2">
      <c r="A24" s="311"/>
      <c r="B24" s="3" t="s">
        <v>742</v>
      </c>
      <c r="C24" s="101" cm="1">
        <f t="array" ref="C24:M24">tinh_du_lieu_cp(B24)</f>
        <v>43.95</v>
      </c>
      <c r="D24" s="103">
        <v>829.4</v>
      </c>
      <c r="E24" s="102">
        <v>-5.6559999999999996E-3</v>
      </c>
      <c r="F24" s="98">
        <v>0.38954928182268445</v>
      </c>
      <c r="G24" s="98">
        <v>0.99366476782323487</v>
      </c>
      <c r="H24" s="98">
        <v>0.54727812603101289</v>
      </c>
      <c r="I24" s="93">
        <v>0.26329787234042551</v>
      </c>
      <c r="J24" s="101">
        <v>37.6</v>
      </c>
      <c r="K24" s="101">
        <v>47.5</v>
      </c>
      <c r="L24" s="93">
        <v>0.1688829787234043</v>
      </c>
      <c r="M24" s="93">
        <v>-7.4736842105263102E-2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742</v>
      </c>
      <c r="U24" s="337">
        <v>-5.6559999999999996E-3</v>
      </c>
      <c r="V24" s="337">
        <v>0.38954928182268445</v>
      </c>
    </row>
    <row r="25" spans="1:24" ht="15.75" customHeight="1" x14ac:dyDescent="0.2">
      <c r="A25" s="311"/>
      <c r="B25" s="3" t="s">
        <v>814</v>
      </c>
      <c r="C25" s="101">
        <f t="array" ref="C25:M25">tinh_du_lieu_cp(B25)</f>
        <v>35.450000000000003</v>
      </c>
      <c r="D25" s="103">
        <v>973.4</v>
      </c>
      <c r="E25" s="102">
        <v>-1.4080000000000002E-3</v>
      </c>
      <c r="F25" s="98">
        <v>0.46471678377827064</v>
      </c>
      <c r="G25" s="98">
        <v>1.0081269432829421</v>
      </c>
      <c r="H25" s="98">
        <v>0.50986931128706992</v>
      </c>
      <c r="I25" s="93">
        <v>0.14176829268292701</v>
      </c>
      <c r="J25" s="101">
        <v>32.799999999999997</v>
      </c>
      <c r="K25" s="101">
        <v>37.450000000000003</v>
      </c>
      <c r="L25" s="93">
        <v>8.0792682926829451E-2</v>
      </c>
      <c r="M25" s="93">
        <v>-5.3404539385847792E-2</v>
      </c>
      <c r="N25" s="92"/>
      <c r="O25" s="92">
        <f>IF(E25&gt;0,1,IF(E25=0,0,-1))</f>
        <v>-1</v>
      </c>
      <c r="P25" s="92">
        <f t="shared" si="1"/>
        <v>0</v>
      </c>
      <c r="Q25" s="92">
        <f t="shared" si="2"/>
        <v>1</v>
      </c>
      <c r="T25" s="12" t="s">
        <v>915</v>
      </c>
      <c r="U25" s="337">
        <v>-5.4269999999999995E-3</v>
      </c>
      <c r="V25" s="337">
        <v>0.40556930492268944</v>
      </c>
    </row>
    <row r="26" spans="1:24" ht="15.75" customHeight="1" x14ac:dyDescent="0.2">
      <c r="A26" s="311"/>
      <c r="B26" s="3" t="s">
        <v>834</v>
      </c>
      <c r="C26" s="101">
        <f t="array" ref="C26:M26">tinh_du_lieu_cp(B26)</f>
        <v>112.1</v>
      </c>
      <c r="D26" s="103">
        <v>684.9</v>
      </c>
      <c r="E26" s="102">
        <v>-1.0591E-2</v>
      </c>
      <c r="F26" s="98">
        <v>0.45757477292535309</v>
      </c>
      <c r="G26" s="98">
        <v>1.0129282393035035</v>
      </c>
      <c r="H26" s="98">
        <v>0.38668699186991867</v>
      </c>
      <c r="I26" s="93">
        <v>0.11632270168855541</v>
      </c>
      <c r="J26" s="101">
        <v>106.6</v>
      </c>
      <c r="K26" s="101">
        <v>119</v>
      </c>
      <c r="L26" s="93">
        <v>5.1594746716697941E-2</v>
      </c>
      <c r="M26" s="93">
        <v>-5.7983193277310975E-2</v>
      </c>
      <c r="N26" s="92"/>
      <c r="O26" s="92">
        <f t="shared" ref="O26:O35" si="3">IF(E26&gt;0,1,IF(E26=0,0,-1))</f>
        <v>-1</v>
      </c>
      <c r="P26" s="92">
        <f t="shared" si="1"/>
        <v>0</v>
      </c>
      <c r="Q26" s="92">
        <f t="shared" si="2"/>
        <v>1</v>
      </c>
      <c r="T26" s="12" t="s">
        <v>2611</v>
      </c>
      <c r="U26" s="337">
        <v>-3.8019999999999998E-3</v>
      </c>
      <c r="V26" s="337">
        <v>0.33157908449052964</v>
      </c>
    </row>
    <row r="27" spans="1:24" ht="15.75" customHeight="1" x14ac:dyDescent="0.2">
      <c r="A27" s="311"/>
      <c r="B27" s="3" t="s">
        <v>915</v>
      </c>
      <c r="C27" s="101">
        <f t="array" ref="C27:M27">tinh_du_lieu_cp(B27)</f>
        <v>36.65</v>
      </c>
      <c r="D27" s="103">
        <v>1477.1</v>
      </c>
      <c r="E27" s="102">
        <v>-5.4269999999999995E-3</v>
      </c>
      <c r="F27" s="98">
        <v>0.40556930492268944</v>
      </c>
      <c r="G27" s="98">
        <v>1.0226757369614512</v>
      </c>
      <c r="H27" s="98">
        <v>0.47724849490043186</v>
      </c>
      <c r="I27" s="93">
        <v>0.11044776119402994</v>
      </c>
      <c r="J27" s="101">
        <v>33.5</v>
      </c>
      <c r="K27" s="101">
        <v>37.200000000000003</v>
      </c>
      <c r="L27" s="93">
        <v>9.4029850746268615E-2</v>
      </c>
      <c r="M27" s="93">
        <v>-1.4784946236559253E-2</v>
      </c>
      <c r="N27" s="92"/>
      <c r="O27" s="92">
        <f t="shared" si="3"/>
        <v>-1</v>
      </c>
      <c r="P27" s="92">
        <f t="shared" si="1"/>
        <v>0</v>
      </c>
      <c r="Q27" s="92">
        <f t="shared" si="2"/>
        <v>1</v>
      </c>
      <c r="T27" s="12" t="s">
        <v>468</v>
      </c>
      <c r="U27" s="337">
        <v>-3.5210000000000003E-3</v>
      </c>
      <c r="V27" s="337">
        <v>0.3994413407821229</v>
      </c>
    </row>
    <row r="28" spans="1:24" x14ac:dyDescent="0.2">
      <c r="A28" s="311"/>
      <c r="B28" s="3" t="s">
        <v>919</v>
      </c>
      <c r="C28" s="101">
        <f t="array" ref="C28:M28">tinh_du_lieu_cp(B28)</f>
        <v>48.5</v>
      </c>
      <c r="D28" s="103">
        <v>780.5</v>
      </c>
      <c r="E28" s="102">
        <v>1.7838E-2</v>
      </c>
      <c r="F28" s="98">
        <v>0.75463654742023378</v>
      </c>
      <c r="G28" s="98">
        <v>1.0663150348217945</v>
      </c>
      <c r="H28" s="98">
        <v>0.72038395865060689</v>
      </c>
      <c r="I28" s="93">
        <v>0.31793478260869573</v>
      </c>
      <c r="J28" s="101">
        <v>36.799999999999997</v>
      </c>
      <c r="K28" s="101">
        <v>48.5</v>
      </c>
      <c r="L28" s="93">
        <v>0.31793478260869573</v>
      </c>
      <c r="M28" s="93">
        <v>0</v>
      </c>
      <c r="N28" s="92"/>
      <c r="O28" s="92">
        <f t="shared" si="3"/>
        <v>1</v>
      </c>
      <c r="P28" s="92">
        <f t="shared" si="1"/>
        <v>1</v>
      </c>
      <c r="Q28" s="92">
        <f t="shared" si="2"/>
        <v>0</v>
      </c>
      <c r="T28" s="12" t="s">
        <v>814</v>
      </c>
      <c r="U28" s="337">
        <v>-1.4080000000000002E-3</v>
      </c>
      <c r="V28" s="337">
        <v>0.46471678377827064</v>
      </c>
      <c r="W28" s="116"/>
    </row>
    <row r="29" spans="1:24" x14ac:dyDescent="0.2">
      <c r="A29" s="311"/>
      <c r="B29" s="3" t="s">
        <v>1177</v>
      </c>
      <c r="C29" s="101" cm="1">
        <f t="array" ref="C29:M29">tinh_du_lieu_cp(B29)</f>
        <v>33.35</v>
      </c>
      <c r="D29" s="103">
        <v>2016.5</v>
      </c>
      <c r="E29" s="102">
        <v>7.5529999999999998E-3</v>
      </c>
      <c r="F29" s="98">
        <v>0.6304705897400551</v>
      </c>
      <c r="G29" s="98">
        <v>1.062743369333627</v>
      </c>
      <c r="H29" s="98">
        <v>0.56385353509462799</v>
      </c>
      <c r="I29" s="93">
        <v>0.20360360360360355</v>
      </c>
      <c r="J29" s="101">
        <v>27.75</v>
      </c>
      <c r="K29" s="101">
        <v>33.4</v>
      </c>
      <c r="L29" s="93">
        <v>0.20180180180180185</v>
      </c>
      <c r="M29" s="93">
        <v>-1.497005988023867E-3</v>
      </c>
      <c r="N29" s="92"/>
      <c r="O29" s="92">
        <f t="shared" si="3"/>
        <v>1</v>
      </c>
      <c r="P29" s="92">
        <f t="shared" si="1"/>
        <v>1</v>
      </c>
      <c r="Q29" s="92">
        <f t="shared" si="2"/>
        <v>0</v>
      </c>
      <c r="T29" s="12" t="s">
        <v>1785</v>
      </c>
      <c r="U29" s="337">
        <v>0</v>
      </c>
      <c r="V29" s="337">
        <v>0.78530001054518606</v>
      </c>
      <c r="W29" s="116"/>
    </row>
    <row r="30" spans="1:24" x14ac:dyDescent="0.2">
      <c r="A30" s="311"/>
      <c r="B30" s="3" t="s">
        <v>1220</v>
      </c>
      <c r="C30" s="101">
        <f t="array" ref="C30:M30">tinh_du_lieu_cp(B30)</f>
        <v>8.08</v>
      </c>
      <c r="D30" s="103">
        <v>22.2</v>
      </c>
      <c r="E30" s="102">
        <v>-7.3709999999999999E-3</v>
      </c>
      <c r="F30" s="98">
        <v>0.39993449066491971</v>
      </c>
      <c r="G30" s="98">
        <v>0.99912841910060257</v>
      </c>
      <c r="H30" s="98">
        <v>0.35303472038165912</v>
      </c>
      <c r="I30" s="93">
        <v>0.1786600496277915</v>
      </c>
      <c r="J30" s="101">
        <v>8.06</v>
      </c>
      <c r="K30" s="101">
        <v>9.5</v>
      </c>
      <c r="L30" s="93">
        <v>2.4813895781637188E-3</v>
      </c>
      <c r="M30" s="93">
        <v>-0.14947368421052631</v>
      </c>
      <c r="N30" s="92"/>
      <c r="O30" s="92">
        <f t="shared" si="3"/>
        <v>-1</v>
      </c>
      <c r="P30" s="92">
        <f t="shared" si="1"/>
        <v>0</v>
      </c>
      <c r="Q30" s="92">
        <f t="shared" si="2"/>
        <v>1</v>
      </c>
      <c r="T30" s="12" t="s">
        <v>2155</v>
      </c>
      <c r="U30" s="337">
        <v>0</v>
      </c>
      <c r="V30" s="337">
        <v>0</v>
      </c>
      <c r="W30" s="116"/>
    </row>
    <row r="31" spans="1:24" x14ac:dyDescent="0.2">
      <c r="A31" s="311"/>
      <c r="B31" s="3" t="s">
        <v>1279</v>
      </c>
      <c r="C31" s="101">
        <f t="array" ref="C31:M31">tinh_du_lieu_cp(B31)</f>
        <v>4.63</v>
      </c>
      <c r="D31" s="103">
        <v>12.3</v>
      </c>
      <c r="E31" s="102">
        <v>6.522E-3</v>
      </c>
      <c r="F31" s="98">
        <v>0.19137199434229138</v>
      </c>
      <c r="G31" s="98">
        <v>1.0211155378486056</v>
      </c>
      <c r="H31" s="98">
        <v>0.2466577540106952</v>
      </c>
      <c r="I31" s="93">
        <v>8.9655172413793241E-2</v>
      </c>
      <c r="J31" s="101">
        <v>4.3499999999999996</v>
      </c>
      <c r="K31" s="101">
        <v>4.74</v>
      </c>
      <c r="L31" s="93">
        <v>6.4367816091954091E-2</v>
      </c>
      <c r="M31" s="93">
        <v>-2.3206751054852388E-2</v>
      </c>
      <c r="N31" s="92"/>
      <c r="O31" s="92">
        <f t="shared" si="3"/>
        <v>1</v>
      </c>
      <c r="P31" s="92">
        <f t="shared" si="1"/>
        <v>1</v>
      </c>
      <c r="Q31" s="92">
        <f t="shared" si="2"/>
        <v>0</v>
      </c>
      <c r="T31" s="12" t="s">
        <v>452</v>
      </c>
      <c r="U31" s="337">
        <v>3.3439999999999998E-3</v>
      </c>
      <c r="V31" s="337">
        <v>0.68616222827597706</v>
      </c>
      <c r="W31" s="116"/>
    </row>
    <row r="32" spans="1:24" x14ac:dyDescent="0.2">
      <c r="A32" s="311"/>
      <c r="B32" s="3" t="s">
        <v>1785</v>
      </c>
      <c r="C32" s="101">
        <f t="array" ref="C32:M32">tinh_du_lieu_cp(B32)</f>
        <v>13.15</v>
      </c>
      <c r="D32" s="103">
        <v>67.7</v>
      </c>
      <c r="E32" s="102">
        <v>0</v>
      </c>
      <c r="F32" s="98">
        <v>0.78530001054518606</v>
      </c>
      <c r="G32" s="98">
        <v>1.0015638575152042</v>
      </c>
      <c r="H32" s="98">
        <v>0.63767660910518054</v>
      </c>
      <c r="I32" s="93">
        <v>7.1428571428571452E-2</v>
      </c>
      <c r="J32" s="101">
        <v>12.6</v>
      </c>
      <c r="K32" s="101">
        <v>13.5</v>
      </c>
      <c r="L32" s="93">
        <v>4.3650793650793711E-2</v>
      </c>
      <c r="M32" s="93">
        <v>-2.5925925925925901E-2</v>
      </c>
      <c r="N32" s="92"/>
      <c r="O32" s="92">
        <f t="shared" si="3"/>
        <v>0</v>
      </c>
      <c r="P32" s="92">
        <f t="shared" si="1"/>
        <v>0</v>
      </c>
      <c r="Q32" s="92">
        <f t="shared" si="2"/>
        <v>0</v>
      </c>
      <c r="T32" s="12" t="s">
        <v>394</v>
      </c>
      <c r="U32" s="337">
        <v>3.4680000000000002E-3</v>
      </c>
      <c r="V32" s="337">
        <v>0.72517854774849866</v>
      </c>
      <c r="W32" s="116"/>
    </row>
    <row r="33" spans="1:23" x14ac:dyDescent="0.2">
      <c r="A33" s="311"/>
      <c r="B33" s="3" t="s">
        <v>1946</v>
      </c>
      <c r="C33" s="101">
        <f t="array" ref="C33:M33">tinh_du_lieu_cp(B33)</f>
        <v>66.2</v>
      </c>
      <c r="D33" s="103">
        <v>411.8</v>
      </c>
      <c r="E33" s="102">
        <v>3.4375000000000003E-2</v>
      </c>
      <c r="F33" s="98">
        <v>0.69809517938601906</v>
      </c>
      <c r="G33" s="98">
        <v>1.1262808448347967</v>
      </c>
      <c r="H33" s="98">
        <v>0.51529750359757243</v>
      </c>
      <c r="I33" s="93">
        <v>0.33199195171026152</v>
      </c>
      <c r="J33" s="101">
        <v>49.7</v>
      </c>
      <c r="K33" s="101">
        <v>66.2</v>
      </c>
      <c r="L33" s="93">
        <v>0.33199195171026152</v>
      </c>
      <c r="M33" s="93">
        <v>0</v>
      </c>
      <c r="N33" s="92"/>
      <c r="O33" s="92">
        <f t="shared" si="3"/>
        <v>1</v>
      </c>
      <c r="P33" s="92">
        <f t="shared" si="1"/>
        <v>1</v>
      </c>
      <c r="Q33" s="92">
        <f t="shared" si="2"/>
        <v>0</v>
      </c>
      <c r="T33" s="12" t="s">
        <v>1279</v>
      </c>
      <c r="U33" s="337">
        <v>6.522E-3</v>
      </c>
      <c r="V33" s="337">
        <v>0.19137199434229138</v>
      </c>
      <c r="W33" s="116"/>
    </row>
    <row r="34" spans="1:23" x14ac:dyDescent="0.2">
      <c r="A34" s="311"/>
      <c r="B34" s="3" t="s">
        <v>1972</v>
      </c>
      <c r="C34" s="101" cm="1">
        <f t="array" ref="C34:M34">tinh_du_lieu_cp(B34)</f>
        <v>4.97</v>
      </c>
      <c r="D34" s="103">
        <v>25.4</v>
      </c>
      <c r="E34" s="102">
        <v>-1.5842000000000002E-2</v>
      </c>
      <c r="F34" s="98">
        <v>0.15383344803854096</v>
      </c>
      <c r="G34" s="98">
        <v>0.9915539525097683</v>
      </c>
      <c r="H34" s="98">
        <v>0.58123569794050345</v>
      </c>
      <c r="I34" s="93">
        <v>0.16478555304740417</v>
      </c>
      <c r="J34" s="101">
        <v>4.43</v>
      </c>
      <c r="K34" s="101">
        <v>5.16</v>
      </c>
      <c r="L34" s="93">
        <v>0.12189616252821672</v>
      </c>
      <c r="M34" s="93">
        <v>-3.6821705426356661E-2</v>
      </c>
      <c r="N34" s="92"/>
      <c r="O34" s="92">
        <f t="shared" si="3"/>
        <v>-1</v>
      </c>
      <c r="P34" s="92">
        <f t="shared" si="1"/>
        <v>0</v>
      </c>
      <c r="Q34" s="92">
        <f t="shared" si="2"/>
        <v>1</v>
      </c>
      <c r="T34" s="12" t="s">
        <v>1177</v>
      </c>
      <c r="U34" s="337">
        <v>7.5529999999999998E-3</v>
      </c>
      <c r="V34" s="337">
        <v>0.6304705897400551</v>
      </c>
      <c r="W34" s="116"/>
    </row>
    <row r="35" spans="1:23" x14ac:dyDescent="0.2">
      <c r="A35" s="311"/>
      <c r="B35" s="3" t="s">
        <v>2155</v>
      </c>
      <c r="C35" s="101">
        <f t="array" ref="C35:M35">tinh_du_lieu_cp(B35)</f>
        <v>1.31</v>
      </c>
      <c r="D35" s="103">
        <v>0</v>
      </c>
      <c r="E35" s="102">
        <v>0</v>
      </c>
      <c r="F35" s="98" t="str">
        <v/>
      </c>
      <c r="G35" s="98">
        <v>1.0000000000000004</v>
      </c>
      <c r="H35" s="98" t="str">
        <v/>
      </c>
      <c r="I35" s="93">
        <v>0</v>
      </c>
      <c r="J35" s="101">
        <v>1.31</v>
      </c>
      <c r="K35" s="101">
        <v>1.31</v>
      </c>
      <c r="L35" s="93">
        <v>0</v>
      </c>
      <c r="M35" s="93">
        <v>0</v>
      </c>
      <c r="N35" s="92"/>
      <c r="O35" s="92">
        <f t="shared" si="3"/>
        <v>0</v>
      </c>
      <c r="P35" s="92">
        <f t="shared" si="1"/>
        <v>0</v>
      </c>
      <c r="Q35" s="92">
        <f t="shared" si="2"/>
        <v>0</v>
      </c>
      <c r="T35" s="12" t="s">
        <v>2603</v>
      </c>
      <c r="U35" s="337">
        <v>1.4252000000000001E-2</v>
      </c>
      <c r="V35" s="337">
        <v>0.19237410299871685</v>
      </c>
      <c r="W35" s="116"/>
    </row>
    <row r="36" spans="1:23" x14ac:dyDescent="0.2">
      <c r="A36" s="311"/>
      <c r="B36" s="3" t="s">
        <v>2589</v>
      </c>
      <c r="C36" s="101">
        <f t="array" ref="C36:M36">tinh_du_lieu_cp(B36)</f>
        <v>11.2</v>
      </c>
      <c r="D36" s="103">
        <v>4.4000000000000004</v>
      </c>
      <c r="E36" s="102">
        <v>1.8182E-2</v>
      </c>
      <c r="F36" s="98">
        <v>1.3730496453900709</v>
      </c>
      <c r="G36" s="98">
        <v>1.2082166199813258</v>
      </c>
      <c r="H36" s="98">
        <v>0.60550458715596323</v>
      </c>
      <c r="I36" s="93">
        <v>0.56206415620641559</v>
      </c>
      <c r="J36" s="101">
        <v>7.17</v>
      </c>
      <c r="K36" s="101">
        <v>11.2</v>
      </c>
      <c r="L36" s="93">
        <v>0.56206415620641559</v>
      </c>
      <c r="M36" s="93">
        <v>0</v>
      </c>
      <c r="N36" s="92"/>
      <c r="O36" s="92">
        <f t="shared" ref="O36:O39" si="4">IF(E36&gt;0,1,IF(E36=0,0,-1))</f>
        <v>1</v>
      </c>
      <c r="P36" s="92">
        <f t="shared" ref="P36:P39" si="5">IF(O36=1,1,0)</f>
        <v>1</v>
      </c>
      <c r="Q36" s="92">
        <f t="shared" ref="Q36:Q39" si="6">IF(O36&lt;0,1,0)</f>
        <v>0</v>
      </c>
      <c r="T36" s="12" t="s">
        <v>919</v>
      </c>
      <c r="U36" s="337">
        <v>1.7838E-2</v>
      </c>
      <c r="V36" s="337">
        <v>0.75463654742023378</v>
      </c>
      <c r="W36" s="116"/>
    </row>
    <row r="37" spans="1:23" x14ac:dyDescent="0.2">
      <c r="A37" s="311"/>
      <c r="B37" s="3" t="s">
        <v>2603</v>
      </c>
      <c r="C37" s="101">
        <f t="array" ref="C37:M37">tinh_du_lieu_cp(B37)</f>
        <v>85.4</v>
      </c>
      <c r="D37" s="103">
        <v>55.2</v>
      </c>
      <c r="E37" s="102">
        <v>1.4252000000000001E-2</v>
      </c>
      <c r="F37" s="98">
        <v>0.19237410299871685</v>
      </c>
      <c r="G37" s="98">
        <v>1.0728160919540228</v>
      </c>
      <c r="H37" s="98">
        <v>0.28638132295719843</v>
      </c>
      <c r="I37" s="93">
        <v>0.73069306930693079</v>
      </c>
      <c r="J37" s="101">
        <v>50.5</v>
      </c>
      <c r="K37" s="101">
        <v>87.4</v>
      </c>
      <c r="L37" s="93">
        <v>0.69108910891089115</v>
      </c>
      <c r="M37" s="93">
        <v>-2.2883295194508008E-2</v>
      </c>
      <c r="N37" s="92"/>
      <c r="O37" s="92">
        <f t="shared" si="4"/>
        <v>1</v>
      </c>
      <c r="P37" s="92">
        <f t="shared" si="5"/>
        <v>1</v>
      </c>
      <c r="Q37" s="92">
        <f t="shared" si="6"/>
        <v>0</v>
      </c>
      <c r="T37" s="12" t="s">
        <v>2589</v>
      </c>
      <c r="U37" s="337">
        <v>1.8182E-2</v>
      </c>
      <c r="V37" s="337">
        <v>1.3730496453900709</v>
      </c>
    </row>
    <row r="38" spans="1:23" x14ac:dyDescent="0.2">
      <c r="A38" s="311"/>
      <c r="B38" s="3" t="s">
        <v>2611</v>
      </c>
      <c r="C38" s="101">
        <f t="array" ref="C38:M38">tinh_du_lieu_cp(B38)</f>
        <v>2.62</v>
      </c>
      <c r="D38" s="103">
        <v>115.7</v>
      </c>
      <c r="E38" s="102">
        <v>-3.8019999999999998E-3</v>
      </c>
      <c r="F38" s="98">
        <v>0.33157908449052964</v>
      </c>
      <c r="G38" s="98">
        <v>1.014211660550993</v>
      </c>
      <c r="H38" s="98">
        <v>0.37449425473377568</v>
      </c>
      <c r="I38" s="93">
        <v>0.15879828326180262</v>
      </c>
      <c r="J38" s="101">
        <v>2.33</v>
      </c>
      <c r="K38" s="101">
        <v>2.7</v>
      </c>
      <c r="L38" s="93">
        <v>0.12446351931330474</v>
      </c>
      <c r="M38" s="93">
        <v>-2.9629629629629655E-2</v>
      </c>
      <c r="N38" s="92"/>
      <c r="O38" s="92">
        <f t="shared" si="4"/>
        <v>-1</v>
      </c>
      <c r="P38" s="92">
        <f t="shared" si="5"/>
        <v>0</v>
      </c>
      <c r="Q38" s="92">
        <f t="shared" si="6"/>
        <v>1</v>
      </c>
      <c r="T38" s="12" t="s">
        <v>1946</v>
      </c>
      <c r="U38" s="337">
        <v>3.4375000000000003E-2</v>
      </c>
      <c r="V38" s="337">
        <v>0.69809517938601906</v>
      </c>
    </row>
    <row r="39" spans="1:23" x14ac:dyDescent="0.2">
      <c r="A39" s="311"/>
      <c r="B39" s="3" t="s">
        <v>2759</v>
      </c>
      <c r="C39" s="101">
        <f t="array" ref="C39:M39">tinh_du_lieu_cp(B39)</f>
        <v>72.099999999999994</v>
      </c>
      <c r="D39" s="103">
        <v>6.8</v>
      </c>
      <c r="E39" s="102">
        <v>-6.8869999999999999E-3</v>
      </c>
      <c r="F39" s="98">
        <v>0.18396458435809152</v>
      </c>
      <c r="G39" s="98">
        <v>0.97060800488848153</v>
      </c>
      <c r="H39" s="98">
        <v>0.15590370653419947</v>
      </c>
      <c r="I39" s="93">
        <v>0.20617110799438995</v>
      </c>
      <c r="J39" s="101">
        <v>71.3</v>
      </c>
      <c r="K39" s="101">
        <v>86</v>
      </c>
      <c r="L39" s="93">
        <v>1.1220196353436145E-2</v>
      </c>
      <c r="M39" s="93">
        <v>-0.16162790697674426</v>
      </c>
      <c r="N39" s="92"/>
      <c r="O39" s="92">
        <f t="shared" si="4"/>
        <v>-1</v>
      </c>
      <c r="P39" s="92">
        <f t="shared" si="5"/>
        <v>0</v>
      </c>
      <c r="Q39" s="92">
        <f t="shared" si="6"/>
        <v>1</v>
      </c>
      <c r="T39" s="12" t="s">
        <v>3051</v>
      </c>
      <c r="U39" s="337">
        <v>2.9228000000000007E-2</v>
      </c>
      <c r="V39" s="337">
        <v>10.148316206552082</v>
      </c>
    </row>
  </sheetData>
  <mergeCells count="16">
    <mergeCell ref="N18:N19"/>
    <mergeCell ref="A20:A39"/>
    <mergeCell ref="H18:H19"/>
    <mergeCell ref="I18:I19"/>
    <mergeCell ref="J18:J19"/>
    <mergeCell ref="K18:K19"/>
    <mergeCell ref="L18:L19"/>
    <mergeCell ref="M18:M19"/>
    <mergeCell ref="F14:G14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615" priority="122" stopIfTrue="1">
      <formula>A14="giảm"</formula>
    </cfRule>
    <cfRule type="expression" dxfId="614" priority="123" stopIfTrue="1">
      <formula>A14="tăng"</formula>
    </cfRule>
  </conditionalFormatting>
  <conditionalFormatting sqref="O25">
    <cfRule type="expression" dxfId="613" priority="120" stopIfTrue="1">
      <formula>O25="giảm"</formula>
    </cfRule>
    <cfRule type="expression" dxfId="612" priority="121" stopIfTrue="1">
      <formula>O25="tăng"</formula>
    </cfRule>
  </conditionalFormatting>
  <conditionalFormatting sqref="G21:G24 G26:G34 G36:G39">
    <cfRule type="expression" dxfId="611" priority="116" stopIfTrue="1">
      <formula>G21&gt;2</formula>
    </cfRule>
    <cfRule type="expression" dxfId="610" priority="117" stopIfTrue="1">
      <formula>AND(G21&gt;0.5, G21&lt;1)</formula>
    </cfRule>
    <cfRule type="expression" dxfId="609" priority="118" stopIfTrue="1">
      <formula>G21&lt;=0.5</formula>
    </cfRule>
    <cfRule type="expression" dxfId="608" priority="119" stopIfTrue="1">
      <formula>AND(G21&gt;=1,G21&lt;2)</formula>
    </cfRule>
  </conditionalFormatting>
  <conditionalFormatting sqref="G25">
    <cfRule type="expression" dxfId="607" priority="112" stopIfTrue="1">
      <formula>G25&gt;2</formula>
    </cfRule>
    <cfRule type="expression" dxfId="606" priority="113" stopIfTrue="1">
      <formula>AND(G25&gt;0.5, G25&lt;1)</formula>
    </cfRule>
    <cfRule type="expression" dxfId="605" priority="114" stopIfTrue="1">
      <formula>G25&lt;=0.5</formula>
    </cfRule>
    <cfRule type="expression" dxfId="604" priority="115" stopIfTrue="1">
      <formula>AND(G25&gt;=1,G25&lt;2)</formula>
    </cfRule>
  </conditionalFormatting>
  <conditionalFormatting sqref="H21:H24 H26:H34 H36:H39">
    <cfRule type="expression" dxfId="603" priority="108" stopIfTrue="1">
      <formula>H21&gt;=2</formula>
    </cfRule>
    <cfRule type="expression" dxfId="602" priority="109" stopIfTrue="1">
      <formula>AND(H21&gt;=1,H21&lt;2)</formula>
    </cfRule>
    <cfRule type="expression" dxfId="601" priority="110" stopIfTrue="1">
      <formula>AND(H21&gt;0.5, H21&lt;1)</formula>
    </cfRule>
    <cfRule type="expression" dxfId="600" priority="111" stopIfTrue="1">
      <formula>H21&lt;=0.5</formula>
    </cfRule>
  </conditionalFormatting>
  <conditionalFormatting sqref="H25">
    <cfRule type="expression" dxfId="599" priority="104" stopIfTrue="1">
      <formula>H25&gt;=2</formula>
    </cfRule>
    <cfRule type="expression" dxfId="598" priority="105" stopIfTrue="1">
      <formula>AND(H25&gt;=1,H25&lt;2)</formula>
    </cfRule>
    <cfRule type="expression" dxfId="597" priority="106" stopIfTrue="1">
      <formula>AND(H25&gt;0.5, H25&lt;1)</formula>
    </cfRule>
    <cfRule type="expression" dxfId="596" priority="107" stopIfTrue="1">
      <formula>H25&lt;=0.5</formula>
    </cfRule>
  </conditionalFormatting>
  <conditionalFormatting sqref="H21:H34 H36:H39">
    <cfRule type="expression" dxfId="595" priority="94" stopIfTrue="1">
      <formula>H21&gt;=2</formula>
    </cfRule>
    <cfRule type="expression" dxfId="594" priority="95" stopIfTrue="1">
      <formula>AND(H21&gt;=1,H21&lt;2)</formula>
    </cfRule>
    <cfRule type="expression" dxfId="593" priority="96" stopIfTrue="1">
      <formula>AND(H21&gt;0.5, H21&lt;1)</formula>
    </cfRule>
    <cfRule type="expression" dxfId="592" priority="97" stopIfTrue="1">
      <formula>H21&lt;=0.5</formula>
    </cfRule>
    <cfRule type="expression" dxfId="591" priority="98" stopIfTrue="1">
      <formula>H21&gt;=2</formula>
    </cfRule>
  </conditionalFormatting>
  <conditionalFormatting sqref="G21:G34 G36:G39">
    <cfRule type="expression" dxfId="590" priority="99" stopIfTrue="1">
      <formula>G21&gt;2</formula>
    </cfRule>
    <cfRule type="expression" dxfId="589" priority="100" stopIfTrue="1">
      <formula>AND(G21&gt;0.5, G21&lt;1)</formula>
    </cfRule>
    <cfRule type="expression" dxfId="588" priority="101" stopIfTrue="1">
      <formula>G21&lt;=0.5</formula>
    </cfRule>
    <cfRule type="expression" dxfId="587" priority="102" stopIfTrue="1">
      <formula>AND(G21&gt;=1,G21&lt;2)</formula>
    </cfRule>
    <cfRule type="expression" dxfId="586" priority="103" stopIfTrue="1">
      <formula>G21&gt;2</formula>
    </cfRule>
  </conditionalFormatting>
  <conditionalFormatting sqref="F20:H39">
    <cfRule type="expression" dxfId="585" priority="89" stopIfTrue="1">
      <formula>F20&lt;0</formula>
    </cfRule>
    <cfRule type="expression" dxfId="584" priority="90" stopIfTrue="1">
      <formula>F20=1</formula>
    </cfRule>
    <cfRule type="expression" dxfId="583" priority="91" stopIfTrue="1">
      <formula>AND(F20&lt;1,F20&gt;0)</formula>
    </cfRule>
    <cfRule type="expression" dxfId="582" priority="92" stopIfTrue="1">
      <formula>AND(F20&lt;2,F20&gt;1)</formula>
    </cfRule>
    <cfRule type="expression" dxfId="581" priority="93" stopIfTrue="1">
      <formula>F20&gt;=2</formula>
    </cfRule>
  </conditionalFormatting>
  <conditionalFormatting sqref="C3:C7">
    <cfRule type="expression" dxfId="580" priority="63" stopIfTrue="1">
      <formula>H3="giảm"</formula>
    </cfRule>
    <cfRule type="expression" dxfId="579" priority="64" stopIfTrue="1">
      <formula>H3="tăng"</formula>
    </cfRule>
  </conditionalFormatting>
  <conditionalFormatting sqref="H3:H7">
    <cfRule type="expression" dxfId="578" priority="61" stopIfTrue="1">
      <formula>H3="giảm"</formula>
    </cfRule>
    <cfRule type="expression" dxfId="577" priority="62" stopIfTrue="1">
      <formula>H3="tăng"</formula>
    </cfRule>
  </conditionalFormatting>
  <conditionalFormatting sqref="B3:B7">
    <cfRule type="expression" dxfId="576" priority="65" stopIfTrue="1">
      <formula>H3="giảm"</formula>
    </cfRule>
    <cfRule type="expression" dxfId="575" priority="66" stopIfTrue="1">
      <formula>H3="tăng"</formula>
    </cfRule>
  </conditionalFormatting>
  <conditionalFormatting sqref="A3:A7">
    <cfRule type="expression" dxfId="574" priority="67" stopIfTrue="1">
      <formula>H3="giảm"</formula>
    </cfRule>
    <cfRule type="expression" dxfId="573" priority="68" stopIfTrue="1">
      <formula>H3="tăng"</formula>
    </cfRule>
  </conditionalFormatting>
  <conditionalFormatting sqref="G3:G7">
    <cfRule type="expression" dxfId="572" priority="58" stopIfTrue="1">
      <formula>G3=0</formula>
    </cfRule>
    <cfRule type="expression" dxfId="571" priority="59" stopIfTrue="1">
      <formula>G3&lt;0</formula>
    </cfRule>
    <cfRule type="expression" dxfId="570" priority="60" stopIfTrue="1">
      <formula>G3&gt;0</formula>
    </cfRule>
  </conditionalFormatting>
  <conditionalFormatting sqref="E3:E7">
    <cfRule type="expression" dxfId="569" priority="56" stopIfTrue="1">
      <formula>H3="tăng"</formula>
    </cfRule>
    <cfRule type="expression" dxfId="568" priority="57" stopIfTrue="1">
      <formula>H3="giảm"</formula>
    </cfRule>
  </conditionalFormatting>
  <conditionalFormatting sqref="F3:F7">
    <cfRule type="expression" dxfId="567" priority="54" stopIfTrue="1">
      <formula>H3="tăng"</formula>
    </cfRule>
    <cfRule type="expression" dxfId="566" priority="55" stopIfTrue="1">
      <formula>H3="giảm"</formula>
    </cfRule>
  </conditionalFormatting>
  <conditionalFormatting sqref="D3:D7">
    <cfRule type="expression" dxfId="565" priority="52" stopIfTrue="1">
      <formula>H3="giảm"</formula>
    </cfRule>
    <cfRule type="expression" dxfId="564" priority="53" stopIfTrue="1">
      <formula>H3="tăng"</formula>
    </cfRule>
  </conditionalFormatting>
  <conditionalFormatting sqref="G33:G34">
    <cfRule type="expression" dxfId="563" priority="48" stopIfTrue="1">
      <formula>G33&gt;2</formula>
    </cfRule>
    <cfRule type="expression" dxfId="562" priority="49" stopIfTrue="1">
      <formula>AND(G33&gt;0.5, G33&lt;1)</formula>
    </cfRule>
    <cfRule type="expression" dxfId="561" priority="50" stopIfTrue="1">
      <formula>G33&lt;=0.5</formula>
    </cfRule>
    <cfRule type="expression" dxfId="560" priority="51" stopIfTrue="1">
      <formula>AND(G33&gt;=1,G33&lt;2)</formula>
    </cfRule>
  </conditionalFormatting>
  <conditionalFormatting sqref="G32">
    <cfRule type="expression" dxfId="559" priority="44" stopIfTrue="1">
      <formula>G32&gt;2</formula>
    </cfRule>
    <cfRule type="expression" dxfId="558" priority="45" stopIfTrue="1">
      <formula>AND(G32&gt;0.5, G32&lt;1)</formula>
    </cfRule>
    <cfRule type="expression" dxfId="557" priority="46" stopIfTrue="1">
      <formula>G32&lt;=0.5</formula>
    </cfRule>
    <cfRule type="expression" dxfId="556" priority="47" stopIfTrue="1">
      <formula>AND(G32&gt;=1,G32&lt;2)</formula>
    </cfRule>
  </conditionalFormatting>
  <conditionalFormatting sqref="H33:H34">
    <cfRule type="expression" dxfId="555" priority="40" stopIfTrue="1">
      <formula>H33&gt;=2</formula>
    </cfRule>
    <cfRule type="expression" dxfId="554" priority="41" stopIfTrue="1">
      <formula>AND(H33&gt;=1,H33&lt;2)</formula>
    </cfRule>
    <cfRule type="expression" dxfId="553" priority="42" stopIfTrue="1">
      <formula>AND(H33&gt;0.5, H33&lt;1)</formula>
    </cfRule>
    <cfRule type="expression" dxfId="552" priority="43" stopIfTrue="1">
      <formula>H33&lt;=0.5</formula>
    </cfRule>
  </conditionalFormatting>
  <conditionalFormatting sqref="H32">
    <cfRule type="expression" dxfId="551" priority="36" stopIfTrue="1">
      <formula>H32&gt;=2</formula>
    </cfRule>
    <cfRule type="expression" dxfId="550" priority="37" stopIfTrue="1">
      <formula>AND(H32&gt;=1,H32&lt;2)</formula>
    </cfRule>
    <cfRule type="expression" dxfId="549" priority="38" stopIfTrue="1">
      <formula>AND(H32&gt;0.5, H32&lt;1)</formula>
    </cfRule>
    <cfRule type="expression" dxfId="548" priority="39" stopIfTrue="1">
      <formula>H32&lt;=0.5</formula>
    </cfRule>
  </conditionalFormatting>
  <conditionalFormatting sqref="I20:I39">
    <cfRule type="colorScale" priority="17958">
      <colorScale>
        <cfvo type="min"/>
        <cfvo type="max"/>
        <color theme="0" tint="-4.9989318521683403E-2"/>
        <color rgb="FF00B050"/>
      </colorScale>
    </cfRule>
  </conditionalFormatting>
  <conditionalFormatting sqref="L20:L39">
    <cfRule type="colorScale" priority="17960">
      <colorScale>
        <cfvo type="min"/>
        <cfvo type="max"/>
        <color theme="0" tint="-4.9989318521683403E-2"/>
        <color rgb="FF00B050"/>
      </colorScale>
    </cfRule>
  </conditionalFormatting>
  <conditionalFormatting sqref="M20:M39">
    <cfRule type="colorScale" priority="17962">
      <colorScale>
        <cfvo type="min"/>
        <cfvo type="max"/>
        <color rgb="FFFF7C80"/>
        <color theme="0" tint="-4.9989318521683403E-2"/>
      </colorScale>
    </cfRule>
  </conditionalFormatting>
  <conditionalFormatting sqref="C20:C39">
    <cfRule type="expression" dxfId="547" priority="6" stopIfTrue="1">
      <formula>E20&gt;=6.8%</formula>
    </cfRule>
    <cfRule type="expression" dxfId="546" priority="7" stopIfTrue="1">
      <formula>AND(E20&gt;0%,E20&lt;6.8%)</formula>
    </cfRule>
    <cfRule type="expression" dxfId="545" priority="8" stopIfTrue="1">
      <formula>E20=0%</formula>
    </cfRule>
    <cfRule type="expression" dxfId="544" priority="9" stopIfTrue="1">
      <formula>AND(E20&gt;-6.8%, E20&lt;0%)</formula>
    </cfRule>
    <cfRule type="expression" dxfId="543" priority="10" stopIfTrue="1">
      <formula>E20&lt;=-6.8%</formula>
    </cfRule>
  </conditionalFormatting>
  <conditionalFormatting sqref="B20:B39">
    <cfRule type="expression" dxfId="542" priority="16" stopIfTrue="1">
      <formula>E20&gt;=6.8%</formula>
    </cfRule>
    <cfRule type="expression" dxfId="541" priority="17" stopIfTrue="1">
      <formula>AND(E20&gt;0%,E20&lt;6.8%)</formula>
    </cfRule>
    <cfRule type="expression" dxfId="540" priority="18" stopIfTrue="1">
      <formula>E20=0%</formula>
    </cfRule>
    <cfRule type="expression" dxfId="539" priority="19" stopIfTrue="1">
      <formula>AND(E20&gt;-6.8%, E20&lt;0%)</formula>
    </cfRule>
    <cfRule type="expression" dxfId="538" priority="20" stopIfTrue="1">
      <formula>E20&lt;=-6.8%</formula>
    </cfRule>
  </conditionalFormatting>
  <conditionalFormatting sqref="D20:D39">
    <cfRule type="expression" dxfId="537" priority="1" stopIfTrue="1">
      <formula>D20&gt;20000</formula>
    </cfRule>
    <cfRule type="expression" dxfId="536" priority="2" stopIfTrue="1">
      <formula>AND(D20&gt;10000,D20&lt;=20000)</formula>
    </cfRule>
    <cfRule type="expression" dxfId="535" priority="3" stopIfTrue="1">
      <formula>AND(D20&gt;1000,D20&lt;=10000)</formula>
    </cfRule>
    <cfRule type="expression" dxfId="534" priority="4" stopIfTrue="1">
      <formula>AND(D20&gt;200,D20&lt;=1000)</formula>
    </cfRule>
    <cfRule type="expression" dxfId="533" priority="5" stopIfTrue="1">
      <formula>D20&lt;=200</formula>
    </cfRule>
  </conditionalFormatting>
  <conditionalFormatting sqref="E20:E39">
    <cfRule type="expression" dxfId="532" priority="11" stopIfTrue="1">
      <formula>E20&gt;=6.8%</formula>
    </cfRule>
    <cfRule type="expression" dxfId="531" priority="12" stopIfTrue="1">
      <formula>AND(E20&gt;0%,E20&lt;6.8%)</formula>
    </cfRule>
    <cfRule type="expression" dxfId="530" priority="13" stopIfTrue="1">
      <formula>E20=0%</formula>
    </cfRule>
    <cfRule type="expression" dxfId="529" priority="14" stopIfTrue="1">
      <formula>AND(E20&gt;-6.8%, E20&lt;0%)</formula>
    </cfRule>
    <cfRule type="expression" dxfId="528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67610E-7AE6-4C3B-B68F-3A532225A233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6393C4CE-FE3A-42F3-8B53-AAE62A06D0BC}">
          <x14:formula1>
            <xm:f>'Nơi chứ dữ liệu'!$I$2:$K$2</xm:f>
          </x14:formula1>
          <xm:sqref>N21:N39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11849-9A48-4A31-B576-ACD25683DAF8}">
  <sheetPr codeName="Sheet26">
    <tabColor theme="6"/>
  </sheetPr>
  <dimension ref="A1:X37"/>
  <sheetViews>
    <sheetView zoomScaleNormal="100" workbookViewId="0">
      <selection activeCell="B20" sqref="B20:E27"/>
    </sheetView>
  </sheetViews>
  <sheetFormatPr defaultRowHeight="15" x14ac:dyDescent="0.2"/>
  <cols>
    <col min="1" max="1" width="8" customWidth="1"/>
    <col min="2" max="2" width="9.6640625" customWidth="1"/>
    <col min="3" max="3" width="11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"&amp;SUM($O$20:O27)&amp;" "&amp;"trên tổng"&amp;" "&amp;$O$19</f>
        <v>Tổng điểm nhóm BĐS hôm nay -4 trên tổng 8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1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5</v>
      </c>
      <c r="B16" s="194"/>
      <c r="C16" s="189"/>
      <c r="D16" s="189"/>
      <c r="E16" s="189"/>
      <c r="F16" s="195">
        <f>AVERAGE(E20:E27)</f>
        <v>-4.928875000000001E-3</v>
      </c>
      <c r="G16" s="191">
        <f>AVERAGE(F20:F27)</f>
        <v>0.26116520016752648</v>
      </c>
    </row>
    <row r="17" spans="1:24" ht="15.75" x14ac:dyDescent="0.2">
      <c r="A17" s="188" t="str">
        <f>"Tổng điểm tham chiếu nhóm BĐS hôm nay"&amp;" "&amp;(O19-(P19+Q19))</f>
        <v>Tổng điểm tham chiếu nhóm BĐS hôm nay 2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3087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COUNT(O20:O27)</f>
        <v>8</v>
      </c>
      <c r="P19" s="158">
        <f>SUM(P20:P27)</f>
        <v>1</v>
      </c>
      <c r="Q19" s="158">
        <f>SUM(Q20:Q27)</f>
        <v>5</v>
      </c>
      <c r="T19" s="12" t="s">
        <v>1474</v>
      </c>
      <c r="U19" s="115">
        <v>-1.7391E-2</v>
      </c>
      <c r="V19" s="337">
        <v>0.58036236479040582</v>
      </c>
      <c r="X19"/>
    </row>
    <row r="20" spans="1:24" ht="15.75" customHeight="1" x14ac:dyDescent="0.2">
      <c r="A20" s="312" t="s">
        <v>3089</v>
      </c>
      <c r="B20" s="3" t="s">
        <v>797</v>
      </c>
      <c r="C20" s="101" cm="1">
        <f t="array" ref="C20:M20">tinh_du_lieu_cp(B20)</f>
        <v>58.1</v>
      </c>
      <c r="D20" s="103">
        <v>67.8</v>
      </c>
      <c r="E20" s="102">
        <v>-5.1370000000000001E-3</v>
      </c>
      <c r="F20" s="98">
        <v>0.16999840441293795</v>
      </c>
      <c r="G20" s="98">
        <v>0.99090698928874132</v>
      </c>
      <c r="H20" s="98">
        <v>0.14359336392516767</v>
      </c>
      <c r="I20" s="93">
        <v>9.347442680776008E-2</v>
      </c>
      <c r="J20" s="101">
        <v>56.7</v>
      </c>
      <c r="K20" s="101">
        <v>62</v>
      </c>
      <c r="L20" s="93">
        <v>2.4691358024691332E-2</v>
      </c>
      <c r="M20" s="93">
        <v>-6.2903225806451593E-2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2" t="s">
        <v>1446</v>
      </c>
      <c r="U20" s="115">
        <v>-7.3839999999999991E-3</v>
      </c>
      <c r="V20" s="337">
        <v>0.44278005031591477</v>
      </c>
    </row>
    <row r="21" spans="1:24" ht="15.75" customHeight="1" x14ac:dyDescent="0.2">
      <c r="A21" s="312"/>
      <c r="B21" s="3" t="s">
        <v>801</v>
      </c>
      <c r="C21" s="101">
        <f t="array" ref="C21:M21">tinh_du_lieu_cp(B21)</f>
        <v>12.3</v>
      </c>
      <c r="D21" s="103">
        <v>0</v>
      </c>
      <c r="E21" s="102">
        <v>0</v>
      </c>
      <c r="F21" s="98">
        <v>0</v>
      </c>
      <c r="G21" s="98">
        <v>0.9988199490714863</v>
      </c>
      <c r="H21" s="98">
        <v>0</v>
      </c>
      <c r="I21" s="93">
        <v>6.7226890756302435E-2</v>
      </c>
      <c r="J21" s="101">
        <v>11.9</v>
      </c>
      <c r="K21" s="101">
        <v>12.7</v>
      </c>
      <c r="L21" s="93">
        <v>3.3613445378151287E-2</v>
      </c>
      <c r="M21" s="93">
        <v>-3.1496062992125873E-2</v>
      </c>
      <c r="N21" s="92"/>
      <c r="O21" s="92">
        <f t="shared" ref="O21:O25" si="0">IF(E21&gt;0,1,IF(E21=0,0,-1))</f>
        <v>0</v>
      </c>
      <c r="P21" s="92">
        <f t="shared" ref="P21:P27" si="1">IF(O21=1,1,0)</f>
        <v>0</v>
      </c>
      <c r="Q21" s="92">
        <f t="shared" ref="Q21:Q27" si="2">IF(O21&lt;0,1,0)</f>
        <v>0</v>
      </c>
      <c r="T21" s="12" t="s">
        <v>812</v>
      </c>
      <c r="U21" s="115">
        <v>-6.2370000000000004E-3</v>
      </c>
      <c r="V21" s="337">
        <v>0.45536246868413727</v>
      </c>
    </row>
    <row r="22" spans="1:24" ht="15.75" customHeight="1" x14ac:dyDescent="0.2">
      <c r="A22" s="312"/>
      <c r="B22" s="3" t="s">
        <v>812</v>
      </c>
      <c r="C22" s="101">
        <f t="array" ref="C22:M22">tinh_du_lieu_cp(B22)</f>
        <v>23.9</v>
      </c>
      <c r="D22" s="103">
        <v>208.2</v>
      </c>
      <c r="E22" s="102">
        <v>-6.2370000000000004E-3</v>
      </c>
      <c r="F22" s="98">
        <v>0.45536246868413727</v>
      </c>
      <c r="G22" s="98">
        <v>0.97367855278110493</v>
      </c>
      <c r="H22" s="98">
        <v>0.8586157124200976</v>
      </c>
      <c r="I22" s="93">
        <v>0.17647058823529407</v>
      </c>
      <c r="J22" s="101">
        <v>23.8</v>
      </c>
      <c r="K22" s="101">
        <v>28</v>
      </c>
      <c r="L22" s="93">
        <v>4.201680672268818E-3</v>
      </c>
      <c r="M22" s="93">
        <v>-0.14642857142857149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2567</v>
      </c>
      <c r="U22" s="115">
        <v>-5.2490000000000002E-3</v>
      </c>
      <c r="V22" s="337">
        <v>0.29515406708811864</v>
      </c>
    </row>
    <row r="23" spans="1:24" ht="15.75" customHeight="1" x14ac:dyDescent="0.2">
      <c r="A23" s="312"/>
      <c r="B23" s="3" t="s">
        <v>847</v>
      </c>
      <c r="C23" s="101">
        <f t="array" ref="C23:M23">tinh_du_lieu_cp(B23)</f>
        <v>101.9</v>
      </c>
      <c r="D23" s="103">
        <v>3.1</v>
      </c>
      <c r="E23" s="102">
        <v>1.967E-3</v>
      </c>
      <c r="F23" s="98">
        <v>0.14566424604869715</v>
      </c>
      <c r="G23" s="98">
        <v>1.0023495256053396</v>
      </c>
      <c r="H23" s="98">
        <v>0.27886056971514245</v>
      </c>
      <c r="I23" s="93">
        <v>0.11799999999999997</v>
      </c>
      <c r="J23" s="101">
        <v>100</v>
      </c>
      <c r="K23" s="101">
        <v>111.8</v>
      </c>
      <c r="L23" s="93">
        <v>1.9000000000000059E-2</v>
      </c>
      <c r="M23" s="93">
        <v>-8.8550983899821037E-2</v>
      </c>
      <c r="N23" s="92"/>
      <c r="O23" s="92">
        <f t="shared" si="0"/>
        <v>1</v>
      </c>
      <c r="P23" s="92">
        <f t="shared" si="1"/>
        <v>1</v>
      </c>
      <c r="Q23" s="92">
        <f t="shared" si="2"/>
        <v>0</v>
      </c>
      <c r="T23" s="12" t="s">
        <v>797</v>
      </c>
      <c r="U23" s="115">
        <v>-5.1370000000000001E-3</v>
      </c>
      <c r="V23" s="337">
        <v>0.16999840441293795</v>
      </c>
    </row>
    <row r="24" spans="1:24" ht="15.75" customHeight="1" x14ac:dyDescent="0.2">
      <c r="A24" s="312"/>
      <c r="B24" s="3" t="s">
        <v>1446</v>
      </c>
      <c r="C24" s="101">
        <f t="array" ref="C24:M24">tinh_du_lieu_cp(B24)</f>
        <v>47.05</v>
      </c>
      <c r="D24" s="103">
        <v>104.8</v>
      </c>
      <c r="E24" s="102">
        <v>-7.3839999999999991E-3</v>
      </c>
      <c r="F24" s="98">
        <v>0.44278005031591477</v>
      </c>
      <c r="G24" s="98">
        <v>1.0029329252741648</v>
      </c>
      <c r="H24" s="98">
        <v>0.70374930050363738</v>
      </c>
      <c r="I24" s="93">
        <v>0.15116279069767441</v>
      </c>
      <c r="J24" s="101">
        <v>43</v>
      </c>
      <c r="K24" s="101">
        <v>49.5</v>
      </c>
      <c r="L24" s="93">
        <v>9.4186046511627847E-2</v>
      </c>
      <c r="M24" s="93">
        <v>-4.949494949494955E-2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1873</v>
      </c>
      <c r="U24" s="115">
        <v>0</v>
      </c>
      <c r="V24" s="337">
        <v>0</v>
      </c>
    </row>
    <row r="25" spans="1:24" ht="15.75" customHeight="1" x14ac:dyDescent="0.2">
      <c r="A25" s="312"/>
      <c r="B25" s="3" t="s">
        <v>1474</v>
      </c>
      <c r="C25" s="101">
        <f t="array" ref="C25:M25">tinh_du_lieu_cp(B25)</f>
        <v>4.5199999999999996</v>
      </c>
      <c r="D25" s="103">
        <v>428.5</v>
      </c>
      <c r="E25" s="102">
        <v>-1.7391E-2</v>
      </c>
      <c r="F25" s="98">
        <v>0.58036236479040582</v>
      </c>
      <c r="G25" s="98">
        <v>1.0144794221858817</v>
      </c>
      <c r="H25" s="98">
        <v>0.5317036853207594</v>
      </c>
      <c r="I25" s="93">
        <v>0.45425867507886447</v>
      </c>
      <c r="J25" s="101">
        <v>3.17</v>
      </c>
      <c r="K25" s="101">
        <v>4.6100000000000003</v>
      </c>
      <c r="L25" s="93">
        <v>0.42586750788643524</v>
      </c>
      <c r="M25" s="93">
        <v>-1.9522776572668273E-2</v>
      </c>
      <c r="N25" s="92"/>
      <c r="O25" s="92">
        <f t="shared" si="0"/>
        <v>-1</v>
      </c>
      <c r="P25" s="92">
        <f t="shared" si="1"/>
        <v>0</v>
      </c>
      <c r="Q25" s="92">
        <f t="shared" si="2"/>
        <v>1</v>
      </c>
      <c r="T25" s="12" t="s">
        <v>801</v>
      </c>
      <c r="U25" s="115">
        <v>0</v>
      </c>
      <c r="V25" s="337">
        <v>0</v>
      </c>
    </row>
    <row r="26" spans="1:24" ht="15.75" customHeight="1" x14ac:dyDescent="0.2">
      <c r="A26" s="312"/>
      <c r="B26" s="3" t="s">
        <v>1873</v>
      </c>
      <c r="C26" s="101">
        <f t="array" ref="C26:M26">tinh_du_lieu_cp(B26)</f>
        <v>24</v>
      </c>
      <c r="D26" s="103">
        <v>0</v>
      </c>
      <c r="E26" s="102">
        <v>0</v>
      </c>
      <c r="F26" s="98">
        <v>0</v>
      </c>
      <c r="G26" s="98">
        <v>1.0092939781431274</v>
      </c>
      <c r="H26" s="98">
        <v>0</v>
      </c>
      <c r="I26" s="93">
        <v>8.6956521739130432E-2</v>
      </c>
      <c r="J26" s="101">
        <v>23</v>
      </c>
      <c r="K26" s="101">
        <v>25</v>
      </c>
      <c r="L26" s="93">
        <v>4.3478260869565216E-2</v>
      </c>
      <c r="M26" s="93">
        <v>-0.04</v>
      </c>
      <c r="N26" s="92"/>
      <c r="O26" s="92">
        <f>IF(E26&gt;0,1,IF(E26=0,0,-1))</f>
        <v>0</v>
      </c>
      <c r="P26" s="92">
        <f t="shared" si="1"/>
        <v>0</v>
      </c>
      <c r="Q26" s="92">
        <f t="shared" si="2"/>
        <v>0</v>
      </c>
      <c r="T26" s="12" t="s">
        <v>847</v>
      </c>
      <c r="U26" s="115">
        <v>1.967E-3</v>
      </c>
      <c r="V26" s="337">
        <v>0.14566424604869715</v>
      </c>
    </row>
    <row r="27" spans="1:24" ht="15.75" customHeight="1" x14ac:dyDescent="0.2">
      <c r="A27" s="312"/>
      <c r="B27" s="3" t="s">
        <v>2567</v>
      </c>
      <c r="C27" s="101">
        <f t="array" ref="C27:M27">tinh_du_lieu_cp(B27)</f>
        <v>18.95</v>
      </c>
      <c r="D27" s="103">
        <v>350.8</v>
      </c>
      <c r="E27" s="102">
        <v>-5.2490000000000002E-3</v>
      </c>
      <c r="F27" s="98">
        <v>0.29515406708811864</v>
      </c>
      <c r="G27" s="98">
        <v>0.97295229350778545</v>
      </c>
      <c r="H27" s="98">
        <v>0.16794599684024064</v>
      </c>
      <c r="I27" s="93">
        <v>0.23478260869565221</v>
      </c>
      <c r="J27" s="101">
        <v>17.25</v>
      </c>
      <c r="K27" s="101">
        <v>21.3</v>
      </c>
      <c r="L27" s="93">
        <v>9.8550724637681122E-2</v>
      </c>
      <c r="M27" s="93">
        <v>-0.11032863849765265</v>
      </c>
      <c r="N27" s="92"/>
      <c r="O27" s="92">
        <f t="shared" ref="O27" si="3">IF(E27&gt;0,1,IF(E27=0,0,-1))</f>
        <v>-1</v>
      </c>
      <c r="P27" s="92">
        <f t="shared" si="1"/>
        <v>0</v>
      </c>
      <c r="Q27" s="92">
        <f t="shared" si="2"/>
        <v>1</v>
      </c>
      <c r="T27" s="12" t="s">
        <v>3051</v>
      </c>
      <c r="U27" s="115">
        <v>-3.9431000000000008E-2</v>
      </c>
      <c r="V27" s="337">
        <v>2.0893216013402118</v>
      </c>
    </row>
    <row r="28" spans="1:24" x14ac:dyDescent="0.2">
      <c r="V28" s="115"/>
      <c r="W28" s="116"/>
    </row>
    <row r="29" spans="1:24" x14ac:dyDescent="0.2">
      <c r="V29" s="115"/>
      <c r="W29" s="116"/>
    </row>
    <row r="30" spans="1:24" x14ac:dyDescent="0.2">
      <c r="V30" s="115"/>
      <c r="W30" s="116"/>
    </row>
    <row r="31" spans="1:24" x14ac:dyDescent="0.2">
      <c r="V31" s="115"/>
      <c r="W31" s="116"/>
    </row>
    <row r="32" spans="1:24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</sheetData>
  <mergeCells count="16">
    <mergeCell ref="F14:G14"/>
    <mergeCell ref="G18:G19"/>
    <mergeCell ref="H18:H19"/>
    <mergeCell ref="A18:A19"/>
    <mergeCell ref="B18:B19"/>
    <mergeCell ref="C18:C19"/>
    <mergeCell ref="D18:D19"/>
    <mergeCell ref="E18:E19"/>
    <mergeCell ref="F18:F19"/>
    <mergeCell ref="A20:A27"/>
    <mergeCell ref="M18:M19"/>
    <mergeCell ref="N18:N19"/>
    <mergeCell ref="I18:I19"/>
    <mergeCell ref="J18:J19"/>
    <mergeCell ref="K18:K19"/>
    <mergeCell ref="L18:L19"/>
  </mergeCells>
  <conditionalFormatting sqref="A14 O26:O27">
    <cfRule type="expression" dxfId="527" priority="159" stopIfTrue="1">
      <formula>A14="giảm"</formula>
    </cfRule>
    <cfRule type="expression" dxfId="526" priority="160" stopIfTrue="1">
      <formula>A14="tăng"</formula>
    </cfRule>
  </conditionalFormatting>
  <conditionalFormatting sqref="G21:G27">
    <cfRule type="expression" dxfId="525" priority="153" stopIfTrue="1">
      <formula>G21&gt;2</formula>
    </cfRule>
    <cfRule type="expression" dxfId="524" priority="154" stopIfTrue="1">
      <formula>AND(G21&gt;0.5, G21&lt;1)</formula>
    </cfRule>
    <cfRule type="expression" dxfId="523" priority="155" stopIfTrue="1">
      <formula>G21&lt;=0.5</formula>
    </cfRule>
    <cfRule type="expression" dxfId="522" priority="156" stopIfTrue="1">
      <formula>AND(G21&gt;=1,G21&lt;2)</formula>
    </cfRule>
  </conditionalFormatting>
  <conditionalFormatting sqref="H21:H27">
    <cfRule type="expression" dxfId="521" priority="141" stopIfTrue="1">
      <formula>H21&gt;=2</formula>
    </cfRule>
    <cfRule type="expression" dxfId="520" priority="142" stopIfTrue="1">
      <formula>AND(H21&gt;=1,H21&lt;2)</formula>
    </cfRule>
    <cfRule type="expression" dxfId="519" priority="143" stopIfTrue="1">
      <formula>AND(H21&gt;0.5, H21&lt;1)</formula>
    </cfRule>
    <cfRule type="expression" dxfId="518" priority="144" stopIfTrue="1">
      <formula>H21&lt;=0.5</formula>
    </cfRule>
  </conditionalFormatting>
  <conditionalFormatting sqref="H21:H27">
    <cfRule type="expression" dxfId="517" priority="123" stopIfTrue="1">
      <formula>H21&gt;=2</formula>
    </cfRule>
    <cfRule type="expression" dxfId="516" priority="124" stopIfTrue="1">
      <formula>AND(H21&gt;=1,H21&lt;2)</formula>
    </cfRule>
    <cfRule type="expression" dxfId="515" priority="125" stopIfTrue="1">
      <formula>AND(H21&gt;0.5, H21&lt;1)</formula>
    </cfRule>
    <cfRule type="expression" dxfId="514" priority="126" stopIfTrue="1">
      <formula>H21&lt;=0.5</formula>
    </cfRule>
    <cfRule type="expression" dxfId="513" priority="127" stopIfTrue="1">
      <formula>H21&gt;=2</formula>
    </cfRule>
  </conditionalFormatting>
  <conditionalFormatting sqref="G21:G27">
    <cfRule type="expression" dxfId="512" priority="128" stopIfTrue="1">
      <formula>G21&gt;2</formula>
    </cfRule>
    <cfRule type="expression" dxfId="511" priority="129" stopIfTrue="1">
      <formula>AND(G21&gt;0.5, G21&lt;1)</formula>
    </cfRule>
    <cfRule type="expression" dxfId="510" priority="130" stopIfTrue="1">
      <formula>G21&lt;=0.5</formula>
    </cfRule>
    <cfRule type="expression" dxfId="509" priority="131" stopIfTrue="1">
      <formula>AND(G21&gt;=1,G21&lt;2)</formula>
    </cfRule>
    <cfRule type="expression" dxfId="508" priority="132" stopIfTrue="1">
      <formula>G21&gt;2</formula>
    </cfRule>
  </conditionalFormatting>
  <conditionalFormatting sqref="F20:H27">
    <cfRule type="expression" dxfId="507" priority="118" stopIfTrue="1">
      <formula>F20&lt;0</formula>
    </cfRule>
    <cfRule type="expression" dxfId="506" priority="119" stopIfTrue="1">
      <formula>F20=1</formula>
    </cfRule>
    <cfRule type="expression" dxfId="505" priority="120" stopIfTrue="1">
      <formula>AND(F20&lt;1,F20&gt;0)</formula>
    </cfRule>
    <cfRule type="expression" dxfId="504" priority="121" stopIfTrue="1">
      <formula>AND(F20&lt;2,F20&gt;1)</formula>
    </cfRule>
    <cfRule type="expression" dxfId="503" priority="122" stopIfTrue="1">
      <formula>F20&gt;=2</formula>
    </cfRule>
  </conditionalFormatting>
  <conditionalFormatting sqref="C3:C7">
    <cfRule type="expression" dxfId="502" priority="37" stopIfTrue="1">
      <formula>H3="giảm"</formula>
    </cfRule>
    <cfRule type="expression" dxfId="501" priority="38" stopIfTrue="1">
      <formula>H3="tăng"</formula>
    </cfRule>
  </conditionalFormatting>
  <conditionalFormatting sqref="H3:H7">
    <cfRule type="expression" dxfId="500" priority="35" stopIfTrue="1">
      <formula>H3="giảm"</formula>
    </cfRule>
    <cfRule type="expression" dxfId="499" priority="36" stopIfTrue="1">
      <formula>H3="tăng"</formula>
    </cfRule>
  </conditionalFormatting>
  <conditionalFormatting sqref="B3:B7">
    <cfRule type="expression" dxfId="498" priority="39" stopIfTrue="1">
      <formula>H3="giảm"</formula>
    </cfRule>
    <cfRule type="expression" dxfId="497" priority="40" stopIfTrue="1">
      <formula>H3="tăng"</formula>
    </cfRule>
  </conditionalFormatting>
  <conditionalFormatting sqref="A3:A7">
    <cfRule type="expression" dxfId="496" priority="43" stopIfTrue="1">
      <formula>H3="giảm"</formula>
    </cfRule>
    <cfRule type="expression" dxfId="495" priority="44" stopIfTrue="1">
      <formula>H3="tăng"</formula>
    </cfRule>
  </conditionalFormatting>
  <conditionalFormatting sqref="G3:G7">
    <cfRule type="expression" dxfId="494" priority="32" stopIfTrue="1">
      <formula>G3=0</formula>
    </cfRule>
    <cfRule type="expression" dxfId="493" priority="33" stopIfTrue="1">
      <formula>G3&lt;0</formula>
    </cfRule>
    <cfRule type="expression" dxfId="492" priority="34" stopIfTrue="1">
      <formula>G3&gt;0</formula>
    </cfRule>
  </conditionalFormatting>
  <conditionalFormatting sqref="E3:E7">
    <cfRule type="expression" dxfId="491" priority="30" stopIfTrue="1">
      <formula>H3="tăng"</formula>
    </cfRule>
    <cfRule type="expression" dxfId="490" priority="31" stopIfTrue="1">
      <formula>H3="giảm"</formula>
    </cfRule>
  </conditionalFormatting>
  <conditionalFormatting sqref="F3:F7">
    <cfRule type="expression" dxfId="489" priority="28" stopIfTrue="1">
      <formula>H3="tăng"</formula>
    </cfRule>
    <cfRule type="expression" dxfId="488" priority="29" stopIfTrue="1">
      <formula>H3="giảm"</formula>
    </cfRule>
  </conditionalFormatting>
  <conditionalFormatting sqref="D3:D7">
    <cfRule type="expression" dxfId="487" priority="26" stopIfTrue="1">
      <formula>H3="giảm"</formula>
    </cfRule>
    <cfRule type="expression" dxfId="486" priority="27" stopIfTrue="1">
      <formula>H3="tăng"</formula>
    </cfRule>
  </conditionalFormatting>
  <conditionalFormatting sqref="F21:F27">
    <cfRule type="colorScale" priority="1816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27">
    <cfRule type="colorScale" priority="18162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18164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18166">
      <colorScale>
        <cfvo type="min"/>
        <cfvo type="max"/>
        <color rgb="FFFF7C80"/>
        <color theme="0" tint="-4.9989318521683403E-2"/>
      </colorScale>
    </cfRule>
  </conditionalFormatting>
  <conditionalFormatting sqref="C20:C27">
    <cfRule type="expression" dxfId="485" priority="6" stopIfTrue="1">
      <formula>E20&gt;=6.8%</formula>
    </cfRule>
    <cfRule type="expression" dxfId="484" priority="7" stopIfTrue="1">
      <formula>AND(E20&gt;0%,E20&lt;6.8%)</formula>
    </cfRule>
    <cfRule type="expression" dxfId="483" priority="8" stopIfTrue="1">
      <formula>E20=0%</formula>
    </cfRule>
    <cfRule type="expression" dxfId="482" priority="9" stopIfTrue="1">
      <formula>AND(E20&gt;-6.8%, E20&lt;0%)</formula>
    </cfRule>
    <cfRule type="expression" dxfId="481" priority="10" stopIfTrue="1">
      <formula>E20&lt;=-6.8%</formula>
    </cfRule>
  </conditionalFormatting>
  <conditionalFormatting sqref="B20:B27">
    <cfRule type="expression" dxfId="480" priority="16" stopIfTrue="1">
      <formula>E20&gt;=6.8%</formula>
    </cfRule>
    <cfRule type="expression" dxfId="479" priority="17" stopIfTrue="1">
      <formula>AND(E20&gt;0%,E20&lt;6.8%)</formula>
    </cfRule>
    <cfRule type="expression" dxfId="478" priority="18" stopIfTrue="1">
      <formula>E20=0%</formula>
    </cfRule>
    <cfRule type="expression" dxfId="477" priority="19" stopIfTrue="1">
      <formula>AND(E20&gt;-6.8%, E20&lt;0%)</formula>
    </cfRule>
    <cfRule type="expression" dxfId="476" priority="20" stopIfTrue="1">
      <formula>E20&lt;=-6.8%</formula>
    </cfRule>
  </conditionalFormatting>
  <conditionalFormatting sqref="D20:D27">
    <cfRule type="expression" dxfId="475" priority="1" stopIfTrue="1">
      <formula>D20&gt;20000</formula>
    </cfRule>
    <cfRule type="expression" dxfId="474" priority="2" stopIfTrue="1">
      <formula>AND(D20&gt;10000,D20&lt;=20000)</formula>
    </cfRule>
    <cfRule type="expression" dxfId="473" priority="3" stopIfTrue="1">
      <formula>AND(D20&gt;1000,D20&lt;=10000)</formula>
    </cfRule>
    <cfRule type="expression" dxfId="472" priority="4" stopIfTrue="1">
      <formula>AND(D20&gt;200,D20&lt;=1000)</formula>
    </cfRule>
    <cfRule type="expression" dxfId="471" priority="5" stopIfTrue="1">
      <formula>D20&lt;=200</formula>
    </cfRule>
  </conditionalFormatting>
  <conditionalFormatting sqref="E20:E27">
    <cfRule type="expression" dxfId="470" priority="11" stopIfTrue="1">
      <formula>E20&gt;=6.8%</formula>
    </cfRule>
    <cfRule type="expression" dxfId="469" priority="12" stopIfTrue="1">
      <formula>AND(E20&gt;0%,E20&lt;6.8%)</formula>
    </cfRule>
    <cfRule type="expression" dxfId="468" priority="13" stopIfTrue="1">
      <formula>E20=0%</formula>
    </cfRule>
    <cfRule type="expression" dxfId="467" priority="14" stopIfTrue="1">
      <formula>AND(E20&gt;-6.8%, E20&lt;0%)</formula>
    </cfRule>
    <cfRule type="expression" dxfId="466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D1D08C-E811-4341-8AE6-F5B17C144450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9E44A3C8-BE49-4A63-BE9E-6B4B7A21A8AD}">
          <x14:formula1>
            <xm:f>'Nơi chứ dữ liệu'!$I$2:$K$2</xm:f>
          </x14:formula1>
          <xm:sqref>N21:N27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F4296-B3FA-4F06-9F75-1DC7A96DCC16}">
  <sheetPr codeName="Sheet11">
    <tabColor rgb="FF663300"/>
  </sheetPr>
  <dimension ref="A1:X64"/>
  <sheetViews>
    <sheetView topLeftCell="A12" zoomScaleNormal="100" workbookViewId="0">
      <selection activeCell="D27" sqref="D27"/>
    </sheetView>
  </sheetViews>
  <sheetFormatPr defaultRowHeight="15" x14ac:dyDescent="0.2"/>
  <cols>
    <col min="1" max="1" width="8" customWidth="1"/>
    <col min="2" max="2" width="9.6640625" customWidth="1"/>
    <col min="3" max="3" width="11.441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"&amp;SUM($O$20:O43)&amp;" "&amp;"trên tổng"&amp;" "&amp;$O$19</f>
        <v>Tổng điểm nhóm BĐS hôm nay -10 trên tổng 45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12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28</v>
      </c>
      <c r="B16" s="189"/>
      <c r="C16" s="189"/>
      <c r="D16" s="189"/>
      <c r="E16" s="189"/>
      <c r="F16" s="193">
        <f>AVERAGE(E20:E64)</f>
        <v>-4.1101333333333342E-3</v>
      </c>
      <c r="G16" s="191">
        <f>AVERAGE(F20:F64)</f>
        <v>0.78505227037032554</v>
      </c>
    </row>
    <row r="17" spans="1:24" ht="15.75" x14ac:dyDescent="0.2">
      <c r="A17" s="188" t="str">
        <f>"Tổng điểm tham chiếu nhóm BĐS hôm nay"&amp;" "&amp;(O19-(P19+Q19))</f>
        <v>Tổng điểm tham chiếu nhóm BĐS hôm nay 5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COUNT(O20:O64)</f>
        <v>45</v>
      </c>
      <c r="P19" s="158">
        <f>SUM(P20:P64)</f>
        <v>12</v>
      </c>
      <c r="Q19" s="158">
        <f>SUM(Q20:Q64)</f>
        <v>28</v>
      </c>
      <c r="T19" s="12" t="s">
        <v>1380</v>
      </c>
      <c r="U19" s="99">
        <v>-2.8435999999999999E-2</v>
      </c>
      <c r="V19" s="337">
        <v>0.35831082501738665</v>
      </c>
      <c r="X19"/>
    </row>
    <row r="20" spans="1:24" ht="15.75" customHeight="1" x14ac:dyDescent="0.2">
      <c r="A20" s="305" t="s">
        <v>3058</v>
      </c>
      <c r="B20" s="3" t="s">
        <v>121</v>
      </c>
      <c r="C20" s="101" cm="1">
        <f t="array" ref="C20:M20">tinh_du_lieu_cp(B20)</f>
        <v>16.5</v>
      </c>
      <c r="D20" s="103">
        <v>371.9</v>
      </c>
      <c r="E20" s="102">
        <v>-1.4924999999999999E-2</v>
      </c>
      <c r="F20" s="98">
        <v>0.86471004766484527</v>
      </c>
      <c r="G20" s="98">
        <v>1.0261748404825113</v>
      </c>
      <c r="H20" s="98">
        <v>0.90855048859934862</v>
      </c>
      <c r="I20" s="93">
        <v>0.1409395973154362</v>
      </c>
      <c r="J20" s="101">
        <v>14.9</v>
      </c>
      <c r="K20" s="101">
        <v>17</v>
      </c>
      <c r="L20" s="93">
        <v>0.10738255033557044</v>
      </c>
      <c r="M20" s="93">
        <v>-2.9411764705882353E-2</v>
      </c>
      <c r="N20" s="92"/>
      <c r="O20" s="92">
        <f t="shared" ref="O20:O26" si="0">IF(E20&gt;0,1,IF(E20=0,0,-1))</f>
        <v>-1</v>
      </c>
      <c r="P20" s="92">
        <f t="shared" ref="P20:P43" si="1">IF(O20=1,1,0)</f>
        <v>0</v>
      </c>
      <c r="Q20" s="92">
        <f t="shared" ref="Q20:Q28" si="2">IF(O20&lt;0,1,0)</f>
        <v>1</v>
      </c>
      <c r="T20" s="12" t="s">
        <v>2273</v>
      </c>
      <c r="U20" s="99">
        <v>-2.5000000000000001E-2</v>
      </c>
      <c r="V20" s="337">
        <v>0.4624471596502403</v>
      </c>
    </row>
    <row r="21" spans="1:24" ht="15.75" customHeight="1" x14ac:dyDescent="0.2">
      <c r="A21" s="305"/>
      <c r="B21" s="3" t="s">
        <v>368</v>
      </c>
      <c r="C21" s="101" cm="1">
        <f t="array" ref="C21:M21">tinh_du_lieu_cp(B21)</f>
        <v>75.3</v>
      </c>
      <c r="D21" s="103">
        <v>213.7</v>
      </c>
      <c r="E21" s="102">
        <v>-3.9680000000000002E-3</v>
      </c>
      <c r="F21" s="98">
        <v>0.53794839521711768</v>
      </c>
      <c r="G21" s="98">
        <v>1.0489346561178785</v>
      </c>
      <c r="H21" s="98">
        <v>0.46085831356480483</v>
      </c>
      <c r="I21" s="93">
        <v>0.17484662576687102</v>
      </c>
      <c r="J21" s="101">
        <v>65.2</v>
      </c>
      <c r="K21" s="101">
        <v>76.599999999999994</v>
      </c>
      <c r="L21" s="93">
        <v>0.15490797546012261</v>
      </c>
      <c r="M21" s="93">
        <v>-1.697127937336811E-2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2" t="s">
        <v>1492</v>
      </c>
      <c r="U21" s="115">
        <v>-2.1857999999999999E-2</v>
      </c>
      <c r="V21" s="116">
        <v>1.3848151105503346</v>
      </c>
    </row>
    <row r="22" spans="1:24" ht="15.75" customHeight="1" x14ac:dyDescent="0.2">
      <c r="A22" s="305"/>
      <c r="B22" s="3" t="s">
        <v>591</v>
      </c>
      <c r="C22" s="101" cm="1">
        <f t="array" ref="C22:M22">tinh_du_lieu_cp(B22)</f>
        <v>8.1999999999999993</v>
      </c>
      <c r="D22" s="103">
        <v>284</v>
      </c>
      <c r="E22" s="102">
        <v>-1.2048000000000001E-2</v>
      </c>
      <c r="F22" s="98">
        <v>0.93722343058576463</v>
      </c>
      <c r="G22" s="98">
        <v>1.0067948078805</v>
      </c>
      <c r="H22" s="98">
        <v>0.88258144714352316</v>
      </c>
      <c r="I22" s="93">
        <v>0.17434620174346208</v>
      </c>
      <c r="J22" s="101">
        <v>8.0299999999999994</v>
      </c>
      <c r="K22" s="101">
        <v>9.43</v>
      </c>
      <c r="L22" s="93">
        <v>2.1170610211706097E-2</v>
      </c>
      <c r="M22" s="93">
        <v>-0.1304347826086957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2517</v>
      </c>
      <c r="U22" s="99">
        <v>-1.9823999999999998E-2</v>
      </c>
      <c r="V22" s="337">
        <v>0.9783926436023257</v>
      </c>
    </row>
    <row r="23" spans="1:24" ht="15.75" customHeight="1" x14ac:dyDescent="0.2">
      <c r="A23" s="305"/>
      <c r="B23" s="3" t="s">
        <v>662</v>
      </c>
      <c r="C23" s="101" cm="1">
        <f t="array" ref="C23:M23">tinh_du_lieu_cp(B23)</f>
        <v>19.95</v>
      </c>
      <c r="D23" s="103">
        <v>20.3</v>
      </c>
      <c r="E23" s="102">
        <v>-7.463E-3</v>
      </c>
      <c r="F23" s="98">
        <v>0.41501719171080759</v>
      </c>
      <c r="G23" s="98">
        <v>0.9937541824670979</v>
      </c>
      <c r="H23" s="98">
        <v>0.43069306930693069</v>
      </c>
      <c r="I23" s="93">
        <v>0.25806451612903208</v>
      </c>
      <c r="J23" s="101">
        <v>18.600000000000001</v>
      </c>
      <c r="K23" s="101">
        <v>23.4</v>
      </c>
      <c r="L23" s="93">
        <v>7.2580645161290203E-2</v>
      </c>
      <c r="M23" s="93">
        <v>-0.14743589743589741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2442</v>
      </c>
      <c r="U23" s="115">
        <v>-1.9663E-2</v>
      </c>
      <c r="V23" s="116">
        <v>0.58909920622167944</v>
      </c>
    </row>
    <row r="24" spans="1:24" ht="15.75" customHeight="1" x14ac:dyDescent="0.2">
      <c r="A24" s="305"/>
      <c r="B24" s="3" t="s">
        <v>732</v>
      </c>
      <c r="C24" s="101" cm="1">
        <f t="array" ref="C24:M24">tinh_du_lieu_cp(B24)</f>
        <v>7.08</v>
      </c>
      <c r="D24" s="103">
        <v>29.4</v>
      </c>
      <c r="E24" s="102">
        <v>-1.2552000000000001E-2</v>
      </c>
      <c r="F24" s="98">
        <v>0.31548141644717592</v>
      </c>
      <c r="G24" s="98">
        <v>1.0107367562112135</v>
      </c>
      <c r="H24" s="98">
        <v>0.27276944487397559</v>
      </c>
      <c r="I24" s="93">
        <v>0.1453744493392071</v>
      </c>
      <c r="J24" s="101">
        <v>6.81</v>
      </c>
      <c r="K24" s="101">
        <v>7.8</v>
      </c>
      <c r="L24" s="93">
        <v>3.9647577092511085E-2</v>
      </c>
      <c r="M24" s="93">
        <v>-9.2307692307692271E-2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2219</v>
      </c>
      <c r="U24" s="99">
        <v>-1.8721000000000002E-2</v>
      </c>
      <c r="V24" s="337">
        <v>0.79575579010335695</v>
      </c>
    </row>
    <row r="25" spans="1:24" ht="15.75" customHeight="1" x14ac:dyDescent="0.2">
      <c r="A25" s="305"/>
      <c r="B25" s="3" t="s">
        <v>778</v>
      </c>
      <c r="C25" s="101" cm="1">
        <f t="array" ref="C25:M25">tinh_du_lieu_cp(B25)</f>
        <v>37.299999999999997</v>
      </c>
      <c r="D25" s="103">
        <v>37.6</v>
      </c>
      <c r="E25" s="102">
        <v>2.6879999999999999E-3</v>
      </c>
      <c r="F25" s="98">
        <v>0.45719338970872714</v>
      </c>
      <c r="G25" s="98">
        <v>1.0240549828178693</v>
      </c>
      <c r="H25" s="98">
        <v>0.78008298755186722</v>
      </c>
      <c r="I25" s="93">
        <v>0.19679999999999995</v>
      </c>
      <c r="J25" s="101">
        <v>31.25</v>
      </c>
      <c r="K25" s="101">
        <v>37.4</v>
      </c>
      <c r="L25" s="93">
        <v>0.19359999999999991</v>
      </c>
      <c r="M25" s="93">
        <v>-2.6737967914438883E-3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1345</v>
      </c>
      <c r="U25" s="99">
        <v>-1.7204000000000001E-2</v>
      </c>
      <c r="V25" s="337">
        <v>0.67280299505992336</v>
      </c>
    </row>
    <row r="26" spans="1:24" ht="15.75" customHeight="1" x14ac:dyDescent="0.2">
      <c r="A26" s="305"/>
      <c r="B26" s="3" t="s">
        <v>859</v>
      </c>
      <c r="C26" s="101" cm="1">
        <f t="array" ref="C26:M26">tinh_du_lieu_cp(B26)</f>
        <v>20.05</v>
      </c>
      <c r="D26" s="103">
        <v>7810.6</v>
      </c>
      <c r="E26" s="102">
        <v>2.5000000000000001E-3</v>
      </c>
      <c r="F26" s="98">
        <v>0.76770815927715341</v>
      </c>
      <c r="G26" s="98">
        <v>1.0418511869140237</v>
      </c>
      <c r="H26" s="98">
        <v>0.69142279631446557</v>
      </c>
      <c r="I26" s="93">
        <v>0.20343839541547282</v>
      </c>
      <c r="J26" s="101">
        <v>17.45</v>
      </c>
      <c r="K26" s="101">
        <v>21</v>
      </c>
      <c r="L26" s="93">
        <v>0.1489971346704872</v>
      </c>
      <c r="M26" s="93">
        <v>-4.5238095238095202E-2</v>
      </c>
      <c r="N26" s="92"/>
      <c r="O26" s="92">
        <f t="shared" si="0"/>
        <v>1</v>
      </c>
      <c r="P26" s="92">
        <f t="shared" si="1"/>
        <v>1</v>
      </c>
      <c r="Q26" s="92">
        <f t="shared" si="2"/>
        <v>0</v>
      </c>
      <c r="T26" s="12" t="s">
        <v>2299</v>
      </c>
      <c r="U26" s="99">
        <v>-1.6268999999999999E-2</v>
      </c>
      <c r="V26" s="337">
        <v>0.41126872828266475</v>
      </c>
    </row>
    <row r="27" spans="1:24" ht="15.75" customHeight="1" x14ac:dyDescent="0.2">
      <c r="A27" s="305"/>
      <c r="B27" s="3" t="s">
        <v>983</v>
      </c>
      <c r="C27" s="101" cm="1">
        <f t="array" ref="C27:M27">tinh_du_lieu_cp(B27)</f>
        <v>16.149999999999999</v>
      </c>
      <c r="D27" s="103">
        <v>9369.5</v>
      </c>
      <c r="E27" s="102">
        <v>-3.0859999999999998E-3</v>
      </c>
      <c r="F27" s="98">
        <v>0.81489856711095654</v>
      </c>
      <c r="G27" s="98">
        <v>1.0442552767821585</v>
      </c>
      <c r="H27" s="98">
        <v>0.63922688307391073</v>
      </c>
      <c r="I27" s="93">
        <v>0.25347222222222227</v>
      </c>
      <c r="J27" s="101">
        <v>14.4</v>
      </c>
      <c r="K27" s="101">
        <v>18.05</v>
      </c>
      <c r="L27" s="93">
        <v>0.12152777777777765</v>
      </c>
      <c r="M27" s="93">
        <v>-0.10526315789473696</v>
      </c>
      <c r="N27" s="92"/>
      <c r="O27" s="92">
        <f t="shared" ref="O27:O39" si="3">IF(E27&gt;0,1,IF(E27=0,0,-1))</f>
        <v>-1</v>
      </c>
      <c r="P27" s="92">
        <f t="shared" si="1"/>
        <v>0</v>
      </c>
      <c r="Q27" s="92">
        <f t="shared" si="2"/>
        <v>1</v>
      </c>
      <c r="T27" s="12" t="s">
        <v>121</v>
      </c>
      <c r="U27" s="99">
        <v>-1.4924999999999999E-2</v>
      </c>
      <c r="V27" s="337">
        <v>0.86471004766484527</v>
      </c>
    </row>
    <row r="28" spans="1:24" ht="15.75" customHeight="1" x14ac:dyDescent="0.2">
      <c r="A28" s="305"/>
      <c r="B28" s="3" t="s">
        <v>1051</v>
      </c>
      <c r="C28" s="101" cm="1">
        <f t="array" ref="C28:M28">tinh_du_lieu_cp(B28)</f>
        <v>6.93</v>
      </c>
      <c r="D28" s="103">
        <v>139.6</v>
      </c>
      <c r="E28" s="102">
        <v>8.7339999999999987E-3</v>
      </c>
      <c r="F28" s="98">
        <v>0.64122264907299142</v>
      </c>
      <c r="G28" s="98">
        <v>1.0346198670048674</v>
      </c>
      <c r="H28" s="98">
        <v>0.64213431462741488</v>
      </c>
      <c r="I28" s="93">
        <v>0.35922330097087368</v>
      </c>
      <c r="J28" s="101">
        <v>5.15</v>
      </c>
      <c r="K28" s="101">
        <v>7</v>
      </c>
      <c r="L28" s="93">
        <v>0.34563106796116488</v>
      </c>
      <c r="M28" s="93">
        <v>-1.000000000000004E-2</v>
      </c>
      <c r="N28" s="92"/>
      <c r="O28" s="92">
        <f t="shared" si="3"/>
        <v>1</v>
      </c>
      <c r="P28" s="92">
        <f t="shared" si="1"/>
        <v>1</v>
      </c>
      <c r="Q28" s="92">
        <f t="shared" si="2"/>
        <v>0</v>
      </c>
      <c r="T28" s="12" t="s">
        <v>1198</v>
      </c>
      <c r="U28" s="99">
        <v>-1.4451E-2</v>
      </c>
      <c r="V28" s="337">
        <v>0.44360083392973826</v>
      </c>
    </row>
    <row r="29" spans="1:24" ht="15.75" customHeight="1" x14ac:dyDescent="0.2">
      <c r="A29" s="305"/>
      <c r="B29" s="3" t="s">
        <v>1198</v>
      </c>
      <c r="C29" s="101" cm="1">
        <f t="array" ref="C29:M29">tinh_du_lieu_cp(B29)</f>
        <v>3.41</v>
      </c>
      <c r="D29" s="103">
        <v>64.8</v>
      </c>
      <c r="E29" s="102">
        <v>-1.4451E-2</v>
      </c>
      <c r="F29" s="98">
        <v>0.44360083392973826</v>
      </c>
      <c r="G29" s="98">
        <v>1.0149857701885452</v>
      </c>
      <c r="H29" s="98">
        <v>0.4605543710021322</v>
      </c>
      <c r="I29" s="93">
        <v>8.3591331269349853E-2</v>
      </c>
      <c r="J29" s="101">
        <v>3.23</v>
      </c>
      <c r="K29" s="101">
        <v>3.5</v>
      </c>
      <c r="L29" s="93">
        <v>5.572755417956661E-2</v>
      </c>
      <c r="M29" s="93">
        <v>-2.5714285714285672E-2</v>
      </c>
      <c r="N29" s="92"/>
      <c r="O29" s="92">
        <f t="shared" si="3"/>
        <v>-1</v>
      </c>
      <c r="P29" s="92">
        <f t="shared" si="1"/>
        <v>0</v>
      </c>
      <c r="Q29" s="92">
        <f t="shared" ref="Q29:Q43" si="4">IF(O29&lt;0,1,0)</f>
        <v>1</v>
      </c>
      <c r="T29" s="12" t="s">
        <v>732</v>
      </c>
      <c r="U29" s="99">
        <v>-1.2552000000000001E-2</v>
      </c>
      <c r="V29" s="337">
        <v>0.31548141644717592</v>
      </c>
    </row>
    <row r="30" spans="1:24" ht="15.75" customHeight="1" x14ac:dyDescent="0.2">
      <c r="A30" s="305"/>
      <c r="B30" s="3" t="s">
        <v>1235</v>
      </c>
      <c r="C30" s="101" cm="1">
        <f t="array" ref="C30:M30">tinh_du_lieu_cp(B30)</f>
        <v>25.45</v>
      </c>
      <c r="D30" s="103">
        <v>3749.8</v>
      </c>
      <c r="E30" s="102">
        <v>2.4145E-2</v>
      </c>
      <c r="F30" s="98">
        <v>2.2974668033152126</v>
      </c>
      <c r="G30" s="98">
        <v>1.0161095074029238</v>
      </c>
      <c r="H30" s="98">
        <v>1.649943898915379</v>
      </c>
      <c r="I30" s="93">
        <v>0.15631691648822263</v>
      </c>
      <c r="J30" s="101">
        <v>23.35</v>
      </c>
      <c r="K30" s="101">
        <v>27</v>
      </c>
      <c r="L30" s="93">
        <v>8.9935760171306112E-2</v>
      </c>
      <c r="M30" s="93">
        <v>-5.7407407407407435E-2</v>
      </c>
      <c r="N30" s="92"/>
      <c r="O30" s="92">
        <f t="shared" si="3"/>
        <v>1</v>
      </c>
      <c r="P30" s="92">
        <f t="shared" si="1"/>
        <v>1</v>
      </c>
      <c r="Q30" s="92">
        <f t="shared" si="4"/>
        <v>0</v>
      </c>
      <c r="T30" s="12" t="s">
        <v>591</v>
      </c>
      <c r="U30" s="99">
        <v>-1.2048000000000001E-2</v>
      </c>
      <c r="V30" s="116">
        <v>0.93722343058576463</v>
      </c>
    </row>
    <row r="31" spans="1:24" ht="15.75" customHeight="1" x14ac:dyDescent="0.2">
      <c r="A31" s="305"/>
      <c r="B31" s="3" t="s">
        <v>1237</v>
      </c>
      <c r="C31" s="101" cm="1">
        <f t="array" ref="C31:M31">tinh_du_lieu_cp(B31)</f>
        <v>28.1</v>
      </c>
      <c r="D31" s="103">
        <v>1772.1</v>
      </c>
      <c r="E31" s="102">
        <v>0</v>
      </c>
      <c r="F31" s="98">
        <v>0.78115038059496633</v>
      </c>
      <c r="G31" s="98">
        <v>1.0196952192330966</v>
      </c>
      <c r="H31" s="98">
        <v>0.74941851449837182</v>
      </c>
      <c r="I31" s="93">
        <v>0.17613636363636373</v>
      </c>
      <c r="J31" s="101">
        <v>26.4</v>
      </c>
      <c r="K31" s="101">
        <v>31.05</v>
      </c>
      <c r="L31" s="93">
        <v>6.4393939393939503E-2</v>
      </c>
      <c r="M31" s="93">
        <v>-9.5008051529790638E-2</v>
      </c>
      <c r="N31" s="92"/>
      <c r="O31" s="92">
        <f t="shared" si="3"/>
        <v>0</v>
      </c>
      <c r="P31" s="92">
        <f t="shared" si="1"/>
        <v>0</v>
      </c>
      <c r="Q31" s="92">
        <f t="shared" si="4"/>
        <v>0</v>
      </c>
      <c r="T31" s="12" t="s">
        <v>2531</v>
      </c>
      <c r="U31" s="99">
        <v>-1.1024000000000001E-2</v>
      </c>
      <c r="V31" s="337">
        <v>0.18013340256420499</v>
      </c>
    </row>
    <row r="32" spans="1:24" ht="15.75" customHeight="1" x14ac:dyDescent="0.2">
      <c r="A32" s="305"/>
      <c r="B32" s="3" t="s">
        <v>1345</v>
      </c>
      <c r="C32" s="101" cm="1">
        <f t="array" ref="C32:M32">tinh_du_lieu_cp(B32)</f>
        <v>4.57</v>
      </c>
      <c r="D32" s="103">
        <v>1104.4000000000001</v>
      </c>
      <c r="E32" s="102">
        <v>-1.7204000000000001E-2</v>
      </c>
      <c r="F32" s="98">
        <v>0.67280299505992336</v>
      </c>
      <c r="G32" s="98">
        <v>1.0208876412004546</v>
      </c>
      <c r="H32" s="98">
        <v>0.57566806824894878</v>
      </c>
      <c r="I32" s="93">
        <v>0.16937354988399084</v>
      </c>
      <c r="J32" s="101">
        <v>4.3099999999999996</v>
      </c>
      <c r="K32" s="101">
        <v>5.04</v>
      </c>
      <c r="L32" s="93">
        <v>6.032482598607905E-2</v>
      </c>
      <c r="M32" s="93">
        <v>-9.32539682539682E-2</v>
      </c>
      <c r="N32" s="92"/>
      <c r="O32" s="92">
        <f t="shared" si="3"/>
        <v>-1</v>
      </c>
      <c r="P32" s="92">
        <f t="shared" si="1"/>
        <v>0</v>
      </c>
      <c r="Q32" s="92">
        <f t="shared" si="4"/>
        <v>1</v>
      </c>
      <c r="T32" s="12" t="s">
        <v>2466</v>
      </c>
      <c r="U32" s="99">
        <v>-9.6769999999999998E-3</v>
      </c>
      <c r="V32" s="337">
        <v>0.42788444412780963</v>
      </c>
    </row>
    <row r="33" spans="1:22" ht="15.75" customHeight="1" x14ac:dyDescent="0.2">
      <c r="A33" s="305"/>
      <c r="B33" s="3" t="s">
        <v>1347</v>
      </c>
      <c r="C33" s="101" cm="1">
        <f t="array" ref="C33:M33">tinh_du_lieu_cp(B33)</f>
        <v>3.22</v>
      </c>
      <c r="D33" s="103">
        <v>1561.7</v>
      </c>
      <c r="E33" s="102">
        <v>-9.2309999999999996E-3</v>
      </c>
      <c r="F33" s="98">
        <v>0.53792703929857522</v>
      </c>
      <c r="G33" s="98">
        <v>1.0204774891153534</v>
      </c>
      <c r="H33" s="98">
        <v>0.4288028555738605</v>
      </c>
      <c r="I33" s="93">
        <v>0.11447811447811443</v>
      </c>
      <c r="J33" s="101">
        <v>2.97</v>
      </c>
      <c r="K33" s="101">
        <v>3.31</v>
      </c>
      <c r="L33" s="93">
        <v>8.4175084175084167E-2</v>
      </c>
      <c r="M33" s="93">
        <v>-2.7190332326283945E-2</v>
      </c>
      <c r="N33" s="92"/>
      <c r="O33" s="92">
        <f t="shared" si="3"/>
        <v>-1</v>
      </c>
      <c r="P33" s="92">
        <f t="shared" si="1"/>
        <v>0</v>
      </c>
      <c r="Q33" s="92">
        <f t="shared" si="4"/>
        <v>1</v>
      </c>
      <c r="T33" s="12" t="s">
        <v>1347</v>
      </c>
      <c r="U33" s="99">
        <v>-9.2309999999999996E-3</v>
      </c>
      <c r="V33" s="337">
        <v>0.53792703929857522</v>
      </c>
    </row>
    <row r="34" spans="1:22" ht="15.75" customHeight="1" x14ac:dyDescent="0.2">
      <c r="A34" s="305"/>
      <c r="B34" s="3" t="s">
        <v>1380</v>
      </c>
      <c r="C34" s="101" cm="1">
        <f t="array" ref="C34:M34">tinh_du_lieu_cp(B34)</f>
        <v>10.25</v>
      </c>
      <c r="D34" s="103">
        <v>302.10000000000002</v>
      </c>
      <c r="E34" s="102">
        <v>-2.8435999999999999E-2</v>
      </c>
      <c r="F34" s="98">
        <v>0.35831082501738665</v>
      </c>
      <c r="G34" s="98">
        <v>0.99850542881005777</v>
      </c>
      <c r="H34" s="98">
        <v>0.46631164621440147</v>
      </c>
      <c r="I34" s="93">
        <v>0.5379310344827587</v>
      </c>
      <c r="J34" s="101">
        <v>7.25</v>
      </c>
      <c r="K34" s="101">
        <v>11.15</v>
      </c>
      <c r="L34" s="93">
        <v>0.41379310344827586</v>
      </c>
      <c r="M34" s="93">
        <v>-8.0717488789237693E-2</v>
      </c>
      <c r="N34" s="92"/>
      <c r="O34" s="92">
        <f t="shared" si="3"/>
        <v>-1</v>
      </c>
      <c r="P34" s="92">
        <f t="shared" si="1"/>
        <v>0</v>
      </c>
      <c r="Q34" s="92">
        <f t="shared" si="4"/>
        <v>1</v>
      </c>
      <c r="T34" s="12" t="s">
        <v>1797</v>
      </c>
      <c r="U34" s="99">
        <v>-8.7080000000000005E-3</v>
      </c>
      <c r="V34" s="337">
        <v>0.60162568233066493</v>
      </c>
    </row>
    <row r="35" spans="1:22" ht="15.75" customHeight="1" x14ac:dyDescent="0.2">
      <c r="A35" s="305"/>
      <c r="B35" s="3" t="s">
        <v>1438</v>
      </c>
      <c r="C35" s="101" cm="1">
        <f t="array" ref="C35:M35">tinh_du_lieu_cp(B35)</f>
        <v>14.6</v>
      </c>
      <c r="D35" s="103">
        <v>930.4</v>
      </c>
      <c r="E35" s="102">
        <v>-3.4129999999999998E-3</v>
      </c>
      <c r="F35" s="98">
        <v>0.39426766314816242</v>
      </c>
      <c r="G35" s="98">
        <v>1.0124463968204163</v>
      </c>
      <c r="H35" s="98">
        <v>0.46667001053317952</v>
      </c>
      <c r="I35" s="93">
        <v>0.12406015037593973</v>
      </c>
      <c r="J35" s="101">
        <v>13.3</v>
      </c>
      <c r="K35" s="101">
        <v>14.95</v>
      </c>
      <c r="L35" s="93">
        <v>9.774436090225555E-2</v>
      </c>
      <c r="M35" s="93">
        <v>-2.3411371237458171E-2</v>
      </c>
      <c r="N35" s="92"/>
      <c r="O35" s="92">
        <f t="shared" si="3"/>
        <v>-1</v>
      </c>
      <c r="P35" s="92">
        <f t="shared" si="1"/>
        <v>0</v>
      </c>
      <c r="Q35" s="92">
        <f t="shared" si="4"/>
        <v>1</v>
      </c>
      <c r="T35" s="12" t="s">
        <v>662</v>
      </c>
      <c r="U35" s="99">
        <v>-7.463E-3</v>
      </c>
      <c r="V35" s="337">
        <v>0.41501719171080759</v>
      </c>
    </row>
    <row r="36" spans="1:22" ht="15.75" customHeight="1" x14ac:dyDescent="0.2">
      <c r="A36" s="305"/>
      <c r="B36" s="3" t="s">
        <v>1460</v>
      </c>
      <c r="C36" s="101" cm="1">
        <f t="array" ref="C36:M36">tinh_du_lieu_cp(B36)</f>
        <v>2.2999999999999998</v>
      </c>
      <c r="D36" s="103">
        <v>0</v>
      </c>
      <c r="E36" s="102">
        <v>0</v>
      </c>
      <c r="F36" s="98" t="str">
        <v/>
      </c>
      <c r="G36" s="98">
        <v>0.99215686274509807</v>
      </c>
      <c r="H36" s="98" t="str">
        <v/>
      </c>
      <c r="I36" s="93">
        <v>2.1739130434782726E-2</v>
      </c>
      <c r="J36" s="101">
        <v>2.2999999999999998</v>
      </c>
      <c r="K36" s="101">
        <v>2.35</v>
      </c>
      <c r="L36" s="93">
        <v>0</v>
      </c>
      <c r="M36" s="93">
        <v>-2.1276595744680965E-2</v>
      </c>
      <c r="N36" s="92"/>
      <c r="O36" s="92">
        <f t="shared" si="3"/>
        <v>0</v>
      </c>
      <c r="P36" s="92">
        <f t="shared" si="1"/>
        <v>0</v>
      </c>
      <c r="Q36" s="92">
        <f t="shared" si="4"/>
        <v>0</v>
      </c>
      <c r="T36" s="12" t="s">
        <v>1589</v>
      </c>
      <c r="U36" s="99">
        <v>-6.4939999999999998E-3</v>
      </c>
      <c r="V36" s="337">
        <v>0.14457494407158836</v>
      </c>
    </row>
    <row r="37" spans="1:22" ht="15.75" customHeight="1" x14ac:dyDescent="0.2">
      <c r="A37" s="305"/>
      <c r="B37" s="3" t="s">
        <v>1462</v>
      </c>
      <c r="C37" s="101" cm="1">
        <f t="array" ref="C37:M37">tinh_du_lieu_cp(B37)</f>
        <v>10.4</v>
      </c>
      <c r="D37" s="103">
        <v>87</v>
      </c>
      <c r="E37" s="102">
        <v>-4.7850000000000002E-3</v>
      </c>
      <c r="F37" s="98">
        <v>0.28828774551150743</v>
      </c>
      <c r="G37" s="98">
        <v>1.0115054862067434</v>
      </c>
      <c r="H37" s="98">
        <v>0.28079612694997313</v>
      </c>
      <c r="I37" s="93">
        <v>0.15423387096774188</v>
      </c>
      <c r="J37" s="101">
        <v>9.92</v>
      </c>
      <c r="K37" s="101">
        <v>11.45</v>
      </c>
      <c r="L37" s="93">
        <v>4.8387096774193589E-2</v>
      </c>
      <c r="M37" s="93">
        <v>-9.170305676855886E-2</v>
      </c>
      <c r="N37" s="92"/>
      <c r="O37" s="92">
        <f t="shared" si="3"/>
        <v>-1</v>
      </c>
      <c r="P37" s="92">
        <f t="shared" si="1"/>
        <v>0</v>
      </c>
      <c r="Q37" s="92">
        <f t="shared" si="4"/>
        <v>1</v>
      </c>
      <c r="T37" s="12" t="s">
        <v>2886</v>
      </c>
      <c r="U37" s="99">
        <v>-5.0849999999999992E-3</v>
      </c>
      <c r="V37" s="337">
        <v>0.2939852061243024</v>
      </c>
    </row>
    <row r="38" spans="1:22" ht="15.75" customHeight="1" x14ac:dyDescent="0.2">
      <c r="A38" s="305"/>
      <c r="B38" s="3" t="s">
        <v>1478</v>
      </c>
      <c r="C38" s="101" cm="1">
        <f t="array" ref="C38:M38">tinh_du_lieu_cp(B38)</f>
        <v>30.4</v>
      </c>
      <c r="D38" s="103">
        <v>4897.8999999999996</v>
      </c>
      <c r="E38" s="102">
        <v>9.9670000000000002E-3</v>
      </c>
      <c r="F38" s="98">
        <v>1.0202234194399307</v>
      </c>
      <c r="G38" s="98">
        <v>1.0135110837122085</v>
      </c>
      <c r="H38" s="98">
        <v>0.95504843489168523</v>
      </c>
      <c r="I38" s="93">
        <v>0.11970534069981584</v>
      </c>
      <c r="J38" s="101">
        <v>27.15</v>
      </c>
      <c r="K38" s="101">
        <v>30.4</v>
      </c>
      <c r="L38" s="93">
        <v>0.11970534069981584</v>
      </c>
      <c r="M38" s="93">
        <v>0</v>
      </c>
      <c r="N38" s="92"/>
      <c r="O38" s="92">
        <f t="shared" si="3"/>
        <v>1</v>
      </c>
      <c r="P38" s="92">
        <f t="shared" si="1"/>
        <v>1</v>
      </c>
      <c r="Q38" s="92">
        <f t="shared" si="4"/>
        <v>0</v>
      </c>
      <c r="T38" s="12" t="s">
        <v>1462</v>
      </c>
      <c r="U38" s="115">
        <v>-4.7850000000000002E-3</v>
      </c>
      <c r="V38" s="116">
        <v>0.28828774551150743</v>
      </c>
    </row>
    <row r="39" spans="1:22" ht="15.75" customHeight="1" x14ac:dyDescent="0.2">
      <c r="A39" s="305"/>
      <c r="B39" s="3" t="s">
        <v>1485</v>
      </c>
      <c r="C39" s="101" cm="1">
        <f t="array" ref="C39:M39">tinh_du_lieu_cp(B39)</f>
        <v>33.75</v>
      </c>
      <c r="D39" s="103">
        <v>1025.8</v>
      </c>
      <c r="E39" s="102">
        <v>4.4640000000000001E-3</v>
      </c>
      <c r="F39" s="98">
        <v>0.54408339802595096</v>
      </c>
      <c r="G39" s="98">
        <v>0.98559450539648574</v>
      </c>
      <c r="H39" s="98">
        <v>0.53731186926004826</v>
      </c>
      <c r="I39" s="93">
        <v>0.10045662100456612</v>
      </c>
      <c r="J39" s="101">
        <v>32.85</v>
      </c>
      <c r="K39" s="101">
        <v>36.15</v>
      </c>
      <c r="L39" s="93">
        <v>2.739726027397256E-2</v>
      </c>
      <c r="M39" s="93">
        <v>-6.6390041493775892E-2</v>
      </c>
      <c r="N39" s="92"/>
      <c r="O39" s="94">
        <f t="shared" si="3"/>
        <v>1</v>
      </c>
      <c r="P39" s="92">
        <f t="shared" si="1"/>
        <v>1</v>
      </c>
      <c r="Q39" s="92">
        <f t="shared" si="4"/>
        <v>0</v>
      </c>
      <c r="T39" s="12" t="s">
        <v>368</v>
      </c>
      <c r="U39" s="99">
        <v>-3.9680000000000002E-3</v>
      </c>
      <c r="V39" s="337">
        <v>0.53794839521711768</v>
      </c>
    </row>
    <row r="40" spans="1:22" ht="15.75" customHeight="1" x14ac:dyDescent="0.2">
      <c r="A40" s="305"/>
      <c r="B40" s="3" t="s">
        <v>1492</v>
      </c>
      <c r="C40" s="101" cm="1">
        <f t="array" ref="C40:M40">tinh_du_lieu_cp(B40)</f>
        <v>5.37</v>
      </c>
      <c r="D40" s="103">
        <v>8111.8</v>
      </c>
      <c r="E40" s="102">
        <v>-2.1857999999999999E-2</v>
      </c>
      <c r="F40" s="98">
        <v>1.3848151105503346</v>
      </c>
      <c r="G40" s="98">
        <v>1.0148946240151453</v>
      </c>
      <c r="H40" s="98">
        <v>1.3036274370629091</v>
      </c>
      <c r="I40" s="93">
        <v>0.13461538461538464</v>
      </c>
      <c r="J40" s="101">
        <v>5.2</v>
      </c>
      <c r="K40" s="101">
        <v>5.9</v>
      </c>
      <c r="L40" s="93">
        <v>3.269230769230768E-2</v>
      </c>
      <c r="M40" s="93">
        <v>-8.9830508474576312E-2</v>
      </c>
      <c r="N40" s="92"/>
      <c r="O40" s="92">
        <f t="shared" ref="O40:O43" si="5">IF(E40&gt;0,1,IF(E40=0,0,-1))</f>
        <v>-1</v>
      </c>
      <c r="P40" s="92">
        <f t="shared" si="1"/>
        <v>0</v>
      </c>
      <c r="Q40" s="92">
        <f t="shared" si="4"/>
        <v>1</v>
      </c>
      <c r="T40" s="12" t="s">
        <v>1438</v>
      </c>
      <c r="U40" s="99">
        <v>-3.4129999999999998E-3</v>
      </c>
      <c r="V40" s="337">
        <v>0.39426766314816242</v>
      </c>
    </row>
    <row r="41" spans="1:22" ht="15.75" customHeight="1" x14ac:dyDescent="0.2">
      <c r="A41" s="305"/>
      <c r="B41" s="3" t="s">
        <v>1513</v>
      </c>
      <c r="C41" s="101" cm="1">
        <f t="array" ref="C41:M41">tinh_du_lieu_cp(B41)</f>
        <v>39.299999999999997</v>
      </c>
      <c r="D41" s="103">
        <v>228.5</v>
      </c>
      <c r="E41" s="102">
        <v>-2.5380000000000003E-3</v>
      </c>
      <c r="F41" s="98">
        <v>0.42847888716523752</v>
      </c>
      <c r="G41" s="98">
        <v>1.0013293260894691</v>
      </c>
      <c r="H41" s="98">
        <v>0.60827898309596695</v>
      </c>
      <c r="I41" s="93">
        <v>3.2679738562091505E-2</v>
      </c>
      <c r="J41" s="101">
        <v>38.25</v>
      </c>
      <c r="K41" s="101">
        <v>39.5</v>
      </c>
      <c r="L41" s="93">
        <v>2.745098039215679E-2</v>
      </c>
      <c r="M41" s="93">
        <v>-5.0632911392405784E-3</v>
      </c>
      <c r="N41" s="92"/>
      <c r="O41" s="92">
        <f t="shared" si="5"/>
        <v>-1</v>
      </c>
      <c r="P41" s="92">
        <f t="shared" si="1"/>
        <v>0</v>
      </c>
      <c r="Q41" s="92">
        <f t="shared" si="4"/>
        <v>1</v>
      </c>
      <c r="T41" s="12" t="s">
        <v>2415</v>
      </c>
      <c r="U41" s="99">
        <v>-3.2640000000000004E-3</v>
      </c>
      <c r="V41" s="337">
        <v>0.5501634331998333</v>
      </c>
    </row>
    <row r="42" spans="1:22" ht="15.75" customHeight="1" x14ac:dyDescent="0.2">
      <c r="A42" s="305"/>
      <c r="B42" s="3" t="s">
        <v>1589</v>
      </c>
      <c r="C42" s="101" cm="1">
        <f t="array" ref="C42:M42">tinh_du_lieu_cp(B42)</f>
        <v>3.06</v>
      </c>
      <c r="D42" s="103">
        <v>23.5</v>
      </c>
      <c r="E42" s="102">
        <v>-6.4939999999999998E-3</v>
      </c>
      <c r="F42" s="98">
        <v>0.14457494407158836</v>
      </c>
      <c r="G42" s="98">
        <v>1.0510081251880832</v>
      </c>
      <c r="H42" s="98">
        <v>0.16342141863699583</v>
      </c>
      <c r="I42" s="93">
        <v>0.37916666666666676</v>
      </c>
      <c r="J42" s="101">
        <v>2.4</v>
      </c>
      <c r="K42" s="101">
        <v>3.31</v>
      </c>
      <c r="L42" s="93">
        <v>0.27500000000000008</v>
      </c>
      <c r="M42" s="93">
        <v>-7.5528700906344406E-2</v>
      </c>
      <c r="N42" s="92"/>
      <c r="O42" s="92">
        <f t="shared" si="5"/>
        <v>-1</v>
      </c>
      <c r="P42" s="92">
        <f t="shared" si="1"/>
        <v>0</v>
      </c>
      <c r="Q42" s="92">
        <f t="shared" si="4"/>
        <v>1</v>
      </c>
      <c r="T42" s="12" t="s">
        <v>983</v>
      </c>
      <c r="U42" s="115">
        <v>-3.0859999999999998E-3</v>
      </c>
      <c r="V42" s="116">
        <v>0.81489856711095654</v>
      </c>
    </row>
    <row r="43" spans="1:22" ht="15.75" customHeight="1" x14ac:dyDescent="0.2">
      <c r="A43" s="305"/>
      <c r="B43" s="3" t="s">
        <v>1594</v>
      </c>
      <c r="C43" s="101" cm="1">
        <f t="array" ref="C43:M43">tinh_du_lieu_cp(B43)</f>
        <v>36.950000000000003</v>
      </c>
      <c r="D43" s="103">
        <v>75.900000000000006</v>
      </c>
      <c r="E43" s="102">
        <v>-1.351E-3</v>
      </c>
      <c r="F43" s="98">
        <v>0.83132530120481929</v>
      </c>
      <c r="G43" s="98">
        <v>1.0286303734579596</v>
      </c>
      <c r="H43" s="98">
        <v>0.62546353522867737</v>
      </c>
      <c r="I43" s="93">
        <v>0.1111111111111111</v>
      </c>
      <c r="J43" s="101">
        <v>33.75</v>
      </c>
      <c r="K43" s="101">
        <v>37.5</v>
      </c>
      <c r="L43" s="93">
        <v>9.4814814814814893E-2</v>
      </c>
      <c r="M43" s="93">
        <v>-1.466666666666659E-2</v>
      </c>
      <c r="N43" s="92"/>
      <c r="O43" s="92">
        <f t="shared" si="5"/>
        <v>-1</v>
      </c>
      <c r="P43" s="92">
        <f t="shared" si="1"/>
        <v>0</v>
      </c>
      <c r="Q43" s="92">
        <f t="shared" si="4"/>
        <v>1</v>
      </c>
      <c r="T43" s="12" t="s">
        <v>2884</v>
      </c>
      <c r="U43" s="99">
        <v>-2.9989999999999999E-3</v>
      </c>
      <c r="V43" s="337">
        <v>0.14203862600967049</v>
      </c>
    </row>
    <row r="44" spans="1:22" ht="15.75" customHeight="1" x14ac:dyDescent="0.2">
      <c r="A44" s="305"/>
      <c r="B44" s="3" t="s">
        <v>1741</v>
      </c>
      <c r="C44" s="101" cm="1">
        <f t="array" ref="C44:M44">tinh_du_lieu_cp(B44)</f>
        <v>22</v>
      </c>
      <c r="D44" s="103">
        <v>271.86609999999996</v>
      </c>
      <c r="E44" s="102">
        <v>4.5659999999999997E-3</v>
      </c>
      <c r="F44" s="98">
        <v>6.7197865416961733</v>
      </c>
      <c r="G44" s="98">
        <v>1.0047856845609655</v>
      </c>
      <c r="H44" s="98">
        <v>3.434343208915331</v>
      </c>
      <c r="I44" s="93">
        <v>0.16908212560386474</v>
      </c>
      <c r="J44" s="101">
        <v>20.7</v>
      </c>
      <c r="K44" s="101">
        <v>24.2</v>
      </c>
      <c r="L44" s="93">
        <v>6.2801932367149801E-2</v>
      </c>
      <c r="M44" s="93">
        <v>-9.0909090909090884E-2</v>
      </c>
      <c r="N44" s="92"/>
      <c r="O44" s="92">
        <f t="shared" ref="O44:O55" si="6">IF(E44&gt;0,1,IF(E44=0,0,-1))</f>
        <v>1</v>
      </c>
      <c r="P44" s="92">
        <f t="shared" ref="P44:P55" si="7">IF(O44=1,1,0)</f>
        <v>1</v>
      </c>
      <c r="Q44" s="92">
        <f t="shared" ref="Q44:Q55" si="8">IF(O44&lt;0,1,0)</f>
        <v>0</v>
      </c>
      <c r="T44" s="12" t="s">
        <v>1513</v>
      </c>
      <c r="U44" s="99">
        <v>-2.5380000000000003E-3</v>
      </c>
      <c r="V44" s="337">
        <v>0.42847888716523752</v>
      </c>
    </row>
    <row r="45" spans="1:22" x14ac:dyDescent="0.2">
      <c r="A45" s="305"/>
      <c r="B45" s="3" t="s">
        <v>1797</v>
      </c>
      <c r="C45" s="101" cm="1">
        <f t="array" ref="C45:M45">tinh_du_lieu_cp(B45)</f>
        <v>34.15</v>
      </c>
      <c r="D45" s="103">
        <v>1331.6</v>
      </c>
      <c r="E45" s="102">
        <v>-8.7080000000000005E-3</v>
      </c>
      <c r="F45" s="98">
        <v>0.60162568233066493</v>
      </c>
      <c r="G45" s="98">
        <v>1.0096871526123552</v>
      </c>
      <c r="H45" s="98">
        <v>0.5219163585529325</v>
      </c>
      <c r="I45" s="93">
        <v>0.21677215189873422</v>
      </c>
      <c r="J45" s="101">
        <v>31.6</v>
      </c>
      <c r="K45" s="101">
        <v>38.450000000000003</v>
      </c>
      <c r="L45" s="93">
        <v>8.0696202531645472E-2</v>
      </c>
      <c r="M45" s="93">
        <v>-0.1118335500650196</v>
      </c>
      <c r="N45" s="92"/>
      <c r="O45" s="92">
        <f t="shared" si="6"/>
        <v>-1</v>
      </c>
      <c r="P45" s="92">
        <f t="shared" si="7"/>
        <v>0</v>
      </c>
      <c r="Q45" s="92">
        <f t="shared" si="8"/>
        <v>1</v>
      </c>
      <c r="T45" s="12" t="s">
        <v>1911</v>
      </c>
      <c r="U45" s="115">
        <v>-2.4879999999999998E-3</v>
      </c>
      <c r="V45" s="116">
        <v>1.1601526673662723</v>
      </c>
    </row>
    <row r="46" spans="1:22" x14ac:dyDescent="0.2">
      <c r="A46" s="305"/>
      <c r="B46" s="3" t="s">
        <v>1841</v>
      </c>
      <c r="C46" s="101" cm="1">
        <f t="array" ref="C46:M46">tinh_du_lieu_cp(B46)</f>
        <v>18.350000000000001</v>
      </c>
      <c r="D46" s="103">
        <v>2301</v>
      </c>
      <c r="E46" s="102">
        <v>5.4790000000000004E-3</v>
      </c>
      <c r="F46" s="98">
        <v>1.2558423387216815</v>
      </c>
      <c r="G46" s="98">
        <v>1.0312942691564713</v>
      </c>
      <c r="H46" s="98">
        <v>0.87559854130331383</v>
      </c>
      <c r="I46" s="93">
        <v>0.20552147239263791</v>
      </c>
      <c r="J46" s="101">
        <v>16.3</v>
      </c>
      <c r="K46" s="101">
        <v>19.649999999999999</v>
      </c>
      <c r="L46" s="93">
        <v>0.12576687116564422</v>
      </c>
      <c r="M46" s="93">
        <v>-6.615776081424922E-2</v>
      </c>
      <c r="N46" s="92"/>
      <c r="O46" s="92">
        <f t="shared" si="6"/>
        <v>1</v>
      </c>
      <c r="P46" s="92">
        <f t="shared" si="7"/>
        <v>1</v>
      </c>
      <c r="Q46" s="92">
        <f t="shared" si="8"/>
        <v>0</v>
      </c>
      <c r="T46" s="12" t="s">
        <v>1594</v>
      </c>
      <c r="U46" s="99">
        <v>-1.351E-3</v>
      </c>
      <c r="V46" s="337">
        <v>0.83132530120481929</v>
      </c>
    </row>
    <row r="47" spans="1:22" x14ac:dyDescent="0.2">
      <c r="A47" s="305"/>
      <c r="B47" s="3" t="s">
        <v>122</v>
      </c>
      <c r="C47" s="101" cm="1">
        <f t="array" ref="C47:M47">tinh_du_lieu_cp(B47)</f>
        <v>10.4</v>
      </c>
      <c r="D47" s="103">
        <v>5788.1</v>
      </c>
      <c r="E47" s="102">
        <v>0</v>
      </c>
      <c r="F47" s="98">
        <v>0.60386163355027922</v>
      </c>
      <c r="G47" s="98">
        <v>1.0610849056603771</v>
      </c>
      <c r="H47" s="98">
        <v>0.46536588197518514</v>
      </c>
      <c r="I47" s="93">
        <v>0.25</v>
      </c>
      <c r="J47" s="101">
        <v>8.68</v>
      </c>
      <c r="K47" s="101">
        <v>10.85</v>
      </c>
      <c r="L47" s="93">
        <v>0.19815668202764986</v>
      </c>
      <c r="M47" s="93">
        <v>-4.1474654377880123E-2</v>
      </c>
      <c r="N47" s="92"/>
      <c r="O47" s="92">
        <f t="shared" si="6"/>
        <v>0</v>
      </c>
      <c r="P47" s="92">
        <f t="shared" si="7"/>
        <v>0</v>
      </c>
      <c r="Q47" s="92">
        <f t="shared" si="8"/>
        <v>0</v>
      </c>
      <c r="T47" s="12" t="s">
        <v>122</v>
      </c>
      <c r="U47" s="99">
        <v>0</v>
      </c>
      <c r="V47" s="337">
        <v>0.60386163355027922</v>
      </c>
    </row>
    <row r="48" spans="1:22" x14ac:dyDescent="0.2">
      <c r="A48" s="305"/>
      <c r="B48" s="3" t="s">
        <v>1854</v>
      </c>
      <c r="C48" s="101" cm="1">
        <f t="array" ref="C48:M48">tinh_du_lieu_cp(B48)</f>
        <v>8.19</v>
      </c>
      <c r="D48" s="103">
        <v>0</v>
      </c>
      <c r="E48" s="102">
        <v>0</v>
      </c>
      <c r="F48" s="98">
        <v>0</v>
      </c>
      <c r="G48" s="98">
        <v>1.005339650666516</v>
      </c>
      <c r="H48" s="98">
        <v>0</v>
      </c>
      <c r="I48" s="93">
        <v>9.6688741721854252E-2</v>
      </c>
      <c r="J48" s="101">
        <v>7.55</v>
      </c>
      <c r="K48" s="101">
        <v>8.2799999999999994</v>
      </c>
      <c r="L48" s="93">
        <v>8.476821192052976E-2</v>
      </c>
      <c r="M48" s="93">
        <v>-1.0869565217391288E-2</v>
      </c>
      <c r="N48" s="92"/>
      <c r="O48" s="92">
        <f t="shared" si="6"/>
        <v>0</v>
      </c>
      <c r="P48" s="92">
        <f t="shared" si="7"/>
        <v>0</v>
      </c>
      <c r="Q48" s="92">
        <f t="shared" si="8"/>
        <v>0</v>
      </c>
      <c r="T48" s="12" t="s">
        <v>1460</v>
      </c>
      <c r="U48" s="115">
        <v>0</v>
      </c>
      <c r="V48" s="116">
        <v>0</v>
      </c>
    </row>
    <row r="49" spans="1:22" x14ac:dyDescent="0.2">
      <c r="A49" s="305"/>
      <c r="B49" s="3" t="s">
        <v>1911</v>
      </c>
      <c r="C49" s="101" cm="1">
        <f t="array" ref="C49:M49">tinh_du_lieu_cp(B49)</f>
        <v>20.05</v>
      </c>
      <c r="D49" s="103">
        <v>7336.7</v>
      </c>
      <c r="E49" s="102">
        <v>-2.4879999999999998E-3</v>
      </c>
      <c r="F49" s="98">
        <v>1.1601526673662723</v>
      </c>
      <c r="G49" s="98">
        <v>1.0211515863689777</v>
      </c>
      <c r="H49" s="98">
        <v>0.89191505570898011</v>
      </c>
      <c r="I49" s="93">
        <v>0.22991689750692512</v>
      </c>
      <c r="J49" s="101">
        <v>18.05</v>
      </c>
      <c r="K49" s="101">
        <v>22.2</v>
      </c>
      <c r="L49" s="93">
        <v>0.11080332409972299</v>
      </c>
      <c r="M49" s="93">
        <v>-9.6846846846846787E-2</v>
      </c>
      <c r="N49" s="92"/>
      <c r="O49" s="92">
        <f t="shared" si="6"/>
        <v>-1</v>
      </c>
      <c r="P49" s="92">
        <f t="shared" si="7"/>
        <v>0</v>
      </c>
      <c r="Q49" s="92">
        <f t="shared" si="8"/>
        <v>1</v>
      </c>
      <c r="T49" s="12" t="s">
        <v>2064</v>
      </c>
      <c r="U49" s="99">
        <v>0</v>
      </c>
      <c r="V49" s="337">
        <v>9.8419325976737262E-2</v>
      </c>
    </row>
    <row r="50" spans="1:22" x14ac:dyDescent="0.2">
      <c r="A50" s="305"/>
      <c r="B50" s="3" t="s">
        <v>2064</v>
      </c>
      <c r="C50" s="101" cm="1">
        <f t="array" ref="C50:M50">tinh_du_lieu_cp(B50)</f>
        <v>2.73</v>
      </c>
      <c r="D50" s="103">
        <v>6</v>
      </c>
      <c r="E50" s="102">
        <v>0</v>
      </c>
      <c r="F50" s="98">
        <v>9.8419325976737262E-2</v>
      </c>
      <c r="G50" s="98">
        <v>1.0216737588652485</v>
      </c>
      <c r="H50" s="98">
        <v>0.13412816691505217</v>
      </c>
      <c r="I50" s="93">
        <v>0.19183673469387744</v>
      </c>
      <c r="J50" s="101">
        <v>2.4500000000000002</v>
      </c>
      <c r="K50" s="101">
        <v>2.92</v>
      </c>
      <c r="L50" s="93">
        <v>0.1142857142857142</v>
      </c>
      <c r="M50" s="93">
        <v>-6.5068493150684914E-2</v>
      </c>
      <c r="N50" s="92"/>
      <c r="O50" s="92">
        <f t="shared" si="6"/>
        <v>0</v>
      </c>
      <c r="P50" s="92">
        <f t="shared" si="7"/>
        <v>0</v>
      </c>
      <c r="Q50" s="92">
        <f t="shared" si="8"/>
        <v>0</v>
      </c>
      <c r="T50" s="12" t="s">
        <v>1854</v>
      </c>
      <c r="U50" s="99">
        <v>0</v>
      </c>
      <c r="V50" s="337">
        <v>0</v>
      </c>
    </row>
    <row r="51" spans="1:22" x14ac:dyDescent="0.2">
      <c r="A51" s="305"/>
      <c r="B51" s="3" t="s">
        <v>2124</v>
      </c>
      <c r="C51" s="101" cm="1">
        <f t="array" ref="C51:M51">tinh_du_lieu_cp(B51)</f>
        <v>13.45</v>
      </c>
      <c r="D51" s="103">
        <v>2276</v>
      </c>
      <c r="E51" s="102">
        <v>4.6692999999999998E-2</v>
      </c>
      <c r="F51" s="98">
        <v>1.8750748951467944</v>
      </c>
      <c r="G51" s="98">
        <v>1.0281938862501525</v>
      </c>
      <c r="H51" s="98">
        <v>1.8900514864640425</v>
      </c>
      <c r="I51" s="93">
        <v>0.33830845771144263</v>
      </c>
      <c r="J51" s="101">
        <v>10.050000000000001</v>
      </c>
      <c r="K51" s="101">
        <v>13.45</v>
      </c>
      <c r="L51" s="93">
        <v>0.33830845771144263</v>
      </c>
      <c r="M51" s="93">
        <v>0</v>
      </c>
      <c r="N51" s="92"/>
      <c r="O51" s="92">
        <f t="shared" si="6"/>
        <v>1</v>
      </c>
      <c r="P51" s="92">
        <f t="shared" si="7"/>
        <v>1</v>
      </c>
      <c r="Q51" s="92">
        <f t="shared" si="8"/>
        <v>0</v>
      </c>
      <c r="T51" s="12" t="s">
        <v>1237</v>
      </c>
      <c r="U51" s="99">
        <v>0</v>
      </c>
      <c r="V51" s="337">
        <v>0.78115038059496633</v>
      </c>
    </row>
    <row r="52" spans="1:22" x14ac:dyDescent="0.2">
      <c r="A52" s="305"/>
      <c r="B52" s="3" t="s">
        <v>2219</v>
      </c>
      <c r="C52" s="101" cm="1">
        <f t="array" ref="C52:M52">tinh_du_lieu_cp(B52)</f>
        <v>6.29</v>
      </c>
      <c r="D52" s="103">
        <v>2801.8</v>
      </c>
      <c r="E52" s="102">
        <v>-1.8721000000000002E-2</v>
      </c>
      <c r="F52" s="98">
        <v>0.79575579010335695</v>
      </c>
      <c r="G52" s="98">
        <v>1.0784976814490301</v>
      </c>
      <c r="H52" s="98">
        <v>0.97126778791432911</v>
      </c>
      <c r="I52" s="93">
        <v>0.26171874999999994</v>
      </c>
      <c r="J52" s="101">
        <v>5.12</v>
      </c>
      <c r="K52" s="101">
        <v>6.46</v>
      </c>
      <c r="L52" s="93">
        <v>0.22851562499999997</v>
      </c>
      <c r="M52" s="93">
        <v>-2.6315789473684199E-2</v>
      </c>
      <c r="N52" s="92"/>
      <c r="O52" s="92">
        <f t="shared" si="6"/>
        <v>-1</v>
      </c>
      <c r="P52" s="92">
        <f t="shared" si="7"/>
        <v>0</v>
      </c>
      <c r="Q52" s="92">
        <f t="shared" si="8"/>
        <v>1</v>
      </c>
      <c r="T52" s="12" t="s">
        <v>2795</v>
      </c>
      <c r="U52" s="99">
        <v>2.3779999999999999E-3</v>
      </c>
      <c r="V52" s="337">
        <v>0.39647690267391561</v>
      </c>
    </row>
    <row r="53" spans="1:22" x14ac:dyDescent="0.2">
      <c r="A53" s="305"/>
      <c r="B53" s="3" t="s">
        <v>2273</v>
      </c>
      <c r="C53" s="101" cm="1">
        <f t="array" ref="C53:M53">tinh_du_lieu_cp(B53)</f>
        <v>39</v>
      </c>
      <c r="D53" s="103">
        <v>36.299999999999997</v>
      </c>
      <c r="E53" s="102">
        <v>-2.5000000000000001E-2</v>
      </c>
      <c r="F53" s="98">
        <v>0.4624471596502403</v>
      </c>
      <c r="G53" s="98">
        <v>1.0600199320682573</v>
      </c>
      <c r="H53" s="98">
        <v>0.4303497332542976</v>
      </c>
      <c r="I53" s="93">
        <v>0.2</v>
      </c>
      <c r="J53" s="101">
        <v>35</v>
      </c>
      <c r="K53" s="101">
        <v>42</v>
      </c>
      <c r="L53" s="93">
        <v>0.11428571428571428</v>
      </c>
      <c r="M53" s="93">
        <v>-7.1428571428571425E-2</v>
      </c>
      <c r="N53" s="92"/>
      <c r="O53" s="92">
        <f t="shared" si="6"/>
        <v>-1</v>
      </c>
      <c r="P53" s="92">
        <f t="shared" si="7"/>
        <v>0</v>
      </c>
      <c r="Q53" s="92">
        <f t="shared" si="8"/>
        <v>1</v>
      </c>
      <c r="T53" s="12" t="s">
        <v>859</v>
      </c>
      <c r="U53" s="99">
        <v>2.5000000000000001E-3</v>
      </c>
      <c r="V53" s="337">
        <v>0.76770815927715341</v>
      </c>
    </row>
    <row r="54" spans="1:22" x14ac:dyDescent="0.2">
      <c r="A54" s="305"/>
      <c r="B54" s="3" t="s">
        <v>2299</v>
      </c>
      <c r="C54" s="101" cm="1">
        <f t="array" ref="C54:M54">tinh_du_lieu_cp(B54)</f>
        <v>90.7</v>
      </c>
      <c r="D54" s="103">
        <v>300.2</v>
      </c>
      <c r="E54" s="102">
        <v>-1.6268999999999999E-2</v>
      </c>
      <c r="F54" s="98">
        <v>0.41126872828266475</v>
      </c>
      <c r="G54" s="98">
        <v>1.0659850471959031</v>
      </c>
      <c r="H54" s="98">
        <v>0.45112330002254114</v>
      </c>
      <c r="I54" s="93">
        <v>0.1820512820512821</v>
      </c>
      <c r="J54" s="101">
        <v>78</v>
      </c>
      <c r="K54" s="101">
        <v>92.2</v>
      </c>
      <c r="L54" s="93">
        <v>0.16282051282051285</v>
      </c>
      <c r="M54" s="93">
        <v>-1.6268980477223426E-2</v>
      </c>
      <c r="N54" s="92"/>
      <c r="O54" s="92">
        <f t="shared" si="6"/>
        <v>-1</v>
      </c>
      <c r="P54" s="92">
        <f t="shared" si="7"/>
        <v>0</v>
      </c>
      <c r="Q54" s="92">
        <f t="shared" si="8"/>
        <v>1</v>
      </c>
      <c r="T54" s="12" t="s">
        <v>778</v>
      </c>
      <c r="U54" s="99">
        <v>2.6879999999999999E-3</v>
      </c>
      <c r="V54" s="337">
        <v>0.45719338970872714</v>
      </c>
    </row>
    <row r="55" spans="1:22" x14ac:dyDescent="0.2">
      <c r="A55" s="305"/>
      <c r="B55" s="3" t="s">
        <v>2313</v>
      </c>
      <c r="C55" s="101" cm="1">
        <f t="array" ref="C55:M55">tinh_du_lieu_cp(B55)</f>
        <v>103.6</v>
      </c>
      <c r="D55" s="103">
        <v>4.2</v>
      </c>
      <c r="E55" s="102">
        <v>2.9039999999999999E-3</v>
      </c>
      <c r="F55" s="98">
        <v>3.0419753086419751E-2</v>
      </c>
      <c r="G55" s="98">
        <v>1.0483130648748402</v>
      </c>
      <c r="H55" s="98">
        <v>6.2749003984063745E-2</v>
      </c>
      <c r="I55" s="93">
        <v>0.69836065573770478</v>
      </c>
      <c r="J55" s="101">
        <v>61</v>
      </c>
      <c r="K55" s="101">
        <v>103.6</v>
      </c>
      <c r="L55" s="93">
        <v>0.69836065573770478</v>
      </c>
      <c r="M55" s="93">
        <v>0</v>
      </c>
      <c r="N55" s="92"/>
      <c r="O55" s="92">
        <f t="shared" si="6"/>
        <v>1</v>
      </c>
      <c r="P55" s="92">
        <f t="shared" si="7"/>
        <v>1</v>
      </c>
      <c r="Q55" s="92">
        <f t="shared" si="8"/>
        <v>0</v>
      </c>
      <c r="T55" s="12" t="s">
        <v>2313</v>
      </c>
      <c r="U55" s="99">
        <v>2.9039999999999999E-3</v>
      </c>
      <c r="V55" s="337">
        <v>3.0419753086419751E-2</v>
      </c>
    </row>
    <row r="56" spans="1:22" x14ac:dyDescent="0.2">
      <c r="A56" s="305"/>
      <c r="B56" s="3" t="s">
        <v>2415</v>
      </c>
      <c r="C56" s="101" cm="1">
        <f t="array" ref="C56:M56">tinh_du_lieu_cp(B56)</f>
        <v>45.8</v>
      </c>
      <c r="D56" s="103">
        <v>1338.1</v>
      </c>
      <c r="E56" s="102">
        <v>-3.2640000000000004E-3</v>
      </c>
      <c r="F56" s="98">
        <v>0.5501634331998333</v>
      </c>
      <c r="G56" s="98">
        <v>1.0358702004056239</v>
      </c>
      <c r="H56" s="98">
        <v>0.53474803181073416</v>
      </c>
      <c r="I56" s="93">
        <v>0.13235294117647073</v>
      </c>
      <c r="J56" s="101">
        <v>40.799999999999997</v>
      </c>
      <c r="K56" s="101">
        <v>46.2</v>
      </c>
      <c r="L56" s="93">
        <v>0.12254901960784315</v>
      </c>
      <c r="M56" s="93">
        <v>-8.6580086580087812E-3</v>
      </c>
      <c r="N56" s="92"/>
      <c r="O56" s="92">
        <f t="shared" ref="O56:O64" si="9">IF(E56&gt;0,1,IF(E56=0,0,-1))</f>
        <v>-1</v>
      </c>
      <c r="P56" s="92">
        <f t="shared" ref="P56:P64" si="10">IF(O56=1,1,0)</f>
        <v>0</v>
      </c>
      <c r="Q56" s="92">
        <f t="shared" ref="Q56:Q64" si="11">IF(O56&lt;0,1,0)</f>
        <v>1</v>
      </c>
      <c r="T56" s="12" t="s">
        <v>1485</v>
      </c>
      <c r="U56" s="99">
        <v>4.4640000000000001E-3</v>
      </c>
      <c r="V56" s="337">
        <v>0.54408339802595096</v>
      </c>
    </row>
    <row r="57" spans="1:22" x14ac:dyDescent="0.2">
      <c r="A57" s="305"/>
      <c r="B57" s="3" t="s">
        <v>2442</v>
      </c>
      <c r="C57" s="101" cm="1">
        <f t="array" ref="C57:M57">tinh_du_lieu_cp(B57)</f>
        <v>17.45</v>
      </c>
      <c r="D57" s="103">
        <v>3666.2</v>
      </c>
      <c r="E57" s="102">
        <v>-1.9663E-2</v>
      </c>
      <c r="F57" s="98">
        <v>0.58909920622167944</v>
      </c>
      <c r="G57" s="98">
        <v>1.0735088210585271</v>
      </c>
      <c r="H57" s="98">
        <v>0.50300584247053037</v>
      </c>
      <c r="I57" s="93">
        <v>0.31851851851851859</v>
      </c>
      <c r="J57" s="101">
        <v>13.5</v>
      </c>
      <c r="K57" s="101">
        <v>17.8</v>
      </c>
      <c r="L57" s="93">
        <v>0.29259259259259252</v>
      </c>
      <c r="M57" s="93">
        <v>-1.9662921348314686E-2</v>
      </c>
      <c r="N57" s="92"/>
      <c r="O57" s="92">
        <f t="shared" si="9"/>
        <v>-1</v>
      </c>
      <c r="P57" s="92">
        <f t="shared" si="10"/>
        <v>0</v>
      </c>
      <c r="Q57" s="92">
        <f t="shared" si="11"/>
        <v>1</v>
      </c>
      <c r="T57" s="12" t="s">
        <v>1741</v>
      </c>
      <c r="U57" s="99">
        <v>4.5659999999999997E-3</v>
      </c>
      <c r="V57" s="337">
        <v>6.7197865416961733</v>
      </c>
    </row>
    <row r="58" spans="1:22" x14ac:dyDescent="0.2">
      <c r="A58" s="305"/>
      <c r="B58" s="3" t="s">
        <v>2466</v>
      </c>
      <c r="C58" s="101" cm="1">
        <f t="array" ref="C58:M58">tinh_du_lieu_cp(B58)</f>
        <v>3.07</v>
      </c>
      <c r="D58" s="103">
        <v>163.80000000000001</v>
      </c>
      <c r="E58" s="102">
        <v>-9.6769999999999998E-3</v>
      </c>
      <c r="F58" s="98">
        <v>0.42788444412780963</v>
      </c>
      <c r="G58" s="98">
        <v>1.0688954850804562</v>
      </c>
      <c r="H58" s="98">
        <v>0.53728405860485451</v>
      </c>
      <c r="I58" s="93">
        <v>0.61244019138756001</v>
      </c>
      <c r="J58" s="101">
        <v>2.09</v>
      </c>
      <c r="K58" s="101">
        <v>3.37</v>
      </c>
      <c r="L58" s="93">
        <v>0.46889952153110048</v>
      </c>
      <c r="M58" s="93">
        <v>-8.9020771513353192E-2</v>
      </c>
      <c r="N58" s="92"/>
      <c r="O58" s="92">
        <f t="shared" si="9"/>
        <v>-1</v>
      </c>
      <c r="P58" s="92">
        <f t="shared" si="10"/>
        <v>0</v>
      </c>
      <c r="Q58" s="92">
        <f t="shared" si="11"/>
        <v>1</v>
      </c>
      <c r="T58" s="12" t="s">
        <v>1841</v>
      </c>
      <c r="U58" s="115">
        <v>5.4790000000000004E-3</v>
      </c>
      <c r="V58" s="116">
        <v>1.2558423387216815</v>
      </c>
    </row>
    <row r="59" spans="1:22" x14ac:dyDescent="0.2">
      <c r="A59" s="305"/>
      <c r="B59" s="3" t="s">
        <v>2517</v>
      </c>
      <c r="C59" s="101" cm="1">
        <f t="array" ref="C59:M59">tinh_du_lieu_cp(B59)</f>
        <v>22.25</v>
      </c>
      <c r="D59" s="103">
        <v>215.7</v>
      </c>
      <c r="E59" s="102">
        <v>-1.9823999999999998E-2</v>
      </c>
      <c r="F59" s="98">
        <v>0.9783926436023257</v>
      </c>
      <c r="G59" s="98">
        <v>1.0342857142857145</v>
      </c>
      <c r="H59" s="98">
        <v>0.63716029933044505</v>
      </c>
      <c r="I59" s="93">
        <v>0.13691931540342303</v>
      </c>
      <c r="J59" s="101">
        <v>20.45</v>
      </c>
      <c r="K59" s="101">
        <v>23.25</v>
      </c>
      <c r="L59" s="93">
        <v>8.8019559902200534E-2</v>
      </c>
      <c r="M59" s="93">
        <v>-4.3010752688172046E-2</v>
      </c>
      <c r="N59" s="92"/>
      <c r="O59" s="92">
        <f t="shared" si="9"/>
        <v>-1</v>
      </c>
      <c r="P59" s="92">
        <f t="shared" si="10"/>
        <v>0</v>
      </c>
      <c r="Q59" s="92">
        <f t="shared" si="11"/>
        <v>1</v>
      </c>
      <c r="T59" s="12" t="s">
        <v>2791</v>
      </c>
      <c r="U59" s="99">
        <v>7.0509999999999991E-3</v>
      </c>
      <c r="V59" s="337">
        <v>1.0907529227304218</v>
      </c>
    </row>
    <row r="60" spans="1:22" x14ac:dyDescent="0.2">
      <c r="A60" s="305"/>
      <c r="B60" s="3" t="s">
        <v>2531</v>
      </c>
      <c r="C60" s="101" cm="1">
        <f t="array" ref="C60:M60">tinh_du_lieu_cp(B60)</f>
        <v>6.28</v>
      </c>
      <c r="D60" s="103">
        <v>41</v>
      </c>
      <c r="E60" s="102">
        <v>-1.1024000000000001E-2</v>
      </c>
      <c r="F60" s="98">
        <v>0.18013340256420499</v>
      </c>
      <c r="G60" s="98">
        <v>1.026344980587909</v>
      </c>
      <c r="H60" s="98">
        <v>0.15732924021488873</v>
      </c>
      <c r="I60" s="93">
        <v>8.9193825042881578E-2</v>
      </c>
      <c r="J60" s="101">
        <v>5.83</v>
      </c>
      <c r="K60" s="101">
        <v>6.35</v>
      </c>
      <c r="L60" s="93">
        <v>7.7186963979416837E-2</v>
      </c>
      <c r="M60" s="93">
        <v>-1.1023622047244001E-2</v>
      </c>
      <c r="N60" s="92"/>
      <c r="O60" s="92">
        <f t="shared" si="9"/>
        <v>-1</v>
      </c>
      <c r="P60" s="92">
        <f t="shared" si="10"/>
        <v>0</v>
      </c>
      <c r="Q60" s="92">
        <f t="shared" si="11"/>
        <v>1</v>
      </c>
      <c r="T60" s="12" t="s">
        <v>1051</v>
      </c>
      <c r="U60" s="99">
        <v>8.7339999999999987E-3</v>
      </c>
      <c r="V60" s="337">
        <v>0.64122264907299142</v>
      </c>
    </row>
    <row r="61" spans="1:22" x14ac:dyDescent="0.2">
      <c r="A61" s="305"/>
      <c r="B61" s="3" t="s">
        <v>2791</v>
      </c>
      <c r="C61" s="101" cm="1">
        <f t="array" ref="C61:M61">tinh_du_lieu_cp(B61)</f>
        <v>42.85</v>
      </c>
      <c r="D61" s="103">
        <v>6526.1559999999999</v>
      </c>
      <c r="E61" s="102">
        <v>7.0509999999999991E-3</v>
      </c>
      <c r="F61" s="98">
        <v>1.0907529227304218</v>
      </c>
      <c r="G61" s="98">
        <v>1.047138626158403</v>
      </c>
      <c r="H61" s="98">
        <v>0.7774268714839826</v>
      </c>
      <c r="I61" s="93">
        <v>0.1350993377483444</v>
      </c>
      <c r="J61" s="101">
        <v>37.75</v>
      </c>
      <c r="K61" s="101">
        <v>42.85</v>
      </c>
      <c r="L61" s="93">
        <v>0.1350993377483444</v>
      </c>
      <c r="M61" s="93">
        <v>0</v>
      </c>
      <c r="N61" s="92"/>
      <c r="O61" s="92">
        <f t="shared" si="9"/>
        <v>1</v>
      </c>
      <c r="P61" s="92">
        <f t="shared" si="10"/>
        <v>1</v>
      </c>
      <c r="Q61" s="92">
        <f t="shared" si="11"/>
        <v>0</v>
      </c>
      <c r="T61" s="12" t="s">
        <v>1478</v>
      </c>
      <c r="U61" s="99">
        <v>9.9670000000000002E-3</v>
      </c>
      <c r="V61" s="337">
        <v>1.0202234194399307</v>
      </c>
    </row>
    <row r="62" spans="1:22" x14ac:dyDescent="0.2">
      <c r="A62" s="305"/>
      <c r="B62" s="3" t="s">
        <v>2795</v>
      </c>
      <c r="C62" s="101" cm="1">
        <f t="array" ref="C62:M62">tinh_du_lieu_cp(B62)</f>
        <v>42.15</v>
      </c>
      <c r="D62" s="103">
        <v>1557.3</v>
      </c>
      <c r="E62" s="102">
        <v>2.3779999999999999E-3</v>
      </c>
      <c r="F62" s="98">
        <v>0.39647690267391561</v>
      </c>
      <c r="G62" s="98">
        <v>1.0192487211082484</v>
      </c>
      <c r="H62" s="98">
        <v>0.77583114683317278</v>
      </c>
      <c r="I62" s="93">
        <v>5.6390977443609026E-2</v>
      </c>
      <c r="J62" s="101">
        <v>39.9</v>
      </c>
      <c r="K62" s="101">
        <v>42.15</v>
      </c>
      <c r="L62" s="93">
        <v>5.6390977443609026E-2</v>
      </c>
      <c r="M62" s="93">
        <v>0</v>
      </c>
      <c r="N62" s="92"/>
      <c r="O62" s="92">
        <f t="shared" si="9"/>
        <v>1</v>
      </c>
      <c r="P62" s="92">
        <f t="shared" si="10"/>
        <v>1</v>
      </c>
      <c r="Q62" s="92">
        <f t="shared" si="11"/>
        <v>0</v>
      </c>
      <c r="T62" s="12" t="s">
        <v>1235</v>
      </c>
      <c r="U62" s="115">
        <v>2.4145E-2</v>
      </c>
      <c r="V62" s="116">
        <v>2.2974668033152126</v>
      </c>
    </row>
    <row r="63" spans="1:22" x14ac:dyDescent="0.2">
      <c r="A63" s="305"/>
      <c r="B63" s="3" t="s">
        <v>2884</v>
      </c>
      <c r="C63" s="101" cm="1">
        <f t="array" ref="C63:M63">tinh_du_lieu_cp(B63)</f>
        <v>6.65</v>
      </c>
      <c r="D63" s="103">
        <v>23.1</v>
      </c>
      <c r="E63" s="102">
        <v>-2.9989999999999999E-3</v>
      </c>
      <c r="F63" s="98">
        <v>0.14203862600967049</v>
      </c>
      <c r="G63" s="98">
        <v>1.0073096446700507</v>
      </c>
      <c r="H63" s="98">
        <v>0.17992989744255486</v>
      </c>
      <c r="I63" s="93">
        <v>0.18</v>
      </c>
      <c r="J63" s="101">
        <v>6.5</v>
      </c>
      <c r="K63" s="101">
        <v>7.67</v>
      </c>
      <c r="L63" s="93">
        <v>2.307692307692313E-2</v>
      </c>
      <c r="M63" s="93">
        <v>-0.13298565840938717</v>
      </c>
      <c r="N63" s="92"/>
      <c r="O63" s="92">
        <f t="shared" si="9"/>
        <v>-1</v>
      </c>
      <c r="P63" s="92">
        <f t="shared" si="10"/>
        <v>0</v>
      </c>
      <c r="Q63" s="92">
        <f t="shared" si="11"/>
        <v>1</v>
      </c>
      <c r="T63" s="12" t="s">
        <v>2124</v>
      </c>
      <c r="U63" s="99">
        <v>4.6692999999999998E-2</v>
      </c>
      <c r="V63" s="337">
        <v>1.8750748951467944</v>
      </c>
    </row>
    <row r="64" spans="1:22" x14ac:dyDescent="0.2">
      <c r="A64" s="305"/>
      <c r="B64" s="3" t="s">
        <v>2886</v>
      </c>
      <c r="C64" s="101" cm="1">
        <f t="array" ref="C64:M64">tinh_du_lieu_cp(B64)</f>
        <v>58.7</v>
      </c>
      <c r="D64" s="103">
        <v>457.6</v>
      </c>
      <c r="E64" s="102">
        <v>-5.0849999999999992E-3</v>
      </c>
      <c r="F64" s="98">
        <v>0.2939852061243024</v>
      </c>
      <c r="G64" s="98">
        <v>1.0134060795011692</v>
      </c>
      <c r="H64" s="98">
        <v>0.35678457260181407</v>
      </c>
      <c r="I64" s="93">
        <v>6.0176991150442449E-2</v>
      </c>
      <c r="J64" s="101">
        <v>56.5</v>
      </c>
      <c r="K64" s="101">
        <v>59.9</v>
      </c>
      <c r="L64" s="93">
        <v>3.8938053097345181E-2</v>
      </c>
      <c r="M64" s="93">
        <v>-2.003338898163599E-2</v>
      </c>
      <c r="N64" s="92"/>
      <c r="O64" s="92">
        <f t="shared" si="9"/>
        <v>-1</v>
      </c>
      <c r="P64" s="92">
        <f t="shared" si="10"/>
        <v>0</v>
      </c>
      <c r="Q64" s="92">
        <f t="shared" si="11"/>
        <v>1</v>
      </c>
      <c r="T64" s="12" t="s">
        <v>3051</v>
      </c>
      <c r="U64" s="115">
        <v>-0.18495600000000001</v>
      </c>
      <c r="V64" s="116">
        <v>34.542299896294317</v>
      </c>
    </row>
  </sheetData>
  <mergeCells count="16">
    <mergeCell ref="A18:A19"/>
    <mergeCell ref="B18:B19"/>
    <mergeCell ref="C18:C19"/>
    <mergeCell ref="D18:D19"/>
    <mergeCell ref="A20:A64"/>
    <mergeCell ref="E18:E19"/>
    <mergeCell ref="F14:G14"/>
    <mergeCell ref="N18:N19"/>
    <mergeCell ref="H18:H19"/>
    <mergeCell ref="I18:I19"/>
    <mergeCell ref="J18:J19"/>
    <mergeCell ref="K18:K19"/>
    <mergeCell ref="L18:L19"/>
    <mergeCell ref="M18:M19"/>
    <mergeCell ref="F18:F19"/>
    <mergeCell ref="G18:G19"/>
  </mergeCells>
  <conditionalFormatting sqref="A14 O40:O41 O27:O28">
    <cfRule type="expression" dxfId="464" priority="330" stopIfTrue="1">
      <formula>A14="giảm"</formula>
    </cfRule>
    <cfRule type="expression" dxfId="463" priority="331" stopIfTrue="1">
      <formula>A14="tăng"</formula>
    </cfRule>
  </conditionalFormatting>
  <conditionalFormatting sqref="G45:G53 G56:G64 G40:G43 G20:G38">
    <cfRule type="expression" dxfId="462" priority="248" stopIfTrue="1">
      <formula>G20&gt;2</formula>
    </cfRule>
    <cfRule type="expression" dxfId="461" priority="249" stopIfTrue="1">
      <formula>AND(G20&gt;0.5, G20&lt;1)</formula>
    </cfRule>
    <cfRule type="expression" dxfId="460" priority="250" stopIfTrue="1">
      <formula>G20&lt;=0.5</formula>
    </cfRule>
    <cfRule type="expression" dxfId="459" priority="251" stopIfTrue="1">
      <formula>AND(G20&gt;=1,G20&lt;2)</formula>
    </cfRule>
  </conditionalFormatting>
  <conditionalFormatting sqref="G39">
    <cfRule type="expression" dxfId="458" priority="244" stopIfTrue="1">
      <formula>G39&gt;2</formula>
    </cfRule>
    <cfRule type="expression" dxfId="457" priority="245" stopIfTrue="1">
      <formula>AND(G39&gt;0.5, G39&lt;1)</formula>
    </cfRule>
    <cfRule type="expression" dxfId="456" priority="246" stopIfTrue="1">
      <formula>G39&lt;=0.5</formula>
    </cfRule>
    <cfRule type="expression" dxfId="455" priority="247" stopIfTrue="1">
      <formula>AND(G39&gt;=1,G39&lt;2)</formula>
    </cfRule>
  </conditionalFormatting>
  <conditionalFormatting sqref="H45:H53 H56:H64 H40:H43 H20:H38">
    <cfRule type="expression" dxfId="454" priority="236" stopIfTrue="1">
      <formula>H20&gt;=2</formula>
    </cfRule>
    <cfRule type="expression" dxfId="453" priority="237" stopIfTrue="1">
      <formula>AND(H20&gt;=1,H20&lt;2)</formula>
    </cfRule>
    <cfRule type="expression" dxfId="452" priority="238" stopIfTrue="1">
      <formula>AND(H20&gt;0.5, H20&lt;1)</formula>
    </cfRule>
    <cfRule type="expression" dxfId="451" priority="239" stopIfTrue="1">
      <formula>H20&lt;=0.5</formula>
    </cfRule>
  </conditionalFormatting>
  <conditionalFormatting sqref="H39">
    <cfRule type="expression" dxfId="450" priority="232" stopIfTrue="1">
      <formula>H39&gt;=2</formula>
    </cfRule>
    <cfRule type="expression" dxfId="449" priority="233" stopIfTrue="1">
      <formula>AND(H39&gt;=1,H39&lt;2)</formula>
    </cfRule>
    <cfRule type="expression" dxfId="448" priority="234" stopIfTrue="1">
      <formula>AND(H39&gt;0.5, H39&lt;1)</formula>
    </cfRule>
    <cfRule type="expression" dxfId="447" priority="235" stopIfTrue="1">
      <formula>H39&lt;=0.5</formula>
    </cfRule>
  </conditionalFormatting>
  <conditionalFormatting sqref="H45:H64 H20:H43">
    <cfRule type="expression" dxfId="446" priority="193" stopIfTrue="1">
      <formula>H20&gt;=2</formula>
    </cfRule>
    <cfRule type="expression" dxfId="445" priority="194" stopIfTrue="1">
      <formula>AND(H20&gt;=1,H20&lt;2)</formula>
    </cfRule>
    <cfRule type="expression" dxfId="444" priority="195" stopIfTrue="1">
      <formula>AND(H20&gt;0.5, H20&lt;1)</formula>
    </cfRule>
    <cfRule type="expression" dxfId="443" priority="196" stopIfTrue="1">
      <formula>H20&lt;=0.5</formula>
    </cfRule>
    <cfRule type="expression" dxfId="442" priority="197" stopIfTrue="1">
      <formula>H20&gt;=2</formula>
    </cfRule>
  </conditionalFormatting>
  <conditionalFormatting sqref="G45:G64 G20:G43">
    <cfRule type="expression" dxfId="441" priority="201" stopIfTrue="1">
      <formula>G20&gt;2</formula>
    </cfRule>
    <cfRule type="expression" dxfId="440" priority="202" stopIfTrue="1">
      <formula>AND(G20&gt;0.5, G20&lt;1)</formula>
    </cfRule>
    <cfRule type="expression" dxfId="439" priority="203" stopIfTrue="1">
      <formula>G20&lt;=0.5</formula>
    </cfRule>
    <cfRule type="expression" dxfId="438" priority="204" stopIfTrue="1">
      <formula>AND(G20&gt;=1,G20&lt;2)</formula>
    </cfRule>
    <cfRule type="expression" dxfId="437" priority="205" stopIfTrue="1">
      <formula>G20&gt;2</formula>
    </cfRule>
  </conditionalFormatting>
  <conditionalFormatting sqref="F20:H64">
    <cfRule type="expression" dxfId="436" priority="162" stopIfTrue="1">
      <formula>F20&lt;0</formula>
    </cfRule>
    <cfRule type="expression" dxfId="435" priority="163" stopIfTrue="1">
      <formula>F20=1</formula>
    </cfRule>
    <cfRule type="expression" dxfId="434" priority="164" stopIfTrue="1">
      <formula>AND(F20&lt;1,F20&gt;0)</formula>
    </cfRule>
    <cfRule type="expression" dxfId="433" priority="165" stopIfTrue="1">
      <formula>AND(F20&lt;2,F20&gt;1)</formula>
    </cfRule>
    <cfRule type="expression" dxfId="432" priority="166" stopIfTrue="1">
      <formula>F20&gt;=2</formula>
    </cfRule>
  </conditionalFormatting>
  <conditionalFormatting sqref="C3:C7">
    <cfRule type="expression" dxfId="431" priority="64" stopIfTrue="1">
      <formula>H3="giảm"</formula>
    </cfRule>
    <cfRule type="expression" dxfId="430" priority="65" stopIfTrue="1">
      <formula>H3="tăng"</formula>
    </cfRule>
  </conditionalFormatting>
  <conditionalFormatting sqref="H3:H7">
    <cfRule type="expression" dxfId="429" priority="62" stopIfTrue="1">
      <formula>H3="giảm"</formula>
    </cfRule>
    <cfRule type="expression" dxfId="428" priority="63" stopIfTrue="1">
      <formula>H3="tăng"</formula>
    </cfRule>
  </conditionalFormatting>
  <conditionalFormatting sqref="B3:B7">
    <cfRule type="expression" dxfId="427" priority="66" stopIfTrue="1">
      <formula>H3="giảm"</formula>
    </cfRule>
    <cfRule type="expression" dxfId="426" priority="67" stopIfTrue="1">
      <formula>H3="tăng"</formula>
    </cfRule>
  </conditionalFormatting>
  <conditionalFormatting sqref="A3:A7">
    <cfRule type="expression" dxfId="425" priority="70" stopIfTrue="1">
      <formula>H3="giảm"</formula>
    </cfRule>
    <cfRule type="expression" dxfId="424" priority="71" stopIfTrue="1">
      <formula>H3="tăng"</formula>
    </cfRule>
  </conditionalFormatting>
  <conditionalFormatting sqref="G3:G7">
    <cfRule type="expression" dxfId="423" priority="59" stopIfTrue="1">
      <formula>G3=0</formula>
    </cfRule>
    <cfRule type="expression" dxfId="422" priority="60" stopIfTrue="1">
      <formula>G3&lt;0</formula>
    </cfRule>
    <cfRule type="expression" dxfId="421" priority="61" stopIfTrue="1">
      <formula>G3&gt;0</formula>
    </cfRule>
  </conditionalFormatting>
  <conditionalFormatting sqref="E3:E7">
    <cfRule type="expression" dxfId="420" priority="57" stopIfTrue="1">
      <formula>H3="tăng"</formula>
    </cfRule>
    <cfRule type="expression" dxfId="419" priority="58" stopIfTrue="1">
      <formula>H3="giảm"</formula>
    </cfRule>
  </conditionalFormatting>
  <conditionalFormatting sqref="F3:F7">
    <cfRule type="expression" dxfId="418" priority="55" stopIfTrue="1">
      <formula>H3="tăng"</formula>
    </cfRule>
    <cfRule type="expression" dxfId="417" priority="56" stopIfTrue="1">
      <formula>H3="giảm"</formula>
    </cfRule>
  </conditionalFormatting>
  <conditionalFormatting sqref="D3:D7">
    <cfRule type="expression" dxfId="416" priority="53" stopIfTrue="1">
      <formula>H3="giảm"</formula>
    </cfRule>
    <cfRule type="expression" dxfId="415" priority="54" stopIfTrue="1">
      <formula>H3="tăng"</formula>
    </cfRule>
  </conditionalFormatting>
  <conditionalFormatting sqref="G54:G55">
    <cfRule type="expression" dxfId="414" priority="44" stopIfTrue="1">
      <formula>G54&gt;2</formula>
    </cfRule>
    <cfRule type="expression" dxfId="413" priority="45" stopIfTrue="1">
      <formula>AND(G54&gt;0.5, G54&lt;1)</formula>
    </cfRule>
    <cfRule type="expression" dxfId="412" priority="46" stopIfTrue="1">
      <formula>G54&lt;=0.5</formula>
    </cfRule>
    <cfRule type="expression" dxfId="411" priority="47" stopIfTrue="1">
      <formula>AND(G54&gt;=1,G54&lt;2)</formula>
    </cfRule>
  </conditionalFormatting>
  <conditionalFormatting sqref="H54:H55">
    <cfRule type="expression" dxfId="410" priority="36" stopIfTrue="1">
      <formula>H54&gt;=2</formula>
    </cfRule>
    <cfRule type="expression" dxfId="409" priority="37" stopIfTrue="1">
      <formula>AND(H54&gt;=1,H54&lt;2)</formula>
    </cfRule>
    <cfRule type="expression" dxfId="408" priority="38" stopIfTrue="1">
      <formula>AND(H54&gt;0.5, H54&lt;1)</formula>
    </cfRule>
    <cfRule type="expression" dxfId="407" priority="39" stopIfTrue="1">
      <formula>H54&lt;=0.5</formula>
    </cfRule>
  </conditionalFormatting>
  <conditionalFormatting sqref="F45:F55">
    <cfRule type="colorScale" priority="14661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F56:F64 F20:F43">
    <cfRule type="colorScale" priority="1757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64">
    <cfRule type="colorScale" priority="17578">
      <colorScale>
        <cfvo type="min"/>
        <cfvo type="max"/>
        <color theme="0" tint="-4.9989318521683403E-2"/>
        <color rgb="FF00B050"/>
      </colorScale>
    </cfRule>
  </conditionalFormatting>
  <conditionalFormatting sqref="L20:L64">
    <cfRule type="colorScale" priority="17579">
      <colorScale>
        <cfvo type="min"/>
        <cfvo type="max"/>
        <color theme="0" tint="-4.9989318521683403E-2"/>
        <color rgb="FF00B050"/>
      </colorScale>
    </cfRule>
  </conditionalFormatting>
  <conditionalFormatting sqref="M20:M64">
    <cfRule type="colorScale" priority="17580">
      <colorScale>
        <cfvo type="min"/>
        <cfvo type="max"/>
        <color rgb="FFFF7C80"/>
        <color theme="0" tint="-4.9989318521683403E-2"/>
      </colorScale>
    </cfRule>
  </conditionalFormatting>
  <conditionalFormatting sqref="C20:C64">
    <cfRule type="expression" dxfId="406" priority="6" stopIfTrue="1">
      <formula>E20&gt;=6.8%</formula>
    </cfRule>
    <cfRule type="expression" dxfId="405" priority="7" stopIfTrue="1">
      <formula>AND(E20&gt;0%,E20&lt;6.8%)</formula>
    </cfRule>
    <cfRule type="expression" dxfId="404" priority="8" stopIfTrue="1">
      <formula>E20=0%</formula>
    </cfRule>
    <cfRule type="expression" dxfId="403" priority="9" stopIfTrue="1">
      <formula>AND(E20&gt;-6.8%, E20&lt;0%)</formula>
    </cfRule>
    <cfRule type="expression" dxfId="402" priority="10" stopIfTrue="1">
      <formula>E20&lt;=-6.8%</formula>
    </cfRule>
  </conditionalFormatting>
  <conditionalFormatting sqref="B20:B64">
    <cfRule type="expression" dxfId="401" priority="16" stopIfTrue="1">
      <formula>E20&gt;=6.8%</formula>
    </cfRule>
    <cfRule type="expression" dxfId="400" priority="17" stopIfTrue="1">
      <formula>AND(E20&gt;0%,E20&lt;6.8%)</formula>
    </cfRule>
    <cfRule type="expression" dxfId="399" priority="18" stopIfTrue="1">
      <formula>E20=0%</formula>
    </cfRule>
    <cfRule type="expression" dxfId="398" priority="19" stopIfTrue="1">
      <formula>AND(E20&gt;-6.8%, E20&lt;0%)</formula>
    </cfRule>
    <cfRule type="expression" dxfId="397" priority="20" stopIfTrue="1">
      <formula>E20&lt;=-6.8%</formula>
    </cfRule>
  </conditionalFormatting>
  <conditionalFormatting sqref="D20:D64">
    <cfRule type="expression" dxfId="396" priority="1" stopIfTrue="1">
      <formula>D20&gt;20000</formula>
    </cfRule>
    <cfRule type="expression" dxfId="395" priority="2" stopIfTrue="1">
      <formula>AND(D20&gt;10000,D20&lt;=20000)</formula>
    </cfRule>
    <cfRule type="expression" dxfId="394" priority="3" stopIfTrue="1">
      <formula>AND(D20&gt;1000,D20&lt;=10000)</formula>
    </cfRule>
    <cfRule type="expression" dxfId="393" priority="4" stopIfTrue="1">
      <formula>AND(D20&gt;200,D20&lt;=1000)</formula>
    </cfRule>
    <cfRule type="expression" dxfId="392" priority="5" stopIfTrue="1">
      <formula>D20&lt;=200</formula>
    </cfRule>
  </conditionalFormatting>
  <conditionalFormatting sqref="E20:E64">
    <cfRule type="expression" dxfId="391" priority="11" stopIfTrue="1">
      <formula>E20&gt;=6.8%</formula>
    </cfRule>
    <cfRule type="expression" dxfId="390" priority="12" stopIfTrue="1">
      <formula>AND(E20&gt;0%,E20&lt;6.8%)</formula>
    </cfRule>
    <cfRule type="expression" dxfId="389" priority="13" stopIfTrue="1">
      <formula>E20=0%</formula>
    </cfRule>
    <cfRule type="expression" dxfId="388" priority="14" stopIfTrue="1">
      <formula>AND(E20&gt;-6.8%, E20&lt;0%)</formula>
    </cfRule>
    <cfRule type="expression" dxfId="387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5F6439-E4C1-40DF-B70A-B9E8F180918E}">
          <x14:formula1>
            <xm:f>'Nơi chứ dữ liệu'!$I$2:$K$2</xm:f>
          </x14:formula1>
          <xm:sqref>N20:N64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9702-AE90-4CA1-BB10-0C0882769B50}">
  <sheetPr codeName="Sheet22">
    <tabColor theme="1" tint="0.499984740745262"/>
  </sheetPr>
  <dimension ref="A1:X33"/>
  <sheetViews>
    <sheetView zoomScaleNormal="100" workbookViewId="0">
      <selection activeCell="B20" sqref="B20:E33"/>
    </sheetView>
  </sheetViews>
  <sheetFormatPr defaultRowHeight="15" x14ac:dyDescent="0.2"/>
  <cols>
    <col min="1" max="1" width="8" customWidth="1"/>
    <col min="2" max="2" width="9.6640625" customWidth="1"/>
    <col min="3" max="3" width="11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"&amp;SUM($O$20:O22)&amp;" "&amp;"trên tổng"&amp;" "&amp;$O$19</f>
        <v>Tổng điểm nhóm hôm nay -3 trên tổng 14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2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9</v>
      </c>
      <c r="B16" s="189"/>
      <c r="C16" s="189"/>
      <c r="D16" s="189"/>
      <c r="E16" s="189"/>
      <c r="F16" s="195">
        <f>AVERAGE(E20:E33)</f>
        <v>-1.1835285714285715E-2</v>
      </c>
      <c r="G16" s="191">
        <f>AVERAGE(F20:F33)</f>
        <v>0.58752701409295949</v>
      </c>
    </row>
    <row r="17" spans="1:24" ht="15.75" x14ac:dyDescent="0.2">
      <c r="A17" s="188" t="str">
        <f>"Tổng điểm tham chiếu nhóm hôm nay"&amp;" "&amp;(O19-(P19+Q19))</f>
        <v>Tổng điểm tham chiếu nhóm hôm nay 3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COUNT(O20:O33)</f>
        <v>14</v>
      </c>
      <c r="P19" s="158">
        <f>SUM(P20:P33)</f>
        <v>2</v>
      </c>
      <c r="Q19" s="158">
        <f>SUM(Q20:Q33)</f>
        <v>9</v>
      </c>
      <c r="T19" s="12" t="s">
        <v>437</v>
      </c>
      <c r="U19" s="99">
        <v>-4.7358999999999998E-2</v>
      </c>
      <c r="V19" s="337">
        <v>0.34332682321797164</v>
      </c>
      <c r="X19"/>
    </row>
    <row r="20" spans="1:24" ht="15.75" customHeight="1" x14ac:dyDescent="0.2">
      <c r="A20" s="305" t="s">
        <v>3159</v>
      </c>
      <c r="B20" s="3" t="s">
        <v>198</v>
      </c>
      <c r="C20" s="101">
        <f t="array" ref="C20:M20">tinh_du_lieu_cp(B20)</f>
        <v>38.6</v>
      </c>
      <c r="D20" s="103">
        <v>3.7</v>
      </c>
      <c r="E20" s="102">
        <v>-7.7120000000000001E-3</v>
      </c>
      <c r="F20" s="98">
        <v>0.42110708742886704</v>
      </c>
      <c r="G20" s="98">
        <v>0.99514422799005731</v>
      </c>
      <c r="H20" s="98">
        <v>0.65102639296187692</v>
      </c>
      <c r="I20" s="102">
        <v>0.10492227979274604</v>
      </c>
      <c r="J20" s="92">
        <v>38.6</v>
      </c>
      <c r="K20" s="92">
        <v>42.65</v>
      </c>
      <c r="L20" s="102">
        <v>0</v>
      </c>
      <c r="M20" s="102">
        <v>-9.4958968347010481E-2</v>
      </c>
      <c r="N20" s="92"/>
      <c r="O20" s="92">
        <f t="shared" ref="O20:O22" si="0">IF(E20&gt;0,1,IF(E20=0,0,-1))</f>
        <v>-1</v>
      </c>
      <c r="P20" s="92">
        <f t="shared" ref="P20:P24" si="1">IF(O20=1,1,0)</f>
        <v>0</v>
      </c>
      <c r="Q20" s="92">
        <f t="shared" ref="Q20:Q24" si="2">IF(O20&lt;0,1,0)</f>
        <v>1</v>
      </c>
      <c r="T20" s="12" t="s">
        <v>2576</v>
      </c>
      <c r="U20" s="99">
        <v>-2.9940000000000001E-2</v>
      </c>
      <c r="V20" s="337">
        <v>0.50307856744998269</v>
      </c>
    </row>
    <row r="21" spans="1:24" ht="15.75" customHeight="1" x14ac:dyDescent="0.2">
      <c r="A21" s="305"/>
      <c r="B21" s="3" t="s">
        <v>437</v>
      </c>
      <c r="C21" s="101">
        <f t="array" ref="C21:M21">tinh_du_lieu_cp(B21)</f>
        <v>26.15</v>
      </c>
      <c r="D21" s="103">
        <v>168.6</v>
      </c>
      <c r="E21" s="102">
        <v>-4.7358999999999998E-2</v>
      </c>
      <c r="F21" s="98">
        <v>0.34332682321797164</v>
      </c>
      <c r="G21" s="98">
        <v>1.0147803703396163</v>
      </c>
      <c r="H21" s="98">
        <v>0.46555294767361588</v>
      </c>
      <c r="I21" s="102">
        <v>0.67010309278350522</v>
      </c>
      <c r="J21" s="92">
        <v>19.399999999999999</v>
      </c>
      <c r="K21" s="92">
        <v>32.4</v>
      </c>
      <c r="L21" s="102">
        <v>0.34793814432989695</v>
      </c>
      <c r="M21" s="102">
        <v>-0.19290123456790123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2" t="s">
        <v>849</v>
      </c>
      <c r="U21" s="99">
        <v>-2.8313999999999999E-2</v>
      </c>
      <c r="V21" s="337">
        <v>0.32831283681083323</v>
      </c>
    </row>
    <row r="22" spans="1:24" ht="15.75" customHeight="1" x14ac:dyDescent="0.2">
      <c r="A22" s="305"/>
      <c r="B22" s="3" t="s">
        <v>843</v>
      </c>
      <c r="C22" s="101">
        <f t="array" ref="C22:M22">tinh_du_lieu_cp(B22)</f>
        <v>35.5</v>
      </c>
      <c r="D22" s="103">
        <v>113.6</v>
      </c>
      <c r="E22" s="102">
        <v>-5.6020000000000002E-3</v>
      </c>
      <c r="F22" s="98">
        <v>0.4197584776365072</v>
      </c>
      <c r="G22" s="98">
        <v>1.0117244219058146</v>
      </c>
      <c r="H22" s="98">
        <v>0.58311232782958344</v>
      </c>
      <c r="I22" s="102">
        <v>0.12954876273653554</v>
      </c>
      <c r="J22" s="92">
        <v>34.35</v>
      </c>
      <c r="K22" s="92">
        <v>38.799999999999997</v>
      </c>
      <c r="L22" s="102">
        <v>3.3478893740902432E-2</v>
      </c>
      <c r="M22" s="102">
        <v>-8.5051546391752511E-2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2882</v>
      </c>
      <c r="U22" s="99">
        <v>-1.9762999999999999E-2</v>
      </c>
      <c r="V22" s="337">
        <v>0.485521867405594</v>
      </c>
    </row>
    <row r="23" spans="1:24" ht="15.75" customHeight="1" x14ac:dyDescent="0.2">
      <c r="A23" s="305"/>
      <c r="B23" s="3" t="s">
        <v>849</v>
      </c>
      <c r="C23" s="101">
        <f t="array" ref="C23:M23">tinh_du_lieu_cp(B23)</f>
        <v>7.55</v>
      </c>
      <c r="D23" s="103">
        <v>10.8</v>
      </c>
      <c r="E23" s="102">
        <v>-2.8313999999999999E-2</v>
      </c>
      <c r="F23" s="98">
        <v>0.32831283681083323</v>
      </c>
      <c r="G23" s="98">
        <v>0.97479364344673325</v>
      </c>
      <c r="H23" s="98">
        <v>0.45093945720250522</v>
      </c>
      <c r="I23" s="102">
        <v>0.18825100133511349</v>
      </c>
      <c r="J23" s="92">
        <v>7.49</v>
      </c>
      <c r="K23" s="92">
        <v>8.9</v>
      </c>
      <c r="L23" s="102">
        <v>8.0106809078771164E-3</v>
      </c>
      <c r="M23" s="102">
        <v>-0.15168539325842703</v>
      </c>
      <c r="N23" s="92"/>
      <c r="O23" s="92">
        <f t="shared" ref="O23:O24" si="3">IF(E23&gt;0,1,IF(E23=0,0,-1))</f>
        <v>-1</v>
      </c>
      <c r="P23" s="92">
        <f t="shared" si="1"/>
        <v>0</v>
      </c>
      <c r="Q23" s="92">
        <f t="shared" si="2"/>
        <v>1</v>
      </c>
      <c r="T23" s="12" t="s">
        <v>867</v>
      </c>
      <c r="U23" s="99">
        <v>-1.4851000000000001E-2</v>
      </c>
      <c r="V23" s="337">
        <v>0.28121863722747753</v>
      </c>
    </row>
    <row r="24" spans="1:24" ht="15.75" customHeight="1" x14ac:dyDescent="0.2">
      <c r="A24" s="305"/>
      <c r="B24" s="3" t="s">
        <v>867</v>
      </c>
      <c r="C24" s="101">
        <f t="array" ref="C24:M24">tinh_du_lieu_cp(B24)</f>
        <v>1.99</v>
      </c>
      <c r="D24" s="103">
        <v>478.9</v>
      </c>
      <c r="E24" s="102">
        <v>-1.4851000000000001E-2</v>
      </c>
      <c r="F24" s="98">
        <v>0.28121863722747753</v>
      </c>
      <c r="G24" s="98">
        <v>0.999622926093514</v>
      </c>
      <c r="H24" s="98">
        <v>0.3422588560402125</v>
      </c>
      <c r="I24" s="102">
        <v>0.1390374331550801</v>
      </c>
      <c r="J24" s="92">
        <v>1.87</v>
      </c>
      <c r="K24" s="92">
        <v>2.13</v>
      </c>
      <c r="L24" s="102">
        <v>6.4171122994652344E-2</v>
      </c>
      <c r="M24" s="102">
        <v>-6.5727699530516395E-2</v>
      </c>
      <c r="N24" s="92"/>
      <c r="O24" s="92">
        <f t="shared" si="3"/>
        <v>-1</v>
      </c>
      <c r="P24" s="92">
        <f t="shared" si="1"/>
        <v>0</v>
      </c>
      <c r="Q24" s="92">
        <f t="shared" si="2"/>
        <v>1</v>
      </c>
      <c r="T24" s="12" t="s">
        <v>2052</v>
      </c>
      <c r="U24" s="99">
        <v>-1.1513000000000001E-2</v>
      </c>
      <c r="V24" s="337">
        <v>0.59661827003150003</v>
      </c>
    </row>
    <row r="25" spans="1:24" ht="15.75" customHeight="1" x14ac:dyDescent="0.2">
      <c r="A25" s="305"/>
      <c r="B25" s="3" t="s">
        <v>1269</v>
      </c>
      <c r="C25" s="101" cm="1">
        <f t="array" ref="C25:M25">tinh_du_lieu_cp(B25)</f>
        <v>9</v>
      </c>
      <c r="D25" s="103">
        <v>200</v>
      </c>
      <c r="E25" s="102">
        <v>0</v>
      </c>
      <c r="F25" s="98">
        <v>0.98863074641621351</v>
      </c>
      <c r="G25" s="98">
        <v>1.0277926912201578</v>
      </c>
      <c r="H25" s="98">
        <v>0.47816385081287854</v>
      </c>
      <c r="I25" s="98">
        <v>0.10565110565110557</v>
      </c>
      <c r="J25" s="92">
        <v>8.14</v>
      </c>
      <c r="K25" s="92">
        <v>9</v>
      </c>
      <c r="L25" s="102">
        <v>0.10565110565110557</v>
      </c>
      <c r="M25" s="102">
        <v>0</v>
      </c>
      <c r="N25" s="92"/>
      <c r="O25" s="92">
        <f t="shared" ref="O25:O29" si="4">IF(E25&gt;0,1,IF(E25=0,0,-1))</f>
        <v>0</v>
      </c>
      <c r="P25" s="92">
        <f t="shared" ref="P25:P29" si="5">IF(O25=1,1,0)</f>
        <v>0</v>
      </c>
      <c r="Q25" s="92">
        <f t="shared" ref="Q25:Q29" si="6">IF(O25&lt;0,1,0)</f>
        <v>0</v>
      </c>
      <c r="T25" s="12" t="s">
        <v>2626</v>
      </c>
      <c r="U25" s="99">
        <v>-9.4339999999999997E-3</v>
      </c>
      <c r="V25" s="337">
        <v>0.77042082515634902</v>
      </c>
    </row>
    <row r="26" spans="1:24" ht="15.75" customHeight="1" x14ac:dyDescent="0.2">
      <c r="A26" s="305"/>
      <c r="B26" s="3" t="s">
        <v>1517</v>
      </c>
      <c r="C26" s="101">
        <f t="array" ref="C26:M26">tinh_du_lieu_cp(B26)</f>
        <v>20.25</v>
      </c>
      <c r="D26" s="103">
        <v>1839.6</v>
      </c>
      <c r="E26" s="102">
        <v>4.9630000000000004E-3</v>
      </c>
      <c r="F26" s="98">
        <v>0.61448016701461383</v>
      </c>
      <c r="G26" s="98">
        <v>1.0112070271088895</v>
      </c>
      <c r="H26" s="98">
        <v>0.65368101247830956</v>
      </c>
      <c r="I26" s="98">
        <v>0.18443804034582126</v>
      </c>
      <c r="J26" s="92">
        <v>17.350000000000001</v>
      </c>
      <c r="K26" s="92">
        <v>20.55</v>
      </c>
      <c r="L26" s="102">
        <v>0.16714697406340048</v>
      </c>
      <c r="M26" s="102">
        <v>-1.4598540145985436E-2</v>
      </c>
      <c r="N26" s="92"/>
      <c r="O26" s="92">
        <f t="shared" si="4"/>
        <v>1</v>
      </c>
      <c r="P26" s="92">
        <f t="shared" si="5"/>
        <v>1</v>
      </c>
      <c r="Q26" s="92">
        <f t="shared" si="6"/>
        <v>0</v>
      </c>
      <c r="T26" s="12" t="s">
        <v>198</v>
      </c>
      <c r="U26" s="99">
        <v>-7.7120000000000001E-3</v>
      </c>
      <c r="V26" s="337">
        <v>0.42110708742886704</v>
      </c>
    </row>
    <row r="27" spans="1:24" ht="15.75" customHeight="1" x14ac:dyDescent="0.2">
      <c r="A27" s="305"/>
      <c r="B27" s="3" t="s">
        <v>2052</v>
      </c>
      <c r="C27" s="101">
        <f t="array" ref="C27:M27">tinh_du_lieu_cp(B27)</f>
        <v>60.1</v>
      </c>
      <c r="D27" s="103">
        <v>74.900000000000006</v>
      </c>
      <c r="E27" s="102">
        <v>-1.1513000000000001E-2</v>
      </c>
      <c r="F27" s="98">
        <v>0.59661827003150003</v>
      </c>
      <c r="G27" s="98">
        <v>0.99057048561999061</v>
      </c>
      <c r="H27" s="98">
        <v>0.49520661157024792</v>
      </c>
      <c r="I27" s="98">
        <v>0.12353923205342235</v>
      </c>
      <c r="J27" s="92">
        <v>59.9</v>
      </c>
      <c r="K27" s="92">
        <v>67.3</v>
      </c>
      <c r="L27" s="102">
        <v>3.3388981636060574E-3</v>
      </c>
      <c r="M27" s="102">
        <v>-0.1069836552748885</v>
      </c>
      <c r="N27" s="92"/>
      <c r="O27" s="92">
        <f t="shared" si="4"/>
        <v>-1</v>
      </c>
      <c r="P27" s="92">
        <f t="shared" si="5"/>
        <v>0</v>
      </c>
      <c r="Q27" s="92">
        <f t="shared" si="6"/>
        <v>1</v>
      </c>
      <c r="T27" s="12" t="s">
        <v>843</v>
      </c>
      <c r="U27" s="99">
        <v>-5.6020000000000002E-3</v>
      </c>
      <c r="V27" s="337">
        <v>0.4197584776365072</v>
      </c>
    </row>
    <row r="28" spans="1:24" ht="15.75" customHeight="1" x14ac:dyDescent="0.2">
      <c r="A28" s="305"/>
      <c r="B28" s="3" t="s">
        <v>2184</v>
      </c>
      <c r="C28" s="101">
        <f t="array" ref="C28:M28">tinh_du_lieu_cp(B28)</f>
        <v>20.5</v>
      </c>
      <c r="D28" s="103">
        <v>1.6</v>
      </c>
      <c r="E28" s="102">
        <v>0</v>
      </c>
      <c r="F28" s="98">
        <v>0.26566037735849057</v>
      </c>
      <c r="G28" s="98">
        <v>0.9969556924882631</v>
      </c>
      <c r="H28" s="98">
        <v>0.25329815303430075</v>
      </c>
      <c r="I28" s="98">
        <v>0.11645569620253168</v>
      </c>
      <c r="J28" s="92">
        <v>19.75</v>
      </c>
      <c r="K28" s="92">
        <v>22.05</v>
      </c>
      <c r="L28" s="102">
        <v>3.7974683544303799E-2</v>
      </c>
      <c r="M28" s="102">
        <v>-7.0294784580498898E-2</v>
      </c>
      <c r="N28" s="92"/>
      <c r="O28" s="92">
        <f t="shared" si="4"/>
        <v>0</v>
      </c>
      <c r="P28" s="92">
        <f t="shared" si="5"/>
        <v>0</v>
      </c>
      <c r="Q28" s="92">
        <f t="shared" si="6"/>
        <v>0</v>
      </c>
      <c r="T28" s="12" t="s">
        <v>1269</v>
      </c>
      <c r="U28" s="99">
        <v>0</v>
      </c>
      <c r="V28" s="337">
        <v>0.98863074641621351</v>
      </c>
    </row>
    <row r="29" spans="1:24" ht="16.5" customHeight="1" x14ac:dyDescent="0.2">
      <c r="A29" s="305"/>
      <c r="B29" s="3" t="s">
        <v>2410</v>
      </c>
      <c r="C29" s="101">
        <f t="array" ref="C29:M29">tinh_du_lieu_cp(B29)</f>
        <v>12.3</v>
      </c>
      <c r="D29" s="103">
        <v>21.9</v>
      </c>
      <c r="E29" s="102">
        <v>0</v>
      </c>
      <c r="F29" s="98">
        <v>2.1528150134048261</v>
      </c>
      <c r="G29" s="98">
        <v>1.0121563493547781</v>
      </c>
      <c r="H29" s="98">
        <v>0.98353293413173648</v>
      </c>
      <c r="I29" s="98">
        <v>0.11607142857142864</v>
      </c>
      <c r="J29" s="92">
        <v>11.2</v>
      </c>
      <c r="K29" s="92">
        <v>12.5</v>
      </c>
      <c r="L29" s="102">
        <v>9.8214285714285851E-2</v>
      </c>
      <c r="M29" s="102">
        <v>-1.5999999999999945E-2</v>
      </c>
      <c r="N29" s="92"/>
      <c r="O29" s="92">
        <f t="shared" si="4"/>
        <v>0</v>
      </c>
      <c r="P29" s="92">
        <f t="shared" si="5"/>
        <v>0</v>
      </c>
      <c r="Q29" s="92">
        <f t="shared" si="6"/>
        <v>0</v>
      </c>
      <c r="T29" s="12" t="s">
        <v>2184</v>
      </c>
      <c r="U29" s="99">
        <v>0</v>
      </c>
      <c r="V29" s="337">
        <v>0.26566037735849057</v>
      </c>
    </row>
    <row r="30" spans="1:24" x14ac:dyDescent="0.2">
      <c r="A30" s="305"/>
      <c r="B30" s="3" t="s">
        <v>2576</v>
      </c>
      <c r="C30" s="101">
        <f t="array" ref="C30:M30">tinh_du_lieu_cp(B30)</f>
        <v>4.8600000000000003</v>
      </c>
      <c r="D30" s="103">
        <v>151.9</v>
      </c>
      <c r="E30" s="102">
        <v>-2.9940000000000001E-2</v>
      </c>
      <c r="F30" s="98">
        <v>0.50307856744998269</v>
      </c>
      <c r="G30" s="98">
        <v>1.0071842967505338</v>
      </c>
      <c r="H30" s="98">
        <v>0.55003017501508744</v>
      </c>
      <c r="I30" s="102">
        <v>0.3094059405940594</v>
      </c>
      <c r="J30" s="92">
        <v>4.04</v>
      </c>
      <c r="K30" s="92">
        <v>5.29</v>
      </c>
      <c r="L30" s="102">
        <v>0.20297029702970304</v>
      </c>
      <c r="M30" s="102">
        <v>-8.128544423440448E-2</v>
      </c>
      <c r="N30" s="92"/>
      <c r="O30" s="92">
        <f t="shared" ref="O30" si="7">IF(E30&gt;0,1,IF(E30=0,0,-1))</f>
        <v>-1</v>
      </c>
      <c r="P30" s="92">
        <f t="shared" ref="P30" si="8">IF(O30=1,1,0)</f>
        <v>0</v>
      </c>
      <c r="Q30" s="92">
        <f t="shared" ref="Q30" si="9">IF(O30&lt;0,1,0)</f>
        <v>1</v>
      </c>
      <c r="T30" s="12" t="s">
        <v>2410</v>
      </c>
      <c r="U30" s="99">
        <v>0</v>
      </c>
      <c r="V30" s="337">
        <v>2.1528150134048261</v>
      </c>
      <c r="W30" s="116"/>
    </row>
    <row r="31" spans="1:24" x14ac:dyDescent="0.2">
      <c r="A31" s="305"/>
      <c r="B31" s="3" t="s">
        <v>2626</v>
      </c>
      <c r="C31" s="101">
        <f t="array" ref="C31:M31">tinh_du_lieu_cp(B31)</f>
        <v>3.15</v>
      </c>
      <c r="D31" s="103">
        <v>917.2</v>
      </c>
      <c r="E31" s="102">
        <v>-9.4339999999999997E-3</v>
      </c>
      <c r="F31" s="98">
        <v>0.77042082515634902</v>
      </c>
      <c r="G31" s="98">
        <v>1.0052150614803119</v>
      </c>
      <c r="H31" s="98">
        <v>0.50314971428571431</v>
      </c>
      <c r="I31" s="102">
        <v>8.66666666666666E-2</v>
      </c>
      <c r="J31" s="92">
        <v>3</v>
      </c>
      <c r="K31" s="92">
        <v>3.26</v>
      </c>
      <c r="L31" s="102">
        <v>4.9999999999999968E-2</v>
      </c>
      <c r="M31" s="102">
        <v>-3.3742331288343523E-2</v>
      </c>
      <c r="N31" s="92"/>
      <c r="O31" s="92">
        <f t="shared" ref="O31:O33" si="10">IF(E31&gt;0,1,IF(E31=0,0,-1))</f>
        <v>-1</v>
      </c>
      <c r="P31" s="92">
        <f t="shared" ref="P31:P33" si="11">IF(O31=1,1,0)</f>
        <v>0</v>
      </c>
      <c r="Q31" s="92">
        <f t="shared" ref="Q31:Q33" si="12">IF(O31&lt;0,1,0)</f>
        <v>1</v>
      </c>
      <c r="T31" s="12" t="s">
        <v>2797</v>
      </c>
      <c r="U31" s="99">
        <v>3.8309999999999998E-3</v>
      </c>
      <c r="V31" s="337">
        <v>5.4428500742206828E-2</v>
      </c>
      <c r="W31" s="116"/>
    </row>
    <row r="32" spans="1:24" x14ac:dyDescent="0.2">
      <c r="A32" s="305"/>
      <c r="B32" s="3" t="s">
        <v>2797</v>
      </c>
      <c r="C32" s="101">
        <f t="array" ref="C32:M32">tinh_du_lieu_cp(B32)</f>
        <v>5.24</v>
      </c>
      <c r="D32" s="103">
        <v>0.5</v>
      </c>
      <c r="E32" s="102">
        <v>3.8309999999999998E-3</v>
      </c>
      <c r="F32" s="98">
        <v>5.4428500742206828E-2</v>
      </c>
      <c r="G32" s="98">
        <v>1.0024347826086957</v>
      </c>
      <c r="H32" s="98">
        <v>0.03</v>
      </c>
      <c r="I32" s="102">
        <v>0.10699588477366245</v>
      </c>
      <c r="J32" s="92">
        <v>4.8600000000000003</v>
      </c>
      <c r="K32" s="92">
        <v>5.38</v>
      </c>
      <c r="L32" s="102">
        <v>7.8189300411522611E-2</v>
      </c>
      <c r="M32" s="102">
        <v>-2.6022304832713696E-2</v>
      </c>
      <c r="N32" s="92"/>
      <c r="O32" s="92">
        <f t="shared" si="10"/>
        <v>1</v>
      </c>
      <c r="P32" s="92">
        <f t="shared" si="11"/>
        <v>1</v>
      </c>
      <c r="Q32" s="92">
        <f t="shared" si="12"/>
        <v>0</v>
      </c>
      <c r="T32" s="12" t="s">
        <v>1517</v>
      </c>
      <c r="U32" s="99">
        <v>4.9630000000000004E-3</v>
      </c>
      <c r="V32" s="337">
        <v>0.61448016701461383</v>
      </c>
      <c r="W32" s="116"/>
    </row>
    <row r="33" spans="1:23" x14ac:dyDescent="0.2">
      <c r="A33" s="305"/>
      <c r="B33" s="3" t="s">
        <v>2882</v>
      </c>
      <c r="C33" s="101">
        <f t="array" ref="C33:M33">tinh_du_lieu_cp(B33)</f>
        <v>12.4</v>
      </c>
      <c r="D33" s="103">
        <v>246.1</v>
      </c>
      <c r="E33" s="102">
        <v>-1.9762999999999999E-2</v>
      </c>
      <c r="F33" s="98">
        <v>0.485521867405594</v>
      </c>
      <c r="G33" s="98">
        <v>1.0126535851824683</v>
      </c>
      <c r="H33" s="98">
        <v>0.79626833477135461</v>
      </c>
      <c r="I33" s="102">
        <v>0.27184466019417464</v>
      </c>
      <c r="J33" s="92">
        <v>10.3</v>
      </c>
      <c r="K33" s="92">
        <v>13.1</v>
      </c>
      <c r="L33" s="102">
        <v>0.20388349514563103</v>
      </c>
      <c r="M33" s="102">
        <v>-5.3435114503816744E-2</v>
      </c>
      <c r="N33" s="92"/>
      <c r="O33" s="92">
        <f t="shared" si="10"/>
        <v>-1</v>
      </c>
      <c r="P33" s="92">
        <f t="shared" si="11"/>
        <v>0</v>
      </c>
      <c r="Q33" s="92">
        <f t="shared" si="12"/>
        <v>1</v>
      </c>
      <c r="T33" s="12" t="s">
        <v>3051</v>
      </c>
      <c r="U33" s="99">
        <v>-0.16569400000000001</v>
      </c>
      <c r="V33" s="337">
        <v>8.225378197301433</v>
      </c>
      <c r="W33" s="116"/>
    </row>
  </sheetData>
  <mergeCells count="16">
    <mergeCell ref="F14:G14"/>
    <mergeCell ref="A18:A19"/>
    <mergeCell ref="B18:B19"/>
    <mergeCell ref="C18:C19"/>
    <mergeCell ref="D18:D19"/>
    <mergeCell ref="E18:E19"/>
    <mergeCell ref="A20:A33"/>
    <mergeCell ref="N18:N19"/>
    <mergeCell ref="L18:L19"/>
    <mergeCell ref="M18:M19"/>
    <mergeCell ref="K18:K19"/>
    <mergeCell ref="F18:F19"/>
    <mergeCell ref="G18:G19"/>
    <mergeCell ref="H18:H19"/>
    <mergeCell ref="I18:I19"/>
    <mergeCell ref="J18:J19"/>
  </mergeCells>
  <conditionalFormatting sqref="A14">
    <cfRule type="expression" dxfId="381" priority="194" stopIfTrue="1">
      <formula>A14="giảm"</formula>
    </cfRule>
    <cfRule type="expression" dxfId="380" priority="195" stopIfTrue="1">
      <formula>A14="tăng"</formula>
    </cfRule>
  </conditionalFormatting>
  <conditionalFormatting sqref="G20:G22">
    <cfRule type="expression" dxfId="379" priority="184" stopIfTrue="1">
      <formula>G20&gt;2</formula>
    </cfRule>
    <cfRule type="expression" dxfId="378" priority="185" stopIfTrue="1">
      <formula>AND(G20&gt;0.5, G20&lt;1)</formula>
    </cfRule>
    <cfRule type="expression" dxfId="377" priority="186" stopIfTrue="1">
      <formula>G20&lt;=0.5</formula>
    </cfRule>
    <cfRule type="expression" dxfId="376" priority="187" stopIfTrue="1">
      <formula>AND(G20&gt;=1,G20&lt;2)</formula>
    </cfRule>
  </conditionalFormatting>
  <conditionalFormatting sqref="H20:H22">
    <cfRule type="expression" dxfId="375" priority="176" stopIfTrue="1">
      <formula>H20&gt;=2</formula>
    </cfRule>
    <cfRule type="expression" dxfId="374" priority="177" stopIfTrue="1">
      <formula>AND(H20&gt;=1,H20&lt;2)</formula>
    </cfRule>
    <cfRule type="expression" dxfId="373" priority="178" stopIfTrue="1">
      <formula>AND(H20&gt;0.5, H20&lt;1)</formula>
    </cfRule>
    <cfRule type="expression" dxfId="372" priority="179" stopIfTrue="1">
      <formula>H20&lt;=0.5</formula>
    </cfRule>
  </conditionalFormatting>
  <conditionalFormatting sqref="F20:F33">
    <cfRule type="expression" dxfId="371" priority="142" stopIfTrue="1">
      <formula>F20&lt;0</formula>
    </cfRule>
    <cfRule type="expression" dxfId="370" priority="143" stopIfTrue="1">
      <formula>F20=1</formula>
    </cfRule>
    <cfRule type="expression" dxfId="369" priority="144" stopIfTrue="1">
      <formula>AND(F20&lt;1,F20&gt;0)</formula>
    </cfRule>
    <cfRule type="expression" dxfId="368" priority="145" stopIfTrue="1">
      <formula>AND(F20&lt;2,F20&gt;1)</formula>
    </cfRule>
    <cfRule type="expression" dxfId="367" priority="146" stopIfTrue="1">
      <formula>F20&gt;=2</formula>
    </cfRule>
  </conditionalFormatting>
  <conditionalFormatting sqref="F20:F22">
    <cfRule type="colorScale" priority="1189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G20:G33">
    <cfRule type="expression" dxfId="366" priority="167" stopIfTrue="1">
      <formula>G20&gt;2</formula>
    </cfRule>
    <cfRule type="expression" dxfId="365" priority="168" stopIfTrue="1">
      <formula>AND(G20&gt;0.5, G20&lt;1)</formula>
    </cfRule>
    <cfRule type="expression" dxfId="364" priority="169" stopIfTrue="1">
      <formula>G20&lt;=0.5</formula>
    </cfRule>
    <cfRule type="expression" dxfId="363" priority="170" stopIfTrue="1">
      <formula>AND(G20&gt;=1,G20&lt;2)</formula>
    </cfRule>
    <cfRule type="expression" dxfId="362" priority="171" stopIfTrue="1">
      <formula>G20&gt;2</formula>
    </cfRule>
  </conditionalFormatting>
  <conditionalFormatting sqref="H20:H33">
    <cfRule type="expression" dxfId="361" priority="162" stopIfTrue="1">
      <formula>H20&gt;=2</formula>
    </cfRule>
    <cfRule type="expression" dxfId="360" priority="163" stopIfTrue="1">
      <formula>AND(H20&gt;=1,H20&lt;2)</formula>
    </cfRule>
    <cfRule type="expression" dxfId="359" priority="164" stopIfTrue="1">
      <formula>AND(H20&gt;0.5, H20&lt;1)</formula>
    </cfRule>
    <cfRule type="expression" dxfId="358" priority="165" stopIfTrue="1">
      <formula>H20&lt;=0.5</formula>
    </cfRule>
    <cfRule type="expression" dxfId="357" priority="166" stopIfTrue="1">
      <formula>H20&gt;=2</formula>
    </cfRule>
  </conditionalFormatting>
  <conditionalFormatting sqref="C3:C7">
    <cfRule type="expression" dxfId="356" priority="59" stopIfTrue="1">
      <formula>H3="giảm"</formula>
    </cfRule>
    <cfRule type="expression" dxfId="355" priority="60" stopIfTrue="1">
      <formula>H3="tăng"</formula>
    </cfRule>
  </conditionalFormatting>
  <conditionalFormatting sqref="H3:H7">
    <cfRule type="expression" dxfId="354" priority="57" stopIfTrue="1">
      <formula>H3="giảm"</formula>
    </cfRule>
    <cfRule type="expression" dxfId="353" priority="58" stopIfTrue="1">
      <formula>H3="tăng"</formula>
    </cfRule>
  </conditionalFormatting>
  <conditionalFormatting sqref="B3:B7">
    <cfRule type="expression" dxfId="352" priority="61" stopIfTrue="1">
      <formula>H3="giảm"</formula>
    </cfRule>
    <cfRule type="expression" dxfId="351" priority="62" stopIfTrue="1">
      <formula>H3="tăng"</formula>
    </cfRule>
  </conditionalFormatting>
  <conditionalFormatting sqref="A3:A7">
    <cfRule type="expression" dxfId="350" priority="65" stopIfTrue="1">
      <formula>H3="giảm"</formula>
    </cfRule>
    <cfRule type="expression" dxfId="349" priority="66" stopIfTrue="1">
      <formula>H3="tăng"</formula>
    </cfRule>
  </conditionalFormatting>
  <conditionalFormatting sqref="G3:G7">
    <cfRule type="expression" dxfId="348" priority="54" stopIfTrue="1">
      <formula>G3=0</formula>
    </cfRule>
    <cfRule type="expression" dxfId="347" priority="55" stopIfTrue="1">
      <formula>G3&lt;0</formula>
    </cfRule>
    <cfRule type="expression" dxfId="346" priority="56" stopIfTrue="1">
      <formula>G3&gt;0</formula>
    </cfRule>
  </conditionalFormatting>
  <conditionalFormatting sqref="E3:E7">
    <cfRule type="expression" dxfId="345" priority="52" stopIfTrue="1">
      <formula>H3="tăng"</formula>
    </cfRule>
    <cfRule type="expression" dxfId="344" priority="53" stopIfTrue="1">
      <formula>H3="giảm"</formula>
    </cfRule>
  </conditionalFormatting>
  <conditionalFormatting sqref="F3:F7">
    <cfRule type="expression" dxfId="343" priority="50" stopIfTrue="1">
      <formula>H3="tăng"</formula>
    </cfRule>
    <cfRule type="expression" dxfId="342" priority="51" stopIfTrue="1">
      <formula>H3="giảm"</formula>
    </cfRule>
  </conditionalFormatting>
  <conditionalFormatting sqref="D3:D7">
    <cfRule type="expression" dxfId="341" priority="48" stopIfTrue="1">
      <formula>H3="giảm"</formula>
    </cfRule>
    <cfRule type="expression" dxfId="340" priority="49" stopIfTrue="1">
      <formula>H3="tăng"</formula>
    </cfRule>
  </conditionalFormatting>
  <conditionalFormatting sqref="G30">
    <cfRule type="expression" dxfId="339" priority="43" stopIfTrue="1">
      <formula>G30&gt;2</formula>
    </cfRule>
    <cfRule type="expression" dxfId="338" priority="44" stopIfTrue="1">
      <formula>AND(G30&gt;0.5, G30&lt;1)</formula>
    </cfRule>
    <cfRule type="expression" dxfId="337" priority="45" stopIfTrue="1">
      <formula>G30&lt;=0.5</formula>
    </cfRule>
    <cfRule type="expression" dxfId="336" priority="46" stopIfTrue="1">
      <formula>AND(G30&gt;=1,G30&lt;2)</formula>
    </cfRule>
  </conditionalFormatting>
  <conditionalFormatting sqref="H30">
    <cfRule type="expression" dxfId="335" priority="39" stopIfTrue="1">
      <formula>H30&gt;=2</formula>
    </cfRule>
    <cfRule type="expression" dxfId="334" priority="40" stopIfTrue="1">
      <formula>AND(H30&gt;=1,H30&lt;2)</formula>
    </cfRule>
    <cfRule type="expression" dxfId="333" priority="41" stopIfTrue="1">
      <formula>AND(H30&gt;0.5, H30&lt;1)</formula>
    </cfRule>
    <cfRule type="expression" dxfId="332" priority="42" stopIfTrue="1">
      <formula>H30&lt;=0.5</formula>
    </cfRule>
  </conditionalFormatting>
  <conditionalFormatting sqref="F30">
    <cfRule type="colorScale" priority="4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G31:G33">
    <cfRule type="expression" dxfId="331" priority="34" stopIfTrue="1">
      <formula>G31&gt;2</formula>
    </cfRule>
    <cfRule type="expression" dxfId="330" priority="35" stopIfTrue="1">
      <formula>AND(G31&gt;0.5, G31&lt;1)</formula>
    </cfRule>
    <cfRule type="expression" dxfId="329" priority="36" stopIfTrue="1">
      <formula>G31&lt;=0.5</formula>
    </cfRule>
    <cfRule type="expression" dxfId="328" priority="37" stopIfTrue="1">
      <formula>AND(G31&gt;=1,G31&lt;2)</formula>
    </cfRule>
  </conditionalFormatting>
  <conditionalFormatting sqref="H31:H33">
    <cfRule type="expression" dxfId="327" priority="30" stopIfTrue="1">
      <formula>H31&gt;=2</formula>
    </cfRule>
    <cfRule type="expression" dxfId="326" priority="31" stopIfTrue="1">
      <formula>AND(H31&gt;=1,H31&lt;2)</formula>
    </cfRule>
    <cfRule type="expression" dxfId="325" priority="32" stopIfTrue="1">
      <formula>AND(H31&gt;0.5, H31&lt;1)</formula>
    </cfRule>
    <cfRule type="expression" dxfId="324" priority="33" stopIfTrue="1">
      <formula>H31&lt;=0.5</formula>
    </cfRule>
  </conditionalFormatting>
  <conditionalFormatting sqref="F31:F33">
    <cfRule type="colorScale" priority="38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3">
    <cfRule type="colorScale" priority="18250">
      <colorScale>
        <cfvo type="min"/>
        <cfvo type="max"/>
        <color theme="0" tint="-4.9989318521683403E-2"/>
        <color rgb="FF00B050"/>
      </colorScale>
    </cfRule>
  </conditionalFormatting>
  <conditionalFormatting sqref="L20:L33">
    <cfRule type="colorScale" priority="18252">
      <colorScale>
        <cfvo type="min"/>
        <cfvo type="max"/>
        <color theme="0" tint="-4.9989318521683403E-2"/>
        <color rgb="FF00B050"/>
      </colorScale>
    </cfRule>
  </conditionalFormatting>
  <conditionalFormatting sqref="M20:M33">
    <cfRule type="colorScale" priority="18254">
      <colorScale>
        <cfvo type="min"/>
        <cfvo type="max"/>
        <color rgb="FFFF7C80"/>
        <color theme="0" tint="-4.9989318521683403E-2"/>
      </colorScale>
    </cfRule>
  </conditionalFormatting>
  <conditionalFormatting sqref="C20:C33">
    <cfRule type="expression" dxfId="323" priority="6" stopIfTrue="1">
      <formula>E20&gt;=6.8%</formula>
    </cfRule>
    <cfRule type="expression" dxfId="322" priority="7" stopIfTrue="1">
      <formula>AND(E20&gt;0%,E20&lt;6.8%)</formula>
    </cfRule>
    <cfRule type="expression" dxfId="321" priority="8" stopIfTrue="1">
      <formula>E20=0%</formula>
    </cfRule>
    <cfRule type="expression" dxfId="320" priority="9" stopIfTrue="1">
      <formula>AND(E20&gt;-6.8%, E20&lt;0%)</formula>
    </cfRule>
    <cfRule type="expression" dxfId="319" priority="10" stopIfTrue="1">
      <formula>E20&lt;=-6.8%</formula>
    </cfRule>
  </conditionalFormatting>
  <conditionalFormatting sqref="B20:B33">
    <cfRule type="expression" dxfId="318" priority="16" stopIfTrue="1">
      <formula>E20&gt;=6.8%</formula>
    </cfRule>
    <cfRule type="expression" dxfId="317" priority="17" stopIfTrue="1">
      <formula>AND(E20&gt;0%,E20&lt;6.8%)</formula>
    </cfRule>
    <cfRule type="expression" dxfId="316" priority="18" stopIfTrue="1">
      <formula>E20=0%</formula>
    </cfRule>
    <cfRule type="expression" dxfId="315" priority="19" stopIfTrue="1">
      <formula>AND(E20&gt;-6.8%, E20&lt;0%)</formula>
    </cfRule>
    <cfRule type="expression" dxfId="314" priority="20" stopIfTrue="1">
      <formula>E20&lt;=-6.8%</formula>
    </cfRule>
  </conditionalFormatting>
  <conditionalFormatting sqref="D20:D33">
    <cfRule type="expression" dxfId="313" priority="1" stopIfTrue="1">
      <formula>D20&gt;20000</formula>
    </cfRule>
    <cfRule type="expression" dxfId="312" priority="2" stopIfTrue="1">
      <formula>AND(D20&gt;10000,D20&lt;=20000)</formula>
    </cfRule>
    <cfRule type="expression" dxfId="311" priority="3" stopIfTrue="1">
      <formula>AND(D20&gt;1000,D20&lt;=10000)</formula>
    </cfRule>
    <cfRule type="expression" dxfId="310" priority="4" stopIfTrue="1">
      <formula>AND(D20&gt;200,D20&lt;=1000)</formula>
    </cfRule>
    <cfRule type="expression" dxfId="309" priority="5" stopIfTrue="1">
      <formula>D20&lt;=200</formula>
    </cfRule>
  </conditionalFormatting>
  <conditionalFormatting sqref="E20:E33">
    <cfRule type="expression" dxfId="308" priority="11" stopIfTrue="1">
      <formula>E20&gt;=6.8%</formula>
    </cfRule>
    <cfRule type="expression" dxfId="307" priority="12" stopIfTrue="1">
      <formula>AND(E20&gt;0%,E20&lt;6.8%)</formula>
    </cfRule>
    <cfRule type="expression" dxfId="306" priority="13" stopIfTrue="1">
      <formula>E20=0%</formula>
    </cfRule>
    <cfRule type="expression" dxfId="305" priority="14" stopIfTrue="1">
      <formula>AND(E20&gt;-6.8%, E20&lt;0%)</formula>
    </cfRule>
    <cfRule type="expression" dxfId="304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747248-42C3-45F8-BA56-42B17688EB3D}">
          <x14:formula1>
            <xm:f>'Nơi chứ dữ liệu'!$I$2:$K$2</xm:f>
          </x14:formula1>
          <xm:sqref>N20:N33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51320-AC29-48F3-B5EF-093CF3102D2A}">
  <sheetPr codeName="Sheet21">
    <tabColor theme="9" tint="-0.249977111117893"/>
  </sheetPr>
  <dimension ref="A1:X40"/>
  <sheetViews>
    <sheetView topLeftCell="A9" zoomScaleNormal="100" workbookViewId="0">
      <selection activeCell="B20" sqref="B20:E40"/>
    </sheetView>
  </sheetViews>
  <sheetFormatPr defaultRowHeight="15" x14ac:dyDescent="0.2"/>
  <cols>
    <col min="1" max="1" width="8" customWidth="1"/>
    <col min="2" max="2" width="9.6640625" customWidth="1"/>
    <col min="3" max="3" width="11.109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"&amp;SUM($O$20:O24)&amp;" "&amp;"trên tổng"&amp;" "&amp;$O$19</f>
        <v>Tổng điểm nhóm hôm nay -1 trên tổng 21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5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15</v>
      </c>
      <c r="B16" s="189"/>
      <c r="C16" s="189"/>
      <c r="D16" s="189"/>
      <c r="E16" s="189"/>
      <c r="F16" s="193">
        <f>AVERAGE(E20:E40)</f>
        <v>-6.0766666666666668E-3</v>
      </c>
      <c r="G16" s="191">
        <f>AVERAGE(F20:F40)</f>
        <v>0.57774478763954396</v>
      </c>
    </row>
    <row r="17" spans="1:24" ht="15.75" x14ac:dyDescent="0.2">
      <c r="A17" s="188" t="str">
        <f>"Tổng điểm tham chiếu nhóm hôm nay"&amp;" "&amp;(O19-(P19+Q19))</f>
        <v>Tổng điểm tham chiếu nhóm hôm nay 1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COUNT(O20:O40)</f>
        <v>21</v>
      </c>
      <c r="P19" s="158">
        <f>SUM(P20:P40)</f>
        <v>5</v>
      </c>
      <c r="Q19" s="158">
        <f>SUM(Q20:Q40)</f>
        <v>15</v>
      </c>
      <c r="T19" s="12" t="s">
        <v>1426</v>
      </c>
      <c r="U19" s="99">
        <v>-0.02</v>
      </c>
      <c r="V19" s="337">
        <v>0.98693260920506709</v>
      </c>
      <c r="X19"/>
    </row>
    <row r="20" spans="1:24" ht="15.75" customHeight="1" x14ac:dyDescent="0.2">
      <c r="A20" s="305" t="s">
        <v>3076</v>
      </c>
      <c r="B20" s="3" t="s">
        <v>185</v>
      </c>
      <c r="C20" s="101" cm="1">
        <f t="array" ref="C20:M20">tinh_du_lieu_cp(B20)</f>
        <v>4.68</v>
      </c>
      <c r="D20" s="103">
        <v>45</v>
      </c>
      <c r="E20" s="102">
        <v>-2.1320000000000002E-3</v>
      </c>
      <c r="F20" s="98">
        <v>0.15443894981514128</v>
      </c>
      <c r="G20" s="98">
        <v>1.0088069935978681</v>
      </c>
      <c r="H20" s="98">
        <v>0.16627663505357804</v>
      </c>
      <c r="I20" s="102">
        <v>0.32375979112271547</v>
      </c>
      <c r="J20" s="92">
        <v>3.83</v>
      </c>
      <c r="K20" s="92">
        <v>5.07</v>
      </c>
      <c r="L20" s="93">
        <v>0.22193211488250644</v>
      </c>
      <c r="M20" s="93">
        <v>-7.6923076923077024E-2</v>
      </c>
      <c r="N20" s="92"/>
      <c r="O20" s="92">
        <f>IF(E20&gt;0,1,IF(E20=0,0,-1))</f>
        <v>-1</v>
      </c>
      <c r="P20" s="92">
        <f t="shared" ref="P20:P30" si="0">IF(O20=1,1,0)</f>
        <v>0</v>
      </c>
      <c r="Q20" s="92">
        <f t="shared" ref="Q20:Q30" si="1">IF(O20&lt;0,1,0)</f>
        <v>1</v>
      </c>
      <c r="T20" s="12" t="s">
        <v>306</v>
      </c>
      <c r="U20" s="99">
        <v>-1.6726000000000001E-2</v>
      </c>
      <c r="V20" s="337">
        <v>1.0063981835720897</v>
      </c>
    </row>
    <row r="21" spans="1:24" ht="15.75" customHeight="1" x14ac:dyDescent="0.2">
      <c r="A21" s="305"/>
      <c r="B21" s="3" t="s">
        <v>235</v>
      </c>
      <c r="C21" s="101">
        <f t="array" ref="C21:M21">tinh_du_lieu_cp(B21)</f>
        <v>2.92</v>
      </c>
      <c r="D21" s="103">
        <v>63.2</v>
      </c>
      <c r="E21" s="102">
        <v>6.8969999999999995E-3</v>
      </c>
      <c r="F21" s="98">
        <v>0.39346860231485414</v>
      </c>
      <c r="G21" s="98">
        <v>0.99170230095703515</v>
      </c>
      <c r="H21" s="98">
        <v>0.42837776773610481</v>
      </c>
      <c r="I21" s="102">
        <v>0.29929577464788737</v>
      </c>
      <c r="J21" s="92">
        <v>2.84</v>
      </c>
      <c r="K21" s="92">
        <v>3.69</v>
      </c>
      <c r="L21" s="93">
        <v>2.8169014084507067E-2</v>
      </c>
      <c r="M21" s="93">
        <v>-0.20867208672086721</v>
      </c>
      <c r="N21" s="92"/>
      <c r="O21" s="94">
        <f>IF(E21&gt;0,1,IF(E21=0,0,-1))</f>
        <v>1</v>
      </c>
      <c r="P21" s="92">
        <f t="shared" si="0"/>
        <v>1</v>
      </c>
      <c r="Q21" s="92">
        <f t="shared" si="1"/>
        <v>0</v>
      </c>
      <c r="T21" s="12" t="s">
        <v>272</v>
      </c>
      <c r="U21" s="99">
        <v>-1.4286E-2</v>
      </c>
      <c r="V21" s="337">
        <v>0.61880938773060257</v>
      </c>
    </row>
    <row r="22" spans="1:24" ht="15.75" customHeight="1" x14ac:dyDescent="0.2">
      <c r="A22" s="305"/>
      <c r="B22" s="3" t="s">
        <v>272</v>
      </c>
      <c r="C22" s="101">
        <f t="array" ref="C22:M22">tinh_du_lieu_cp(B22)</f>
        <v>17.25</v>
      </c>
      <c r="D22" s="103">
        <v>1077.8</v>
      </c>
      <c r="E22" s="102">
        <v>-1.4286E-2</v>
      </c>
      <c r="F22" s="98">
        <v>0.61880938773060257</v>
      </c>
      <c r="G22" s="98">
        <v>1.0147637360208637</v>
      </c>
      <c r="H22" s="98">
        <v>0.56994791253536392</v>
      </c>
      <c r="I22" s="102">
        <v>0.28048780487804892</v>
      </c>
      <c r="J22" s="92">
        <v>16.399999999999999</v>
      </c>
      <c r="K22" s="92">
        <v>21</v>
      </c>
      <c r="L22" s="93">
        <v>5.1829268292683021E-2</v>
      </c>
      <c r="M22" s="93">
        <v>-0.17857142857142858</v>
      </c>
      <c r="N22" s="92"/>
      <c r="O22" s="92">
        <f t="shared" ref="O22:O30" si="2">IF(E22&gt;0,1,IF(E22=0,0,-1))</f>
        <v>-1</v>
      </c>
      <c r="P22" s="92">
        <f t="shared" si="0"/>
        <v>0</v>
      </c>
      <c r="Q22" s="92">
        <f t="shared" si="1"/>
        <v>1</v>
      </c>
      <c r="T22" s="12" t="s">
        <v>709</v>
      </c>
      <c r="U22" s="99">
        <v>-1.1976000000000001E-2</v>
      </c>
      <c r="V22" s="337">
        <v>0.72212790039615171</v>
      </c>
    </row>
    <row r="23" spans="1:24" ht="15.75" customHeight="1" x14ac:dyDescent="0.2">
      <c r="A23" s="305"/>
      <c r="B23" s="3" t="s">
        <v>306</v>
      </c>
      <c r="C23" s="101">
        <f t="array" ref="C23:M23">tinh_du_lieu_cp(B23)</f>
        <v>8.23</v>
      </c>
      <c r="D23" s="103">
        <v>697.1</v>
      </c>
      <c r="E23" s="102">
        <v>-1.6726000000000001E-2</v>
      </c>
      <c r="F23" s="98">
        <v>1.0063981835720897</v>
      </c>
      <c r="G23" s="98">
        <v>1.0161332292479834</v>
      </c>
      <c r="H23" s="98">
        <v>0.87228362877997923</v>
      </c>
      <c r="I23" s="102">
        <v>0.14249363867684478</v>
      </c>
      <c r="J23" s="92">
        <v>7.86</v>
      </c>
      <c r="K23" s="92">
        <v>8.98</v>
      </c>
      <c r="L23" s="93">
        <v>4.707379134860052E-2</v>
      </c>
      <c r="M23" s="93">
        <v>-8.3518930957683743E-2</v>
      </c>
      <c r="N23" s="92"/>
      <c r="O23" s="92">
        <f t="shared" si="2"/>
        <v>-1</v>
      </c>
      <c r="P23" s="92">
        <f t="shared" si="0"/>
        <v>0</v>
      </c>
      <c r="Q23" s="92">
        <f t="shared" si="1"/>
        <v>1</v>
      </c>
      <c r="T23" s="12" t="s">
        <v>795</v>
      </c>
      <c r="U23" s="99">
        <v>-1.1513000000000001E-2</v>
      </c>
      <c r="V23" s="337">
        <v>0.72222676279912512</v>
      </c>
    </row>
    <row r="24" spans="1:24" ht="15.75" customHeight="1" x14ac:dyDescent="0.2">
      <c r="A24" s="305"/>
      <c r="B24" s="3" t="s">
        <v>335</v>
      </c>
      <c r="C24" s="101">
        <f t="array" ref="C24:M24">tinh_du_lieu_cp(B24)</f>
        <v>33.15</v>
      </c>
      <c r="D24" s="103">
        <v>1708.2</v>
      </c>
      <c r="E24" s="102">
        <v>1.5110000000000002E-3</v>
      </c>
      <c r="F24" s="98">
        <v>0.47086034465908716</v>
      </c>
      <c r="G24" s="98">
        <v>1.0818858560794042</v>
      </c>
      <c r="H24" s="98">
        <v>0.49568358893257691</v>
      </c>
      <c r="I24" s="102">
        <v>0.34545454545454535</v>
      </c>
      <c r="J24" s="92">
        <v>24.75</v>
      </c>
      <c r="K24" s="92">
        <v>33.299999999999997</v>
      </c>
      <c r="L24" s="93">
        <v>0.33939393939393936</v>
      </c>
      <c r="M24" s="93">
        <v>-4.504504504504462E-3</v>
      </c>
      <c r="N24" s="92"/>
      <c r="O24" s="92">
        <f t="shared" si="2"/>
        <v>1</v>
      </c>
      <c r="P24" s="92">
        <f t="shared" si="0"/>
        <v>1</v>
      </c>
      <c r="Q24" s="92">
        <f t="shared" si="1"/>
        <v>0</v>
      </c>
      <c r="T24" s="12" t="s">
        <v>2780</v>
      </c>
      <c r="U24" s="99">
        <v>-1.1065E-2</v>
      </c>
      <c r="V24" s="337">
        <v>0.81474564095866253</v>
      </c>
    </row>
    <row r="25" spans="1:24" ht="15.75" customHeight="1" x14ac:dyDescent="0.2">
      <c r="A25" s="305"/>
      <c r="B25" s="3" t="s">
        <v>709</v>
      </c>
      <c r="C25" s="101">
        <f t="array" ref="C25:M25">tinh_du_lieu_cp(B25)</f>
        <v>8.25</v>
      </c>
      <c r="D25" s="103">
        <v>197.2</v>
      </c>
      <c r="E25" s="102">
        <v>-1.1976000000000001E-2</v>
      </c>
      <c r="F25" s="98">
        <v>0.72212790039615171</v>
      </c>
      <c r="G25" s="98">
        <v>1.0313550259700581</v>
      </c>
      <c r="H25" s="98">
        <v>0.45718701700154563</v>
      </c>
      <c r="I25" s="102">
        <v>0.11866666666666674</v>
      </c>
      <c r="J25" s="92">
        <v>7.5</v>
      </c>
      <c r="K25" s="92">
        <v>8.39</v>
      </c>
      <c r="L25" s="93">
        <v>0.1</v>
      </c>
      <c r="M25" s="93">
        <v>-1.6686531585220567E-2</v>
      </c>
      <c r="N25" s="92"/>
      <c r="O25" s="92">
        <f t="shared" si="2"/>
        <v>-1</v>
      </c>
      <c r="P25" s="92">
        <f t="shared" si="0"/>
        <v>0</v>
      </c>
      <c r="Q25" s="92">
        <f t="shared" si="1"/>
        <v>1</v>
      </c>
      <c r="T25" s="12" t="s">
        <v>2205</v>
      </c>
      <c r="U25" s="99">
        <v>-1.0989000000000001E-2</v>
      </c>
      <c r="V25" s="337">
        <v>0.29806512746804326</v>
      </c>
    </row>
    <row r="26" spans="1:24" ht="15.75" customHeight="1" x14ac:dyDescent="0.2">
      <c r="A26" s="305"/>
      <c r="B26" s="3" t="s">
        <v>795</v>
      </c>
      <c r="C26" s="101">
        <f t="array" ref="C26:M26">tinh_du_lieu_cp(B26)</f>
        <v>30.05</v>
      </c>
      <c r="D26" s="103">
        <v>4165.7</v>
      </c>
      <c r="E26" s="102">
        <v>-1.1513000000000001E-2</v>
      </c>
      <c r="F26" s="98">
        <v>0.72222676279912512</v>
      </c>
      <c r="G26" s="98">
        <v>1.063456850984581</v>
      </c>
      <c r="H26" s="98">
        <v>0.49373762813810235</v>
      </c>
      <c r="I26" s="102">
        <v>0.19685039370078741</v>
      </c>
      <c r="J26" s="92">
        <v>25.4</v>
      </c>
      <c r="K26" s="92">
        <v>30.4</v>
      </c>
      <c r="L26" s="93">
        <v>0.18307086614173237</v>
      </c>
      <c r="M26" s="93">
        <v>-1.1513157894736772E-2</v>
      </c>
      <c r="N26" s="92"/>
      <c r="O26" s="92">
        <f t="shared" si="2"/>
        <v>-1</v>
      </c>
      <c r="P26" s="92">
        <f t="shared" si="0"/>
        <v>0</v>
      </c>
      <c r="Q26" s="92">
        <f t="shared" si="1"/>
        <v>1</v>
      </c>
      <c r="T26" s="12" t="s">
        <v>1881</v>
      </c>
      <c r="U26" s="99">
        <v>-1.0810999999999999E-2</v>
      </c>
      <c r="V26" s="337">
        <v>0.38774756575053082</v>
      </c>
    </row>
    <row r="27" spans="1:24" ht="15.75" customHeight="1" x14ac:dyDescent="0.2">
      <c r="A27" s="305"/>
      <c r="B27" s="3" t="s">
        <v>1057</v>
      </c>
      <c r="C27" s="101">
        <f t="array" ref="C27:M27">tinh_du_lieu_cp(B27)</f>
        <v>48.05</v>
      </c>
      <c r="D27" s="103">
        <v>66.400000000000006</v>
      </c>
      <c r="E27" s="102">
        <v>5.2300000000000003E-3</v>
      </c>
      <c r="F27" s="98">
        <v>0.97823612134199434</v>
      </c>
      <c r="G27" s="98">
        <v>1.0049133320445904</v>
      </c>
      <c r="H27" s="98">
        <v>0.82161270365023709</v>
      </c>
      <c r="I27" s="102">
        <v>8.7680355160932366E-2</v>
      </c>
      <c r="J27" s="92">
        <v>45.05</v>
      </c>
      <c r="K27" s="92">
        <v>49</v>
      </c>
      <c r="L27" s="93">
        <v>6.6592674805771371E-2</v>
      </c>
      <c r="M27" s="93">
        <v>-1.9387755102040875E-2</v>
      </c>
      <c r="N27" s="92"/>
      <c r="O27" s="92">
        <f t="shared" si="2"/>
        <v>1</v>
      </c>
      <c r="P27" s="92">
        <f t="shared" si="0"/>
        <v>1</v>
      </c>
      <c r="Q27" s="92">
        <f t="shared" si="1"/>
        <v>0</v>
      </c>
      <c r="T27" s="12" t="s">
        <v>1620</v>
      </c>
      <c r="U27" s="99">
        <v>-9.2589999999999999E-3</v>
      </c>
      <c r="V27" s="337">
        <v>0.30510367307518188</v>
      </c>
    </row>
    <row r="28" spans="1:24" ht="15.75" customHeight="1" x14ac:dyDescent="0.2">
      <c r="A28" s="305"/>
      <c r="B28" s="3" t="s">
        <v>1188</v>
      </c>
      <c r="C28" s="101">
        <f t="array" ref="C28:M28">tinh_du_lieu_cp(B28)</f>
        <v>12.6</v>
      </c>
      <c r="D28" s="103">
        <v>5338.2</v>
      </c>
      <c r="E28" s="102">
        <v>-7.8739999999999991E-3</v>
      </c>
      <c r="F28" s="98">
        <v>0.73981327085930548</v>
      </c>
      <c r="G28" s="98">
        <v>1.0266400869880392</v>
      </c>
      <c r="H28" s="98">
        <v>0.65153897634832059</v>
      </c>
      <c r="I28" s="102">
        <v>0.16228070175438594</v>
      </c>
      <c r="J28" s="92">
        <v>11.4</v>
      </c>
      <c r="K28" s="92">
        <v>13.25</v>
      </c>
      <c r="L28" s="93">
        <v>0.10526315789473678</v>
      </c>
      <c r="M28" s="93">
        <v>-4.9056603773584929E-2</v>
      </c>
      <c r="N28" s="92"/>
      <c r="O28" s="92">
        <f t="shared" si="2"/>
        <v>-1</v>
      </c>
      <c r="P28" s="92">
        <f t="shared" si="0"/>
        <v>0</v>
      </c>
      <c r="Q28" s="92">
        <f t="shared" si="1"/>
        <v>1</v>
      </c>
      <c r="T28" s="12" t="s">
        <v>1188</v>
      </c>
      <c r="U28" s="99">
        <v>-7.8739999999999991E-3</v>
      </c>
      <c r="V28" s="337">
        <v>0.73981327085930548</v>
      </c>
    </row>
    <row r="29" spans="1:24" ht="15.75" customHeight="1" x14ac:dyDescent="0.2">
      <c r="A29" s="305"/>
      <c r="B29" s="3" t="s">
        <v>1359</v>
      </c>
      <c r="C29" s="101" cm="1">
        <f t="array" ref="C29:M29">tinh_du_lieu_cp(B29)</f>
        <v>4.2300000000000004</v>
      </c>
      <c r="D29" s="103">
        <v>26.6</v>
      </c>
      <c r="E29" s="102">
        <v>-7.0420000000000005E-3</v>
      </c>
      <c r="F29" s="98">
        <v>0.43697729988052569</v>
      </c>
      <c r="G29" s="98">
        <v>1.0194103911266785</v>
      </c>
      <c r="H29" s="98">
        <v>0.55882352941176472</v>
      </c>
      <c r="I29" s="102">
        <v>5.9701492537313494E-2</v>
      </c>
      <c r="J29" s="92">
        <v>4.0199999999999996</v>
      </c>
      <c r="K29" s="92">
        <v>4.26</v>
      </c>
      <c r="L29" s="93">
        <v>5.2238805970149474E-2</v>
      </c>
      <c r="M29" s="93">
        <v>-7.0422535211266107E-3</v>
      </c>
      <c r="N29" s="92"/>
      <c r="O29" s="92">
        <f t="shared" si="2"/>
        <v>-1</v>
      </c>
      <c r="P29" s="92">
        <f t="shared" si="0"/>
        <v>0</v>
      </c>
      <c r="Q29" s="92">
        <f t="shared" si="1"/>
        <v>1</v>
      </c>
      <c r="T29" s="12" t="s">
        <v>1359</v>
      </c>
      <c r="U29" s="99">
        <v>-7.0420000000000005E-3</v>
      </c>
      <c r="V29" s="337">
        <v>0.43697729988052569</v>
      </c>
    </row>
    <row r="30" spans="1:24" ht="15.75" customHeight="1" x14ac:dyDescent="0.2">
      <c r="A30" s="305"/>
      <c r="B30" s="3" t="s">
        <v>1426</v>
      </c>
      <c r="C30" s="101" cm="1">
        <f t="array" ref="C30:M30">tinh_du_lieu_cp(B30)</f>
        <v>7.84</v>
      </c>
      <c r="D30" s="103">
        <v>650.9</v>
      </c>
      <c r="E30" s="102">
        <v>-0.02</v>
      </c>
      <c r="F30" s="98">
        <v>0.98693260920506709</v>
      </c>
      <c r="G30" s="98">
        <v>1.0274257838062943</v>
      </c>
      <c r="H30" s="98">
        <v>0.75746232471537467</v>
      </c>
      <c r="I30" s="102">
        <v>0.16689655172413806</v>
      </c>
      <c r="J30" s="92">
        <v>7.25</v>
      </c>
      <c r="K30" s="92">
        <v>8.4600000000000009</v>
      </c>
      <c r="L30" s="93">
        <v>8.1379310344827566E-2</v>
      </c>
      <c r="M30" s="93">
        <v>-7.3286052009456371E-2</v>
      </c>
      <c r="N30" s="92"/>
      <c r="O30" s="92">
        <f t="shared" si="2"/>
        <v>-1</v>
      </c>
      <c r="P30" s="92">
        <f t="shared" si="0"/>
        <v>0</v>
      </c>
      <c r="Q30" s="92">
        <f t="shared" si="1"/>
        <v>1</v>
      </c>
      <c r="T30" s="12" t="s">
        <v>1706</v>
      </c>
      <c r="U30" s="99">
        <v>-5.8819999999999992E-3</v>
      </c>
      <c r="V30" s="337">
        <v>0.36134433316675779</v>
      </c>
    </row>
    <row r="31" spans="1:24" ht="15.75" customHeight="1" x14ac:dyDescent="0.2">
      <c r="A31" s="305"/>
      <c r="B31" s="3" t="s">
        <v>1483</v>
      </c>
      <c r="C31" s="101" cm="1">
        <f t="array" ref="C31:M31">tinh_du_lieu_cp(B31)</f>
        <v>58.2</v>
      </c>
      <c r="D31" s="103">
        <v>266.47000000000003</v>
      </c>
      <c r="E31" s="102">
        <v>-5.1280000000000006E-3</v>
      </c>
      <c r="F31" s="98">
        <v>0.52855443966290605</v>
      </c>
      <c r="G31" s="98">
        <v>0.99658411614005116</v>
      </c>
      <c r="H31" s="98">
        <v>0.60882611659247476</v>
      </c>
      <c r="I31" s="102">
        <v>0.19200000000000003</v>
      </c>
      <c r="J31" s="92">
        <v>50</v>
      </c>
      <c r="K31" s="92">
        <v>59.6</v>
      </c>
      <c r="L31" s="93">
        <v>0.16400000000000006</v>
      </c>
      <c r="M31" s="93">
        <v>-2.3489932885906017E-2</v>
      </c>
      <c r="N31" s="92"/>
      <c r="O31" s="92">
        <f t="shared" ref="O31:O33" si="3">IF(E31&gt;0,1,IF(E31=0,0,-1))</f>
        <v>-1</v>
      </c>
      <c r="P31" s="92">
        <f t="shared" ref="P31:P33" si="4">IF(O31=1,1,0)</f>
        <v>0</v>
      </c>
      <c r="Q31" s="92">
        <f t="shared" ref="Q31:Q33" si="5">IF(O31&lt;0,1,0)</f>
        <v>1</v>
      </c>
      <c r="T31" s="12" t="s">
        <v>1483</v>
      </c>
      <c r="U31" s="99">
        <v>-5.1280000000000006E-3</v>
      </c>
      <c r="V31" s="337">
        <v>0.52855443966290605</v>
      </c>
    </row>
    <row r="32" spans="1:24" ht="15.75" customHeight="1" x14ac:dyDescent="0.2">
      <c r="A32" s="305"/>
      <c r="B32" s="3" t="s">
        <v>1620</v>
      </c>
      <c r="C32" s="101">
        <f t="array" ref="C32:M32">tinh_du_lieu_cp(B32)</f>
        <v>10.7</v>
      </c>
      <c r="D32" s="103">
        <v>183.8</v>
      </c>
      <c r="E32" s="102">
        <v>-9.2589999999999999E-3</v>
      </c>
      <c r="F32" s="98">
        <v>0.30510367307518188</v>
      </c>
      <c r="G32" s="98">
        <v>1.0006230529595017</v>
      </c>
      <c r="H32" s="98">
        <v>0.33525870979509936</v>
      </c>
      <c r="I32" s="102">
        <v>0.15789473684210531</v>
      </c>
      <c r="J32" s="92">
        <v>10.45</v>
      </c>
      <c r="K32" s="92">
        <v>12.1</v>
      </c>
      <c r="L32" s="93">
        <v>2.3923444976076555E-2</v>
      </c>
      <c r="M32" s="93">
        <v>-0.11570247933884301</v>
      </c>
      <c r="N32" s="92"/>
      <c r="O32" s="92">
        <f t="shared" si="3"/>
        <v>-1</v>
      </c>
      <c r="P32" s="92">
        <f t="shared" si="4"/>
        <v>0</v>
      </c>
      <c r="Q32" s="92">
        <f t="shared" si="5"/>
        <v>1</v>
      </c>
      <c r="T32" s="12" t="s">
        <v>3069</v>
      </c>
      <c r="U32" s="99">
        <v>-3.0490000000000001E-3</v>
      </c>
      <c r="V32" s="337">
        <v>7.6751051077913954E-2</v>
      </c>
    </row>
    <row r="33" spans="1:22" ht="15.75" customHeight="1" x14ac:dyDescent="0.2">
      <c r="A33" s="305"/>
      <c r="B33" s="3" t="s">
        <v>3069</v>
      </c>
      <c r="C33" s="101">
        <f t="array" ref="C33:M33">tinh_du_lieu_cp(B33)</f>
        <v>32.700000000000003</v>
      </c>
      <c r="D33" s="103">
        <v>3.9</v>
      </c>
      <c r="E33" s="102">
        <v>-3.0490000000000001E-3</v>
      </c>
      <c r="F33" s="98">
        <v>7.6751051077913954E-2</v>
      </c>
      <c r="G33" s="98">
        <v>1.0051124744376274</v>
      </c>
      <c r="H33" s="98">
        <v>7.253564786112833E-2</v>
      </c>
      <c r="I33" s="102">
        <v>8.6956521739130335E-2</v>
      </c>
      <c r="J33" s="92">
        <v>32.200000000000003</v>
      </c>
      <c r="K33" s="92">
        <v>35</v>
      </c>
      <c r="L33" s="93">
        <v>1.5527950310559004E-2</v>
      </c>
      <c r="M33" s="93">
        <v>-6.5714285714285628E-2</v>
      </c>
      <c r="N33" s="92"/>
      <c r="O33" s="92">
        <f t="shared" si="3"/>
        <v>-1</v>
      </c>
      <c r="P33" s="92">
        <f t="shared" si="4"/>
        <v>0</v>
      </c>
      <c r="Q33" s="92">
        <f t="shared" si="5"/>
        <v>1</v>
      </c>
      <c r="T33" s="12" t="s">
        <v>185</v>
      </c>
      <c r="U33" s="99">
        <v>-2.1320000000000002E-3</v>
      </c>
      <c r="V33" s="337">
        <v>0.15443894981514128</v>
      </c>
    </row>
    <row r="34" spans="1:22" ht="15.75" customHeight="1" x14ac:dyDescent="0.2">
      <c r="A34" s="305"/>
      <c r="B34" s="3" t="s">
        <v>1706</v>
      </c>
      <c r="C34" s="101">
        <f t="array" ref="C34:M34">tinh_du_lieu_cp(B34)</f>
        <v>67.599999999999994</v>
      </c>
      <c r="D34" s="103">
        <v>1686.1</v>
      </c>
      <c r="E34" s="102">
        <v>-5.8819999999999992E-3</v>
      </c>
      <c r="F34" s="98">
        <v>0.36134433316675779</v>
      </c>
      <c r="G34" s="98">
        <v>1.001783962180002</v>
      </c>
      <c r="H34" s="98">
        <v>0.50238614298980488</v>
      </c>
      <c r="I34" s="102">
        <v>0.15698587127158556</v>
      </c>
      <c r="J34" s="92">
        <v>63.7</v>
      </c>
      <c r="K34" s="92">
        <v>73.7</v>
      </c>
      <c r="L34" s="93">
        <v>6.1224489795918234E-2</v>
      </c>
      <c r="M34" s="93">
        <v>-8.2767978290366459E-2</v>
      </c>
      <c r="N34" s="92"/>
      <c r="O34" s="92">
        <f t="shared" ref="O34:O40" si="6">IF(E34&gt;0,1,IF(E34=0,0,-1))</f>
        <v>-1</v>
      </c>
      <c r="P34" s="92">
        <f t="shared" ref="P34:P40" si="7">IF(O34=1,1,0)</f>
        <v>0</v>
      </c>
      <c r="Q34" s="92">
        <f t="shared" ref="Q34:Q40" si="8">IF(O34&lt;0,1,0)</f>
        <v>1</v>
      </c>
      <c r="T34" s="12" t="s">
        <v>2172</v>
      </c>
      <c r="U34" s="99">
        <v>0</v>
      </c>
      <c r="V34" s="337">
        <v>0.48108340498710234</v>
      </c>
    </row>
    <row r="35" spans="1:22" x14ac:dyDescent="0.2">
      <c r="A35" s="305"/>
      <c r="B35" s="3" t="s">
        <v>1733</v>
      </c>
      <c r="C35" s="101">
        <f t="array" ref="C35:M35">tinh_du_lieu_cp(B35)</f>
        <v>20.5</v>
      </c>
      <c r="D35" s="103">
        <v>262.39999999999998</v>
      </c>
      <c r="E35" s="102">
        <v>4.9020000000000001E-3</v>
      </c>
      <c r="F35" s="98">
        <v>1.0075397933538117</v>
      </c>
      <c r="G35" s="98">
        <v>1.0206011870572467</v>
      </c>
      <c r="H35" s="98">
        <v>0.79458968406177455</v>
      </c>
      <c r="I35" s="102">
        <v>7.8328981723237601E-2</v>
      </c>
      <c r="J35" s="92">
        <v>19.149999999999999</v>
      </c>
      <c r="K35" s="92">
        <v>20.65</v>
      </c>
      <c r="L35" s="93">
        <v>7.0496083550913913E-2</v>
      </c>
      <c r="M35" s="93">
        <v>-7.2639225181597381E-3</v>
      </c>
      <c r="N35" s="92"/>
      <c r="O35" s="92">
        <f t="shared" si="6"/>
        <v>1</v>
      </c>
      <c r="P35" s="92">
        <f t="shared" si="7"/>
        <v>1</v>
      </c>
      <c r="Q35" s="92">
        <f t="shared" si="8"/>
        <v>0</v>
      </c>
      <c r="T35" s="12" t="s">
        <v>335</v>
      </c>
      <c r="U35" s="99">
        <v>1.5110000000000002E-3</v>
      </c>
      <c r="V35" s="337">
        <v>0.47086034465908716</v>
      </c>
    </row>
    <row r="36" spans="1:22" x14ac:dyDescent="0.2">
      <c r="A36" s="305"/>
      <c r="B36" s="3" t="s">
        <v>1881</v>
      </c>
      <c r="C36" s="101">
        <f t="array" ref="C36:M36">tinh_du_lieu_cp(B36)</f>
        <v>27.45</v>
      </c>
      <c r="D36" s="103">
        <v>649.1</v>
      </c>
      <c r="E36" s="102">
        <v>-1.0810999999999999E-2</v>
      </c>
      <c r="F36" s="98">
        <v>0.38774756575053082</v>
      </c>
      <c r="G36" s="98">
        <v>1.0256303685231367</v>
      </c>
      <c r="H36" s="98">
        <v>0.53666804464654816</v>
      </c>
      <c r="I36" s="102">
        <v>0.26503340757238303</v>
      </c>
      <c r="J36" s="92">
        <v>22.45</v>
      </c>
      <c r="K36" s="92">
        <v>28.4</v>
      </c>
      <c r="L36" s="93">
        <v>0.22271714922048999</v>
      </c>
      <c r="M36" s="93">
        <v>-3.3450704225352089E-2</v>
      </c>
      <c r="N36" s="92"/>
      <c r="O36" s="92">
        <f t="shared" si="6"/>
        <v>-1</v>
      </c>
      <c r="P36" s="92">
        <f t="shared" si="7"/>
        <v>0</v>
      </c>
      <c r="Q36" s="92">
        <f t="shared" si="8"/>
        <v>1</v>
      </c>
      <c r="T36" s="12" t="s">
        <v>2857</v>
      </c>
      <c r="U36" s="99">
        <v>1.5820000000000001E-3</v>
      </c>
      <c r="V36" s="337">
        <v>0.64141607835557202</v>
      </c>
    </row>
    <row r="37" spans="1:22" x14ac:dyDescent="0.2">
      <c r="A37" s="305"/>
      <c r="B37" s="3" t="s">
        <v>2172</v>
      </c>
      <c r="C37" s="101">
        <f t="array" ref="C37:M37">tinh_du_lieu_cp(B37)</f>
        <v>51.7</v>
      </c>
      <c r="D37" s="103">
        <v>335.7</v>
      </c>
      <c r="E37" s="102">
        <v>0</v>
      </c>
      <c r="F37" s="98">
        <v>0.48108340498710234</v>
      </c>
      <c r="G37" s="98">
        <v>0.99947529514647981</v>
      </c>
      <c r="H37" s="98">
        <v>0.52217872605190152</v>
      </c>
      <c r="I37" s="102">
        <v>0.13698630136986301</v>
      </c>
      <c r="J37" s="92">
        <v>51.1</v>
      </c>
      <c r="K37" s="92">
        <v>58.1</v>
      </c>
      <c r="L37" s="93">
        <v>1.1741682974559714E-2</v>
      </c>
      <c r="M37" s="93">
        <v>-0.1101549053356282</v>
      </c>
      <c r="N37" s="92"/>
      <c r="O37" s="92">
        <f t="shared" si="6"/>
        <v>0</v>
      </c>
      <c r="P37" s="92">
        <f t="shared" si="7"/>
        <v>0</v>
      </c>
      <c r="Q37" s="92">
        <f t="shared" si="8"/>
        <v>0</v>
      </c>
      <c r="T37" s="12" t="s">
        <v>1733</v>
      </c>
      <c r="U37" s="99">
        <v>4.9020000000000001E-3</v>
      </c>
      <c r="V37" s="337">
        <v>1.0075397933538117</v>
      </c>
    </row>
    <row r="38" spans="1:22" x14ac:dyDescent="0.2">
      <c r="A38" s="305"/>
      <c r="B38" s="3" t="s">
        <v>2205</v>
      </c>
      <c r="C38" s="101">
        <f t="array" ref="C38:M38">tinh_du_lieu_cp(B38)</f>
        <v>13.5</v>
      </c>
      <c r="D38" s="103">
        <v>849.3</v>
      </c>
      <c r="E38" s="102">
        <v>-1.0989000000000001E-2</v>
      </c>
      <c r="F38" s="98">
        <v>0.29806512746804326</v>
      </c>
      <c r="G38" s="98">
        <v>1.0117295437884173</v>
      </c>
      <c r="H38" s="98">
        <v>0.3485189415441855</v>
      </c>
      <c r="I38" s="102">
        <v>0.17521367521367529</v>
      </c>
      <c r="J38" s="92">
        <v>11.7</v>
      </c>
      <c r="K38" s="92">
        <v>13.75</v>
      </c>
      <c r="L38" s="93">
        <v>0.15384615384615391</v>
      </c>
      <c r="M38" s="93">
        <v>-1.8181818181818181E-2</v>
      </c>
      <c r="N38" s="92"/>
      <c r="O38" s="92">
        <f t="shared" si="6"/>
        <v>-1</v>
      </c>
      <c r="P38" s="92">
        <f t="shared" si="7"/>
        <v>0</v>
      </c>
      <c r="Q38" s="92">
        <f t="shared" si="8"/>
        <v>1</v>
      </c>
      <c r="T38" s="12" t="s">
        <v>1057</v>
      </c>
      <c r="U38" s="99">
        <v>5.2300000000000003E-3</v>
      </c>
      <c r="V38" s="337">
        <v>0.97823612134199434</v>
      </c>
    </row>
    <row r="39" spans="1:22" x14ac:dyDescent="0.2">
      <c r="A39" s="305"/>
      <c r="B39" s="3" t="s">
        <v>2780</v>
      </c>
      <c r="C39" s="101">
        <f t="array" ref="C39:M39">tinh_du_lieu_cp(B39)</f>
        <v>71.5</v>
      </c>
      <c r="D39" s="103">
        <v>567.1</v>
      </c>
      <c r="E39" s="102">
        <v>-1.1065E-2</v>
      </c>
      <c r="F39" s="98">
        <v>0.81474564095866253</v>
      </c>
      <c r="G39" s="98">
        <v>1.0130706287683031</v>
      </c>
      <c r="H39" s="98">
        <v>0.61848586749068435</v>
      </c>
      <c r="I39" s="102">
        <v>0.1399999999999999</v>
      </c>
      <c r="J39" s="92">
        <v>65</v>
      </c>
      <c r="K39" s="92">
        <v>74.099999999999994</v>
      </c>
      <c r="L39" s="93">
        <v>0.1</v>
      </c>
      <c r="M39" s="93">
        <v>-3.5087719298245543E-2</v>
      </c>
      <c r="N39" s="92"/>
      <c r="O39" s="92">
        <f t="shared" si="6"/>
        <v>-1</v>
      </c>
      <c r="P39" s="92">
        <f t="shared" si="7"/>
        <v>0</v>
      </c>
      <c r="Q39" s="92">
        <f t="shared" si="8"/>
        <v>1</v>
      </c>
      <c r="T39" s="12" t="s">
        <v>235</v>
      </c>
      <c r="U39" s="99">
        <v>6.8969999999999995E-3</v>
      </c>
      <c r="V39" s="337">
        <v>0.39346860231485414</v>
      </c>
    </row>
    <row r="40" spans="1:22" x14ac:dyDescent="0.2">
      <c r="A40" s="305"/>
      <c r="B40" s="3" t="s">
        <v>2857</v>
      </c>
      <c r="C40" s="101">
        <f t="array" ref="C40:M40">tinh_du_lieu_cp(B40)</f>
        <v>63.3</v>
      </c>
      <c r="D40" s="103">
        <v>2850.8</v>
      </c>
      <c r="E40" s="102">
        <v>1.5820000000000001E-3</v>
      </c>
      <c r="F40" s="98">
        <v>0.64141607835557202</v>
      </c>
      <c r="G40" s="98">
        <v>1.0232242460141172</v>
      </c>
      <c r="H40" s="98">
        <v>0.73515279150728496</v>
      </c>
      <c r="I40" s="102">
        <v>8.3333333333333329E-2</v>
      </c>
      <c r="J40" s="92">
        <v>60</v>
      </c>
      <c r="K40" s="92">
        <v>65</v>
      </c>
      <c r="L40" s="93">
        <v>5.4999999999999952E-2</v>
      </c>
      <c r="M40" s="93">
        <v>-2.6153846153846198E-2</v>
      </c>
      <c r="N40" s="92"/>
      <c r="O40" s="92">
        <f t="shared" si="6"/>
        <v>1</v>
      </c>
      <c r="P40" s="92">
        <f t="shared" si="7"/>
        <v>1</v>
      </c>
      <c r="Q40" s="92">
        <f t="shared" si="8"/>
        <v>0</v>
      </c>
      <c r="T40" s="12" t="s">
        <v>3051</v>
      </c>
      <c r="U40" s="99">
        <v>-0.12761000000000003</v>
      </c>
      <c r="V40" s="337">
        <v>12.132640540430428</v>
      </c>
    </row>
  </sheetData>
  <mergeCells count="16">
    <mergeCell ref="L18:L19"/>
    <mergeCell ref="M18:M19"/>
    <mergeCell ref="N18:N19"/>
    <mergeCell ref="G18:G19"/>
    <mergeCell ref="H18:H19"/>
    <mergeCell ref="I18:I19"/>
    <mergeCell ref="J18:J19"/>
    <mergeCell ref="K18:K19"/>
    <mergeCell ref="A20:A40"/>
    <mergeCell ref="F14:G14"/>
    <mergeCell ref="A18:A19"/>
    <mergeCell ref="B18:B19"/>
    <mergeCell ref="C18:C19"/>
    <mergeCell ref="D18:D19"/>
    <mergeCell ref="E18:E19"/>
    <mergeCell ref="F18:F19"/>
  </mergeCells>
  <conditionalFormatting sqref="A14 O22">
    <cfRule type="expression" dxfId="302" priority="194" stopIfTrue="1">
      <formula>A14="giảm"</formula>
    </cfRule>
    <cfRule type="expression" dxfId="301" priority="195" stopIfTrue="1">
      <formula>A14="tăng"</formula>
    </cfRule>
  </conditionalFormatting>
  <conditionalFormatting sqref="G22:G24 G20 G35:G38 G31:G33">
    <cfRule type="expression" dxfId="300" priority="182" stopIfTrue="1">
      <formula>G20&gt;2</formula>
    </cfRule>
    <cfRule type="expression" dxfId="299" priority="183" stopIfTrue="1">
      <formula>AND(G20&gt;0.5, G20&lt;1)</formula>
    </cfRule>
    <cfRule type="expression" dxfId="298" priority="184" stopIfTrue="1">
      <formula>G20&lt;=0.5</formula>
    </cfRule>
    <cfRule type="expression" dxfId="297" priority="185" stopIfTrue="1">
      <formula>AND(G20&gt;=1,G20&lt;2)</formula>
    </cfRule>
  </conditionalFormatting>
  <conditionalFormatting sqref="G21">
    <cfRule type="expression" dxfId="296" priority="178" stopIfTrue="1">
      <formula>G21&gt;2</formula>
    </cfRule>
    <cfRule type="expression" dxfId="295" priority="179" stopIfTrue="1">
      <formula>AND(G21&gt;0.5, G21&lt;1)</formula>
    </cfRule>
    <cfRule type="expression" dxfId="294" priority="180" stopIfTrue="1">
      <formula>G21&lt;=0.5</formula>
    </cfRule>
    <cfRule type="expression" dxfId="293" priority="181" stopIfTrue="1">
      <formula>AND(G21&gt;=1,G21&lt;2)</formula>
    </cfRule>
  </conditionalFormatting>
  <conditionalFormatting sqref="H22:H24 H20 H35:H38 H31:H33">
    <cfRule type="expression" dxfId="292" priority="170" stopIfTrue="1">
      <formula>H20&gt;=2</formula>
    </cfRule>
    <cfRule type="expression" dxfId="291" priority="171" stopIfTrue="1">
      <formula>AND(H20&gt;=1,H20&lt;2)</formula>
    </cfRule>
    <cfRule type="expression" dxfId="290" priority="172" stopIfTrue="1">
      <formula>AND(H20&gt;0.5, H20&lt;1)</formula>
    </cfRule>
    <cfRule type="expression" dxfId="289" priority="173" stopIfTrue="1">
      <formula>H20&lt;=0.5</formula>
    </cfRule>
  </conditionalFormatting>
  <conditionalFormatting sqref="H21">
    <cfRule type="expression" dxfId="288" priority="166" stopIfTrue="1">
      <formula>H21&gt;=2</formula>
    </cfRule>
    <cfRule type="expression" dxfId="287" priority="167" stopIfTrue="1">
      <formula>AND(H21&gt;=1,H21&lt;2)</formula>
    </cfRule>
    <cfRule type="expression" dxfId="286" priority="168" stopIfTrue="1">
      <formula>AND(H21&gt;0.5, H21&lt;1)</formula>
    </cfRule>
    <cfRule type="expression" dxfId="285" priority="169" stopIfTrue="1">
      <formula>H21&lt;=0.5</formula>
    </cfRule>
  </conditionalFormatting>
  <conditionalFormatting sqref="F20:F40">
    <cfRule type="expression" dxfId="284" priority="132" stopIfTrue="1">
      <formula>F20&lt;0</formula>
    </cfRule>
    <cfRule type="expression" dxfId="283" priority="133" stopIfTrue="1">
      <formula>F20=1</formula>
    </cfRule>
    <cfRule type="expression" dxfId="282" priority="134" stopIfTrue="1">
      <formula>AND(F20&lt;1,F20&gt;0)</formula>
    </cfRule>
    <cfRule type="expression" dxfId="281" priority="135" stopIfTrue="1">
      <formula>AND(F20&lt;2,F20&gt;1)</formula>
    </cfRule>
    <cfRule type="expression" dxfId="280" priority="136" stopIfTrue="1">
      <formula>F20&gt;=2</formula>
    </cfRule>
  </conditionalFormatting>
  <conditionalFormatting sqref="G20:G40">
    <cfRule type="expression" dxfId="279" priority="157" stopIfTrue="1">
      <formula>G20&gt;2</formula>
    </cfRule>
    <cfRule type="expression" dxfId="278" priority="158" stopIfTrue="1">
      <formula>AND(G20&gt;0.5, G20&lt;1)</formula>
    </cfRule>
    <cfRule type="expression" dxfId="277" priority="159" stopIfTrue="1">
      <formula>G20&lt;=0.5</formula>
    </cfRule>
    <cfRule type="expression" dxfId="276" priority="160" stopIfTrue="1">
      <formula>AND(G20&gt;=1,G20&lt;2)</formula>
    </cfRule>
    <cfRule type="expression" dxfId="275" priority="161" stopIfTrue="1">
      <formula>G20&gt;2</formula>
    </cfRule>
  </conditionalFormatting>
  <conditionalFormatting sqref="H20:H40">
    <cfRule type="expression" dxfId="274" priority="152" stopIfTrue="1">
      <formula>H20&gt;=2</formula>
    </cfRule>
    <cfRule type="expression" dxfId="273" priority="153" stopIfTrue="1">
      <formula>AND(H20&gt;=1,H20&lt;2)</formula>
    </cfRule>
    <cfRule type="expression" dxfId="272" priority="154" stopIfTrue="1">
      <formula>AND(H20&gt;0.5, H20&lt;1)</formula>
    </cfRule>
    <cfRule type="expression" dxfId="271" priority="155" stopIfTrue="1">
      <formula>H20&lt;=0.5</formula>
    </cfRule>
    <cfRule type="expression" dxfId="270" priority="156" stopIfTrue="1">
      <formula>H20&gt;=2</formula>
    </cfRule>
  </conditionalFormatting>
  <conditionalFormatting sqref="C3:C7">
    <cfRule type="expression" dxfId="269" priority="49" stopIfTrue="1">
      <formula>H3="giảm"</formula>
    </cfRule>
    <cfRule type="expression" dxfId="268" priority="50" stopIfTrue="1">
      <formula>H3="tăng"</formula>
    </cfRule>
  </conditionalFormatting>
  <conditionalFormatting sqref="H3:H7">
    <cfRule type="expression" dxfId="267" priority="47" stopIfTrue="1">
      <formula>H3="giảm"</formula>
    </cfRule>
    <cfRule type="expression" dxfId="266" priority="48" stopIfTrue="1">
      <formula>H3="tăng"</formula>
    </cfRule>
  </conditionalFormatting>
  <conditionalFormatting sqref="B3:B7">
    <cfRule type="expression" dxfId="265" priority="51" stopIfTrue="1">
      <formula>H3="giảm"</formula>
    </cfRule>
    <cfRule type="expression" dxfId="264" priority="52" stopIfTrue="1">
      <formula>H3="tăng"</formula>
    </cfRule>
  </conditionalFormatting>
  <conditionalFormatting sqref="A3:A7">
    <cfRule type="expression" dxfId="263" priority="55" stopIfTrue="1">
      <formula>H3="giảm"</formula>
    </cfRule>
    <cfRule type="expression" dxfId="262" priority="56" stopIfTrue="1">
      <formula>H3="tăng"</formula>
    </cfRule>
  </conditionalFormatting>
  <conditionalFormatting sqref="G3:G7">
    <cfRule type="expression" dxfId="261" priority="44" stopIfTrue="1">
      <formula>G3=0</formula>
    </cfRule>
    <cfRule type="expression" dxfId="260" priority="45" stopIfTrue="1">
      <formula>G3&lt;0</formula>
    </cfRule>
    <cfRule type="expression" dxfId="259" priority="46" stopIfTrue="1">
      <formula>G3&gt;0</formula>
    </cfRule>
  </conditionalFormatting>
  <conditionalFormatting sqref="E3:E7">
    <cfRule type="expression" dxfId="258" priority="42" stopIfTrue="1">
      <formula>H3="tăng"</formula>
    </cfRule>
    <cfRule type="expression" dxfId="257" priority="43" stopIfTrue="1">
      <formula>H3="giảm"</formula>
    </cfRule>
  </conditionalFormatting>
  <conditionalFormatting sqref="F3:F7">
    <cfRule type="expression" dxfId="256" priority="40" stopIfTrue="1">
      <formula>H3="tăng"</formula>
    </cfRule>
    <cfRule type="expression" dxfId="255" priority="41" stopIfTrue="1">
      <formula>H3="giảm"</formula>
    </cfRule>
  </conditionalFormatting>
  <conditionalFormatting sqref="D3:D7">
    <cfRule type="expression" dxfId="254" priority="38" stopIfTrue="1">
      <formula>H3="giảm"</formula>
    </cfRule>
    <cfRule type="expression" dxfId="253" priority="39" stopIfTrue="1">
      <formula>H3="tăng"</formula>
    </cfRule>
  </conditionalFormatting>
  <conditionalFormatting sqref="G34">
    <cfRule type="expression" dxfId="252" priority="29" stopIfTrue="1">
      <formula>G34&gt;2</formula>
    </cfRule>
    <cfRule type="expression" dxfId="251" priority="30" stopIfTrue="1">
      <formula>AND(G34&gt;0.5, G34&lt;1)</formula>
    </cfRule>
    <cfRule type="expression" dxfId="250" priority="31" stopIfTrue="1">
      <formula>G34&lt;=0.5</formula>
    </cfRule>
    <cfRule type="expression" dxfId="249" priority="32" stopIfTrue="1">
      <formula>AND(G34&gt;=1,G34&lt;2)</formula>
    </cfRule>
  </conditionalFormatting>
  <conditionalFormatting sqref="H34">
    <cfRule type="expression" dxfId="248" priority="21" stopIfTrue="1">
      <formula>H34&gt;=2</formula>
    </cfRule>
    <cfRule type="expression" dxfId="247" priority="22" stopIfTrue="1">
      <formula>AND(H34&gt;=1,H34&lt;2)</formula>
    </cfRule>
    <cfRule type="expression" dxfId="246" priority="23" stopIfTrue="1">
      <formula>AND(H34&gt;0.5, H34&lt;1)</formula>
    </cfRule>
    <cfRule type="expression" dxfId="245" priority="24" stopIfTrue="1">
      <formula>H34&lt;=0.5</formula>
    </cfRule>
  </conditionalFormatting>
  <conditionalFormatting sqref="F31:F38">
    <cfRule type="colorScale" priority="1670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F20:F24">
    <cfRule type="colorScale" priority="1693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40">
    <cfRule type="colorScale" priority="16934">
      <colorScale>
        <cfvo type="min"/>
        <cfvo type="max"/>
        <color theme="0" tint="-4.9989318521683403E-2"/>
        <color rgb="FF00B050"/>
      </colorScale>
    </cfRule>
  </conditionalFormatting>
  <conditionalFormatting sqref="L20:L40">
    <cfRule type="colorScale" priority="16936">
      <colorScale>
        <cfvo type="min"/>
        <cfvo type="max"/>
        <color theme="0" tint="-4.9989318521683403E-2"/>
        <color rgb="FF00B050"/>
      </colorScale>
    </cfRule>
  </conditionalFormatting>
  <conditionalFormatting sqref="M20:M40">
    <cfRule type="colorScale" priority="16938">
      <colorScale>
        <cfvo type="min"/>
        <cfvo type="max"/>
        <color rgb="FFFF7C80"/>
        <color theme="0" tint="-4.9989318521683403E-2"/>
      </colorScale>
    </cfRule>
  </conditionalFormatting>
  <conditionalFormatting sqref="C20:C40">
    <cfRule type="expression" dxfId="244" priority="6" stopIfTrue="1">
      <formula>E20&gt;=6.8%</formula>
    </cfRule>
    <cfRule type="expression" dxfId="243" priority="7" stopIfTrue="1">
      <formula>AND(E20&gt;0%,E20&lt;6.8%)</formula>
    </cfRule>
    <cfRule type="expression" dxfId="242" priority="8" stopIfTrue="1">
      <formula>E20=0%</formula>
    </cfRule>
    <cfRule type="expression" dxfId="241" priority="9" stopIfTrue="1">
      <formula>AND(E20&gt;-6.8%, E20&lt;0%)</formula>
    </cfRule>
    <cfRule type="expression" dxfId="240" priority="10" stopIfTrue="1">
      <formula>E20&lt;=-6.8%</formula>
    </cfRule>
  </conditionalFormatting>
  <conditionalFormatting sqref="B20:B40">
    <cfRule type="expression" dxfId="239" priority="16" stopIfTrue="1">
      <formula>E20&gt;=6.8%</formula>
    </cfRule>
    <cfRule type="expression" dxfId="238" priority="17" stopIfTrue="1">
      <formula>AND(E20&gt;0%,E20&lt;6.8%)</formula>
    </cfRule>
    <cfRule type="expression" dxfId="237" priority="18" stopIfTrue="1">
      <formula>E20=0%</formula>
    </cfRule>
    <cfRule type="expression" dxfId="236" priority="19" stopIfTrue="1">
      <formula>AND(E20&gt;-6.8%, E20&lt;0%)</formula>
    </cfRule>
    <cfRule type="expression" dxfId="235" priority="20" stopIfTrue="1">
      <formula>E20&lt;=-6.8%</formula>
    </cfRule>
  </conditionalFormatting>
  <conditionalFormatting sqref="D20:D40">
    <cfRule type="expression" dxfId="234" priority="1" stopIfTrue="1">
      <formula>D20&gt;20000</formula>
    </cfRule>
    <cfRule type="expression" dxfId="233" priority="2" stopIfTrue="1">
      <formula>AND(D20&gt;10000,D20&lt;=20000)</formula>
    </cfRule>
    <cfRule type="expression" dxfId="232" priority="3" stopIfTrue="1">
      <formula>AND(D20&gt;1000,D20&lt;=10000)</formula>
    </cfRule>
    <cfRule type="expression" dxfId="231" priority="4" stopIfTrue="1">
      <formula>AND(D20&gt;200,D20&lt;=1000)</formula>
    </cfRule>
    <cfRule type="expression" dxfId="230" priority="5" stopIfTrue="1">
      <formula>D20&lt;=200</formula>
    </cfRule>
  </conditionalFormatting>
  <conditionalFormatting sqref="E20:E40">
    <cfRule type="expression" dxfId="229" priority="11" stopIfTrue="1">
      <formula>E20&gt;=6.8%</formula>
    </cfRule>
    <cfRule type="expression" dxfId="228" priority="12" stopIfTrue="1">
      <formula>AND(E20&gt;0%,E20&lt;6.8%)</formula>
    </cfRule>
    <cfRule type="expression" dxfId="227" priority="13" stopIfTrue="1">
      <formula>E20=0%</formula>
    </cfRule>
    <cfRule type="expression" dxfId="226" priority="14" stopIfTrue="1">
      <formula>AND(E20&gt;-6.8%, E20&lt;0%)</formula>
    </cfRule>
    <cfRule type="expression" dxfId="225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37A232-5073-4217-985E-1C9443D1FA32}">
          <x14:formula1>
            <xm:f>'Nơi chứ dữ liệu'!$I$2:$K$2</xm:f>
          </x14:formula1>
          <xm:sqref>N20:N40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69557-89D1-4F0F-9CB8-54A22E4C29E9}">
  <sheetPr codeName="Sheet15">
    <tabColor rgb="FF7030A0"/>
  </sheetPr>
  <dimension ref="A1:W34"/>
  <sheetViews>
    <sheetView topLeftCell="A3" zoomScaleNormal="100" workbookViewId="0">
      <selection activeCell="B20" sqref="B20:E34"/>
    </sheetView>
  </sheetViews>
  <sheetFormatPr defaultRowHeight="15" x14ac:dyDescent="0.2"/>
  <cols>
    <col min="1" max="1" width="8" customWidth="1"/>
    <col min="2" max="2" width="9.6640625" customWidth="1"/>
    <col min="3" max="3" width="11.6640625" customWidth="1"/>
    <col min="4" max="4" width="11.21875" customWidth="1"/>
    <col min="5" max="5" width="13.109375" customWidth="1"/>
    <col min="6" max="6" width="10.66406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"&amp;SUM($O$20:O25)&amp;" "&amp;"trên tổng"&amp;" "&amp;$O$19</f>
        <v>Tổng điểm nhóm hôm nay -2 trên tổng 15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3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9</v>
      </c>
      <c r="B16" s="189"/>
      <c r="C16" s="189"/>
      <c r="D16" s="189"/>
      <c r="E16" s="189"/>
      <c r="F16" s="190">
        <f>AVERAGE(E20:E34)</f>
        <v>-6.7965333333333327E-3</v>
      </c>
      <c r="G16" s="191">
        <f>AVERAGE(F20:F34)</f>
        <v>0.44564633828683581</v>
      </c>
    </row>
    <row r="17" spans="1:23" ht="15.75" x14ac:dyDescent="0.2">
      <c r="A17" s="188" t="str">
        <f>"Tổng điểm tham chiếu nhóm hôm nay"&amp;" "&amp;(O19-(P19+Q19))</f>
        <v>Tổng điểm tham chiếu nhóm hôm nay 3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</row>
    <row r="19" spans="1:23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COUNT(O20:O34)</f>
        <v>15</v>
      </c>
      <c r="P19" s="158">
        <f>SUM(P20:P34)</f>
        <v>3</v>
      </c>
      <c r="Q19" s="158">
        <f>SUM(Q20:Q34)</f>
        <v>9</v>
      </c>
      <c r="T19" s="169" t="s">
        <v>1672</v>
      </c>
      <c r="U19" s="170">
        <v>-4.5401999999999998E-2</v>
      </c>
      <c r="V19" s="341">
        <v>1.3356307168687513</v>
      </c>
    </row>
    <row r="20" spans="1:23" ht="15.75" customHeight="1" x14ac:dyDescent="0.2">
      <c r="A20" s="305"/>
      <c r="B20" s="3" t="s">
        <v>1159</v>
      </c>
      <c r="C20" s="101" cm="1">
        <f t="array" ref="C20:M20">tinh_du_lieu_cp(B20)</f>
        <v>61.2</v>
      </c>
      <c r="D20" s="103">
        <v>687.4</v>
      </c>
      <c r="E20" s="102">
        <v>6.5790000000000006E-3</v>
      </c>
      <c r="F20" s="98">
        <v>0.64811537060449564</v>
      </c>
      <c r="G20" s="98">
        <v>0.98972695323060322</v>
      </c>
      <c r="H20" s="98">
        <v>0.62598084599389858</v>
      </c>
      <c r="I20" s="93">
        <v>0.12333333333333343</v>
      </c>
      <c r="J20" s="101">
        <v>60</v>
      </c>
      <c r="K20" s="101">
        <v>67.400000000000006</v>
      </c>
      <c r="L20" s="93">
        <v>2.0000000000000049E-2</v>
      </c>
      <c r="M20" s="93">
        <v>-9.1988130563798259E-2</v>
      </c>
      <c r="N20" s="92"/>
      <c r="O20" s="92">
        <f t="shared" ref="O20:O21" si="0">IF(E20&gt;0,1,IF(E20=0,0,-1))</f>
        <v>1</v>
      </c>
      <c r="P20" s="92">
        <f t="shared" ref="P20:P25" si="1">IF(O20=1,1,0)</f>
        <v>1</v>
      </c>
      <c r="Q20" s="92">
        <f t="shared" ref="Q20:Q25" si="2">IF(O20&lt;0,1,0)</f>
        <v>0</v>
      </c>
      <c r="T20" s="169" t="s">
        <v>2805</v>
      </c>
      <c r="U20" s="170">
        <v>-2.2221999999999999E-2</v>
      </c>
      <c r="V20" s="341">
        <v>0.25942273573066771</v>
      </c>
    </row>
    <row r="21" spans="1:23" ht="15.75" customHeight="1" x14ac:dyDescent="0.2">
      <c r="A21" s="305"/>
      <c r="B21" s="3" t="s">
        <v>1168</v>
      </c>
      <c r="C21" s="101">
        <f t="array" ref="C21:M21">tinh_du_lieu_cp(B21)</f>
        <v>13.2</v>
      </c>
      <c r="D21" s="103">
        <v>56.3</v>
      </c>
      <c r="E21" s="102">
        <v>-7.5190000000000005E-3</v>
      </c>
      <c r="F21" s="98">
        <v>0.2426011164430516</v>
      </c>
      <c r="G21" s="98">
        <v>1.0084279325765393</v>
      </c>
      <c r="H21" s="98">
        <v>0.29644580956559896</v>
      </c>
      <c r="I21" s="93">
        <v>0.17054263565891467</v>
      </c>
      <c r="J21" s="101">
        <v>12.9</v>
      </c>
      <c r="K21" s="101">
        <v>15.1</v>
      </c>
      <c r="L21" s="93">
        <v>2.3255813953488289E-2</v>
      </c>
      <c r="M21" s="93">
        <v>-0.12582781456953646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69" t="s">
        <v>2855</v>
      </c>
      <c r="U21" s="170">
        <v>-1.1736999999999999E-2</v>
      </c>
      <c r="V21" s="341">
        <v>3.6883154748888404E-2</v>
      </c>
    </row>
    <row r="22" spans="1:23" ht="15.75" customHeight="1" x14ac:dyDescent="0.2">
      <c r="A22" s="305"/>
      <c r="B22" s="3" t="s">
        <v>1190</v>
      </c>
      <c r="C22" s="101">
        <f t="array" ref="C22:M22">tinh_du_lieu_cp(B22)</f>
        <v>51.8</v>
      </c>
      <c r="D22" s="103">
        <v>965.9</v>
      </c>
      <c r="E22" s="102">
        <v>-7.6629999999999997E-3</v>
      </c>
      <c r="F22" s="98">
        <v>0.41250613911973272</v>
      </c>
      <c r="G22" s="98">
        <v>0.99308828149544437</v>
      </c>
      <c r="H22" s="98">
        <v>0.45240511467424394</v>
      </c>
      <c r="I22" s="93">
        <v>0.13479623824451401</v>
      </c>
      <c r="J22" s="101">
        <v>47.85</v>
      </c>
      <c r="K22" s="101">
        <v>54.3</v>
      </c>
      <c r="L22" s="93">
        <v>8.2549634273772113E-2</v>
      </c>
      <c r="M22" s="93">
        <v>-4.6040515653775323E-2</v>
      </c>
      <c r="N22" s="92"/>
      <c r="O22" s="94">
        <f>IF(E22&gt;0,1,IF(E22=0,0,-1))</f>
        <v>-1</v>
      </c>
      <c r="P22" s="92">
        <f t="shared" si="1"/>
        <v>0</v>
      </c>
      <c r="Q22" s="92">
        <f t="shared" si="2"/>
        <v>1</v>
      </c>
      <c r="T22" s="169" t="s">
        <v>2902</v>
      </c>
      <c r="U22" s="170">
        <v>-1.0810999999999999E-2</v>
      </c>
      <c r="V22" s="341">
        <v>0.6389306547786634</v>
      </c>
    </row>
    <row r="23" spans="1:23" ht="15.75" customHeight="1" x14ac:dyDescent="0.2">
      <c r="A23" s="305"/>
      <c r="B23" s="3" t="s">
        <v>1672</v>
      </c>
      <c r="C23" s="101">
        <f t="array" ref="C23:M23">tinh_du_lieu_cp(B23)</f>
        <v>8.1999999999999993</v>
      </c>
      <c r="D23" s="103">
        <v>142.69999999999999</v>
      </c>
      <c r="E23" s="102">
        <v>-4.5401999999999998E-2</v>
      </c>
      <c r="F23" s="98">
        <v>1.3356307168687513</v>
      </c>
      <c r="G23" s="98">
        <v>1.1195414958493952</v>
      </c>
      <c r="H23" s="98">
        <v>0.62056968906283971</v>
      </c>
      <c r="I23" s="93">
        <v>0.33385093167701851</v>
      </c>
      <c r="J23" s="101">
        <v>6.44</v>
      </c>
      <c r="K23" s="101">
        <v>8.59</v>
      </c>
      <c r="L23" s="93">
        <v>0.2732919254658383</v>
      </c>
      <c r="M23" s="93">
        <v>-4.5401629802095528E-2</v>
      </c>
      <c r="N23" s="92"/>
      <c r="O23" s="92">
        <f t="shared" ref="O23:O25" si="3">IF(E23&gt;0,1,IF(E23=0,0,-1))</f>
        <v>-1</v>
      </c>
      <c r="P23" s="92">
        <f t="shared" si="1"/>
        <v>0</v>
      </c>
      <c r="Q23" s="92">
        <f t="shared" si="2"/>
        <v>1</v>
      </c>
      <c r="T23" s="169" t="s">
        <v>2453</v>
      </c>
      <c r="U23" s="170">
        <v>-8.6210000000000002E-3</v>
      </c>
      <c r="V23" s="341">
        <v>0.73314958656978202</v>
      </c>
    </row>
    <row r="24" spans="1:23" ht="15.75" customHeight="1" x14ac:dyDescent="0.2">
      <c r="A24" s="305"/>
      <c r="B24" s="3" t="s">
        <v>1757</v>
      </c>
      <c r="C24" s="101">
        <f t="array" ref="C24:M24">tinh_du_lieu_cp(B24)</f>
        <v>115.3</v>
      </c>
      <c r="D24" s="103">
        <v>3.8</v>
      </c>
      <c r="E24" s="102">
        <v>0</v>
      </c>
      <c r="F24" s="98">
        <v>0.26993865030674846</v>
      </c>
      <c r="G24" s="98">
        <v>1.0080819322442598</v>
      </c>
      <c r="H24" s="98">
        <v>0.42458100558659218</v>
      </c>
      <c r="I24" s="93">
        <v>3.9145907473309531E-2</v>
      </c>
      <c r="J24" s="101">
        <v>112.4</v>
      </c>
      <c r="K24" s="101">
        <v>116.8</v>
      </c>
      <c r="L24" s="93">
        <v>2.5800711743772166E-2</v>
      </c>
      <c r="M24" s="93">
        <v>-1.2842465753424659E-2</v>
      </c>
      <c r="N24" s="92"/>
      <c r="O24" s="92">
        <f t="shared" si="3"/>
        <v>0</v>
      </c>
      <c r="P24" s="92">
        <f t="shared" si="1"/>
        <v>0</v>
      </c>
      <c r="Q24" s="92">
        <f t="shared" si="2"/>
        <v>0</v>
      </c>
      <c r="T24" s="169" t="s">
        <v>1190</v>
      </c>
      <c r="U24" s="170">
        <v>-7.6629999999999997E-3</v>
      </c>
      <c r="V24" s="341">
        <v>0.41250613911973272</v>
      </c>
    </row>
    <row r="25" spans="1:23" ht="15.75" customHeight="1" x14ac:dyDescent="0.2">
      <c r="A25" s="305"/>
      <c r="B25" s="3" t="s">
        <v>2095</v>
      </c>
      <c r="C25" s="101">
        <f t="array" ref="C25:M25">tinh_du_lieu_cp(B25)</f>
        <v>16.75</v>
      </c>
      <c r="D25" s="103">
        <v>104</v>
      </c>
      <c r="E25" s="102">
        <v>0</v>
      </c>
      <c r="F25" s="98">
        <v>0.30154859967051068</v>
      </c>
      <c r="G25" s="98">
        <v>1.006916192026037</v>
      </c>
      <c r="H25" s="98">
        <v>0.25625230996673648</v>
      </c>
      <c r="I25" s="93">
        <v>0.13749999999999996</v>
      </c>
      <c r="J25" s="101">
        <v>16</v>
      </c>
      <c r="K25" s="101">
        <v>18.2</v>
      </c>
      <c r="L25" s="93">
        <v>4.6875E-2</v>
      </c>
      <c r="M25" s="93">
        <v>-7.9670329670329637E-2</v>
      </c>
      <c r="N25" s="92"/>
      <c r="O25" s="92">
        <f t="shared" si="3"/>
        <v>0</v>
      </c>
      <c r="P25" s="92">
        <f t="shared" si="1"/>
        <v>0</v>
      </c>
      <c r="Q25" s="92">
        <f t="shared" si="2"/>
        <v>0</v>
      </c>
      <c r="T25" s="169" t="s">
        <v>1168</v>
      </c>
      <c r="U25" s="170">
        <v>-7.5190000000000005E-3</v>
      </c>
      <c r="V25" s="341">
        <v>0.2426011164430516</v>
      </c>
    </row>
    <row r="26" spans="1:23" x14ac:dyDescent="0.2">
      <c r="A26" s="305"/>
      <c r="B26" s="3" t="s">
        <v>2101</v>
      </c>
      <c r="C26" s="101">
        <f t="array" ref="C26:M26">tinh_du_lieu_cp(B26)</f>
        <v>26.45</v>
      </c>
      <c r="D26" s="103">
        <v>662.1</v>
      </c>
      <c r="E26" s="102">
        <v>-7.5049999999999995E-3</v>
      </c>
      <c r="F26" s="98">
        <v>0.36025256409939332</v>
      </c>
      <c r="G26" s="98">
        <v>1.0101684143628853</v>
      </c>
      <c r="H26" s="98">
        <v>0.35055549182425455</v>
      </c>
      <c r="I26" s="93">
        <v>0.12204724409448825</v>
      </c>
      <c r="J26" s="101">
        <v>25.4</v>
      </c>
      <c r="K26" s="101">
        <v>28.5</v>
      </c>
      <c r="L26" s="93">
        <v>4.1338582677165385E-2</v>
      </c>
      <c r="M26" s="93">
        <v>-7.1929824561403538E-2</v>
      </c>
      <c r="N26" s="92"/>
      <c r="O26" s="92">
        <f t="shared" ref="O26:O34" si="4">IF(E26&gt;0,1,IF(E26=0,0,-1))</f>
        <v>-1</v>
      </c>
      <c r="P26" s="92">
        <f t="shared" ref="P26:P34" si="5">IF(O26=1,1,0)</f>
        <v>0</v>
      </c>
      <c r="Q26" s="92">
        <f t="shared" ref="Q26:Q34" si="6">IF(O26&lt;0,1,0)</f>
        <v>1</v>
      </c>
      <c r="T26" s="169" t="s">
        <v>2101</v>
      </c>
      <c r="U26" s="170">
        <v>-7.5049999999999995E-3</v>
      </c>
      <c r="V26" s="341">
        <v>0.36025256409939332</v>
      </c>
      <c r="W26" s="116"/>
    </row>
    <row r="27" spans="1:23" x14ac:dyDescent="0.2">
      <c r="A27" s="305"/>
      <c r="B27" s="3" t="s">
        <v>2449</v>
      </c>
      <c r="C27" s="101">
        <f t="array" ref="C27:M27">tinh_du_lieu_cp(B27)</f>
        <v>42.2</v>
      </c>
      <c r="D27" s="103">
        <v>94.2</v>
      </c>
      <c r="E27" s="102">
        <v>0</v>
      </c>
      <c r="F27" s="98">
        <v>0.23442113002658219</v>
      </c>
      <c r="G27" s="98">
        <v>1.0317130669061518</v>
      </c>
      <c r="H27" s="98">
        <v>0.32568860205140027</v>
      </c>
      <c r="I27" s="93">
        <v>0.24316546762589936</v>
      </c>
      <c r="J27" s="101">
        <v>34.75</v>
      </c>
      <c r="K27" s="101">
        <v>43.2</v>
      </c>
      <c r="L27" s="93">
        <v>0.21438848920863318</v>
      </c>
      <c r="M27" s="93">
        <v>-2.3148148148148147E-2</v>
      </c>
      <c r="N27" s="92"/>
      <c r="O27" s="92">
        <f t="shared" si="4"/>
        <v>0</v>
      </c>
      <c r="P27" s="92">
        <f t="shared" si="5"/>
        <v>0</v>
      </c>
      <c r="Q27" s="92">
        <f t="shared" si="6"/>
        <v>0</v>
      </c>
      <c r="T27" s="169" t="s">
        <v>2941</v>
      </c>
      <c r="U27" s="170">
        <v>-2.614E-3</v>
      </c>
      <c r="V27" s="341">
        <v>0.3036802936079111</v>
      </c>
      <c r="W27" s="116"/>
    </row>
    <row r="28" spans="1:23" x14ac:dyDescent="0.2">
      <c r="A28" s="305"/>
      <c r="B28" s="3" t="s">
        <v>2453</v>
      </c>
      <c r="C28" s="101" cm="1">
        <f t="array" ref="C28:M28">tinh_du_lieu_cp(B28)</f>
        <v>11.5</v>
      </c>
      <c r="D28" s="103">
        <v>172.9</v>
      </c>
      <c r="E28" s="102">
        <v>-8.6210000000000002E-3</v>
      </c>
      <c r="F28" s="98">
        <v>0.73314958656978202</v>
      </c>
      <c r="G28" s="98">
        <v>1.0145804855822429</v>
      </c>
      <c r="H28" s="98">
        <v>0.69275459098497494</v>
      </c>
      <c r="I28" s="93">
        <v>0.23636363636363633</v>
      </c>
      <c r="J28" s="101">
        <v>11</v>
      </c>
      <c r="K28" s="101">
        <v>13.6</v>
      </c>
      <c r="L28" s="93">
        <v>4.5454545454545456E-2</v>
      </c>
      <c r="M28" s="93">
        <v>-0.15441176470588233</v>
      </c>
      <c r="N28" s="92"/>
      <c r="O28" s="92">
        <f t="shared" si="4"/>
        <v>-1</v>
      </c>
      <c r="P28" s="92">
        <f t="shared" si="5"/>
        <v>0</v>
      </c>
      <c r="Q28" s="92">
        <f t="shared" si="6"/>
        <v>1</v>
      </c>
      <c r="T28" s="169" t="s">
        <v>1757</v>
      </c>
      <c r="U28" s="170">
        <v>0</v>
      </c>
      <c r="V28" s="341">
        <v>0.26993865030674846</v>
      </c>
      <c r="W28" s="116"/>
    </row>
    <row r="29" spans="1:23" x14ac:dyDescent="0.2">
      <c r="A29" s="305"/>
      <c r="B29" s="3" t="s">
        <v>2805</v>
      </c>
      <c r="C29" s="101">
        <f t="array" ref="C29:M29">tinh_du_lieu_cp(B29)</f>
        <v>15.4</v>
      </c>
      <c r="D29" s="103">
        <v>272.5</v>
      </c>
      <c r="E29" s="102">
        <v>-2.2221999999999999E-2</v>
      </c>
      <c r="F29" s="98">
        <v>0.25942273573066771</v>
      </c>
      <c r="G29" s="98">
        <v>1.0557395143487855</v>
      </c>
      <c r="H29" s="98">
        <v>0.36976728407626025</v>
      </c>
      <c r="I29" s="93">
        <v>0.21111111111111122</v>
      </c>
      <c r="J29" s="101">
        <v>13.5</v>
      </c>
      <c r="K29" s="101">
        <v>16.350000000000001</v>
      </c>
      <c r="L29" s="93">
        <v>0.14074074074074078</v>
      </c>
      <c r="M29" s="93">
        <v>-5.8103975535168259E-2</v>
      </c>
      <c r="N29" s="92"/>
      <c r="O29" s="92">
        <f t="shared" si="4"/>
        <v>-1</v>
      </c>
      <c r="P29" s="92">
        <f t="shared" si="5"/>
        <v>0</v>
      </c>
      <c r="Q29" s="92">
        <f t="shared" si="6"/>
        <v>1</v>
      </c>
      <c r="T29" s="169" t="s">
        <v>2095</v>
      </c>
      <c r="U29" s="170">
        <v>0</v>
      </c>
      <c r="V29" s="341">
        <v>0.30154859967051068</v>
      </c>
    </row>
    <row r="30" spans="1:23" x14ac:dyDescent="0.2">
      <c r="A30" s="305"/>
      <c r="B30" s="3" t="s">
        <v>2855</v>
      </c>
      <c r="C30" s="101">
        <f t="array" ref="C30:M30">tinh_du_lieu_cp(B30)</f>
        <v>21.05</v>
      </c>
      <c r="D30" s="103">
        <v>2.2999999999999998</v>
      </c>
      <c r="E30" s="102">
        <v>-1.1736999999999999E-2</v>
      </c>
      <c r="F30" s="98">
        <v>3.6883154748888404E-2</v>
      </c>
      <c r="G30" s="98">
        <v>1.0319070724893398</v>
      </c>
      <c r="H30" s="98">
        <v>7.4999999999999997E-2</v>
      </c>
      <c r="I30" s="93">
        <v>0.39811912225705343</v>
      </c>
      <c r="J30" s="101">
        <v>15.95</v>
      </c>
      <c r="K30" s="101">
        <v>22.3</v>
      </c>
      <c r="L30" s="93">
        <v>0.31974921630094055</v>
      </c>
      <c r="M30" s="93">
        <v>-5.605381165919282E-2</v>
      </c>
      <c r="N30" s="92"/>
      <c r="O30" s="92">
        <f t="shared" si="4"/>
        <v>-1</v>
      </c>
      <c r="P30" s="92">
        <f t="shared" si="5"/>
        <v>0</v>
      </c>
      <c r="Q30" s="92">
        <f t="shared" si="6"/>
        <v>1</v>
      </c>
      <c r="T30" s="169" t="s">
        <v>2449</v>
      </c>
      <c r="U30" s="170">
        <v>0</v>
      </c>
      <c r="V30" s="341">
        <v>0.23442113002658219</v>
      </c>
    </row>
    <row r="31" spans="1:23" x14ac:dyDescent="0.2">
      <c r="A31" s="305"/>
      <c r="B31" s="3" t="s">
        <v>2874</v>
      </c>
      <c r="C31" s="101">
        <f t="array" ref="C31:M31">tinh_du_lieu_cp(B31)</f>
        <v>16.25</v>
      </c>
      <c r="D31" s="103">
        <v>936.2</v>
      </c>
      <c r="E31" s="102">
        <v>6.1919999999999996E-3</v>
      </c>
      <c r="F31" s="98">
        <v>0.36661902159692272</v>
      </c>
      <c r="G31" s="98">
        <v>1.0147263128646846</v>
      </c>
      <c r="H31" s="98">
        <v>0.34701706914765462</v>
      </c>
      <c r="I31" s="93">
        <v>0.16993464052287566</v>
      </c>
      <c r="J31" s="101">
        <v>15.3</v>
      </c>
      <c r="K31" s="101">
        <v>17.899999999999999</v>
      </c>
      <c r="L31" s="93">
        <v>6.2091503267973809E-2</v>
      </c>
      <c r="M31" s="93">
        <v>-9.2178770949720601E-2</v>
      </c>
      <c r="N31" s="92"/>
      <c r="O31" s="92">
        <f t="shared" si="4"/>
        <v>1</v>
      </c>
      <c r="P31" s="92">
        <f t="shared" si="5"/>
        <v>1</v>
      </c>
      <c r="Q31" s="92">
        <f t="shared" si="6"/>
        <v>0</v>
      </c>
      <c r="T31" s="169" t="s">
        <v>2874</v>
      </c>
      <c r="U31" s="170">
        <v>6.1919999999999996E-3</v>
      </c>
      <c r="V31" s="341">
        <v>0.36661902159692272</v>
      </c>
    </row>
    <row r="32" spans="1:23" x14ac:dyDescent="0.2">
      <c r="A32" s="305"/>
      <c r="B32" s="3" t="s">
        <v>2902</v>
      </c>
      <c r="C32" s="101" cm="1">
        <f t="array" ref="C32:M32">tinh_du_lieu_cp(B32)</f>
        <v>18.3</v>
      </c>
      <c r="D32" s="103">
        <v>2424.1</v>
      </c>
      <c r="E32" s="102">
        <v>-1.0810999999999999E-2</v>
      </c>
      <c r="F32" s="98">
        <v>0.6389306547786634</v>
      </c>
      <c r="G32" s="98">
        <v>1.0148973460190283</v>
      </c>
      <c r="H32" s="98">
        <v>0.84546389894844531</v>
      </c>
      <c r="I32" s="93">
        <v>0.20000000000000009</v>
      </c>
      <c r="J32" s="101">
        <v>15.5</v>
      </c>
      <c r="K32" s="101">
        <v>18.600000000000001</v>
      </c>
      <c r="L32" s="93">
        <v>0.18064516129032263</v>
      </c>
      <c r="M32" s="93">
        <v>-1.6129032258064554E-2</v>
      </c>
      <c r="N32" s="92"/>
      <c r="O32" s="92">
        <f t="shared" si="4"/>
        <v>-1</v>
      </c>
      <c r="P32" s="92">
        <f t="shared" si="5"/>
        <v>0</v>
      </c>
      <c r="Q32" s="92">
        <f t="shared" si="6"/>
        <v>1</v>
      </c>
      <c r="T32" s="169" t="s">
        <v>1159</v>
      </c>
      <c r="U32" s="170">
        <v>6.5790000000000006E-3</v>
      </c>
      <c r="V32" s="341">
        <v>0.64811537060449564</v>
      </c>
    </row>
    <row r="33" spans="1:22" x14ac:dyDescent="0.2">
      <c r="A33" s="305"/>
      <c r="B33" s="3" t="s">
        <v>2939</v>
      </c>
      <c r="C33" s="101" cm="1">
        <f t="array" ref="C33:M33">tinh_du_lieu_cp(B33)</f>
        <v>16.149999999999999</v>
      </c>
      <c r="D33" s="103">
        <v>491.3</v>
      </c>
      <c r="E33" s="102">
        <v>9.3749999999999997E-3</v>
      </c>
      <c r="F33" s="98">
        <v>0.54099534013043638</v>
      </c>
      <c r="G33" s="98">
        <v>1.0423966196648151</v>
      </c>
      <c r="H33" s="98">
        <v>0.59767644613856175</v>
      </c>
      <c r="I33" s="93">
        <v>0.27536231884057977</v>
      </c>
      <c r="J33" s="101">
        <v>13.8</v>
      </c>
      <c r="K33" s="101">
        <v>17.600000000000001</v>
      </c>
      <c r="L33" s="93">
        <v>0.17028985507246361</v>
      </c>
      <c r="M33" s="93">
        <v>-8.2386363636363785E-2</v>
      </c>
      <c r="N33" s="92"/>
      <c r="O33" s="92">
        <f t="shared" si="4"/>
        <v>1</v>
      </c>
      <c r="P33" s="92">
        <f t="shared" si="5"/>
        <v>1</v>
      </c>
      <c r="Q33" s="92">
        <f t="shared" si="6"/>
        <v>0</v>
      </c>
      <c r="T33" s="169" t="s">
        <v>2939</v>
      </c>
      <c r="U33" s="170">
        <v>9.3749999999999997E-3</v>
      </c>
      <c r="V33" s="341">
        <v>0.54099534013043638</v>
      </c>
    </row>
    <row r="34" spans="1:22" x14ac:dyDescent="0.2">
      <c r="A34" s="305"/>
      <c r="B34" s="3" t="s">
        <v>2941</v>
      </c>
      <c r="C34" s="101">
        <f t="array" ref="C34:M34">tinh_du_lieu_cp(B34)</f>
        <v>152.6</v>
      </c>
      <c r="D34" s="103">
        <v>203.1</v>
      </c>
      <c r="E34" s="102">
        <v>-2.614E-3</v>
      </c>
      <c r="F34" s="98">
        <v>0.3036802936079111</v>
      </c>
      <c r="G34" s="98">
        <v>0.97137499633764024</v>
      </c>
      <c r="H34" s="98">
        <v>0.5273041973171787</v>
      </c>
      <c r="I34" s="93">
        <v>0.28301886792452829</v>
      </c>
      <c r="J34" s="101">
        <v>132.5</v>
      </c>
      <c r="K34" s="101">
        <v>170</v>
      </c>
      <c r="L34" s="93">
        <v>0.15169811320754711</v>
      </c>
      <c r="M34" s="93">
        <v>-0.10235294117647062</v>
      </c>
      <c r="N34" s="92"/>
      <c r="O34" s="92">
        <f t="shared" si="4"/>
        <v>-1</v>
      </c>
      <c r="P34" s="92">
        <f t="shared" si="5"/>
        <v>0</v>
      </c>
      <c r="Q34" s="92">
        <f t="shared" si="6"/>
        <v>1</v>
      </c>
      <c r="T34" s="169" t="s">
        <v>3051</v>
      </c>
      <c r="U34" s="170">
        <v>-0.10194799999999998</v>
      </c>
      <c r="V34" s="341">
        <v>6.6846950743025388</v>
      </c>
    </row>
  </sheetData>
  <mergeCells count="16">
    <mergeCell ref="K18:K19"/>
    <mergeCell ref="L18:L19"/>
    <mergeCell ref="M18:M19"/>
    <mergeCell ref="N18:N19"/>
    <mergeCell ref="F18:F19"/>
    <mergeCell ref="G18:G19"/>
    <mergeCell ref="H18:H19"/>
    <mergeCell ref="I18:I19"/>
    <mergeCell ref="J18:J19"/>
    <mergeCell ref="A20:A34"/>
    <mergeCell ref="F14:G14"/>
    <mergeCell ref="E18:E19"/>
    <mergeCell ref="A18:A19"/>
    <mergeCell ref="B18:B19"/>
    <mergeCell ref="C18:C19"/>
    <mergeCell ref="D18:D19"/>
  </mergeCells>
  <conditionalFormatting sqref="A14 O23:O34">
    <cfRule type="expression" dxfId="223" priority="233" stopIfTrue="1">
      <formula>A14="giảm"</formula>
    </cfRule>
    <cfRule type="expression" dxfId="222" priority="234" stopIfTrue="1">
      <formula>A14="tăng"</formula>
    </cfRule>
  </conditionalFormatting>
  <conditionalFormatting sqref="G20:G34">
    <cfRule type="expression" dxfId="221" priority="215" stopIfTrue="1">
      <formula>G20&gt;2</formula>
    </cfRule>
    <cfRule type="expression" dxfId="220" priority="216" stopIfTrue="1">
      <formula>AND(G20&gt;0.5, G20&lt;1)</formula>
    </cfRule>
    <cfRule type="expression" dxfId="219" priority="217" stopIfTrue="1">
      <formula>G20&lt;=0.5</formula>
    </cfRule>
    <cfRule type="expression" dxfId="218" priority="218" stopIfTrue="1">
      <formula>AND(G20&gt;=1,G20&lt;2)</formula>
    </cfRule>
  </conditionalFormatting>
  <conditionalFormatting sqref="H20:H34">
    <cfRule type="expression" dxfId="217" priority="203" stopIfTrue="1">
      <formula>H20&gt;=2</formula>
    </cfRule>
    <cfRule type="expression" dxfId="216" priority="204" stopIfTrue="1">
      <formula>AND(H20&gt;=1,H20&lt;2)</formula>
    </cfRule>
    <cfRule type="expression" dxfId="215" priority="205" stopIfTrue="1">
      <formula>AND(H20&gt;0.5, H20&lt;1)</formula>
    </cfRule>
    <cfRule type="expression" dxfId="214" priority="206" stopIfTrue="1">
      <formula>H20&lt;=0.5</formula>
    </cfRule>
  </conditionalFormatting>
  <conditionalFormatting sqref="H20:H34">
    <cfRule type="expression" dxfId="213" priority="183" stopIfTrue="1">
      <formula>H20&gt;=2</formula>
    </cfRule>
    <cfRule type="expression" dxfId="212" priority="184" stopIfTrue="1">
      <formula>AND(H20&gt;=1,H20&lt;2)</formula>
    </cfRule>
    <cfRule type="expression" dxfId="211" priority="185" stopIfTrue="1">
      <formula>AND(H20&gt;0.5, H20&lt;1)</formula>
    </cfRule>
    <cfRule type="expression" dxfId="210" priority="186" stopIfTrue="1">
      <formula>H20&lt;=0.5</formula>
    </cfRule>
    <cfRule type="expression" dxfId="209" priority="187" stopIfTrue="1">
      <formula>H20&gt;=2</formula>
    </cfRule>
  </conditionalFormatting>
  <conditionalFormatting sqref="G20:G34">
    <cfRule type="expression" dxfId="208" priority="188" stopIfTrue="1">
      <formula>G20&gt;2</formula>
    </cfRule>
    <cfRule type="expression" dxfId="207" priority="189" stopIfTrue="1">
      <formula>AND(G20&gt;0.5, G20&lt;1)</formula>
    </cfRule>
    <cfRule type="expression" dxfId="206" priority="190" stopIfTrue="1">
      <formula>G20&lt;=0.5</formula>
    </cfRule>
    <cfRule type="expression" dxfId="205" priority="191" stopIfTrue="1">
      <formula>AND(G20&gt;=1,G20&lt;2)</formula>
    </cfRule>
    <cfRule type="expression" dxfId="204" priority="192" stopIfTrue="1">
      <formula>G20&gt;2</formula>
    </cfRule>
  </conditionalFormatting>
  <conditionalFormatting sqref="F20:H34">
    <cfRule type="expression" dxfId="203" priority="162" stopIfTrue="1">
      <formula>F20&lt;0</formula>
    </cfRule>
    <cfRule type="expression" dxfId="202" priority="163" stopIfTrue="1">
      <formula>F20=1</formula>
    </cfRule>
    <cfRule type="expression" dxfId="201" priority="164" stopIfTrue="1">
      <formula>AND(F20&lt;1,F20&gt;=0)</formula>
    </cfRule>
    <cfRule type="expression" dxfId="200" priority="165" stopIfTrue="1">
      <formula>AND(F20&lt;2,F20&gt;1)</formula>
    </cfRule>
    <cfRule type="expression" dxfId="199" priority="166" stopIfTrue="1">
      <formula>F20&gt;=2</formula>
    </cfRule>
  </conditionalFormatting>
  <conditionalFormatting sqref="C3:C7">
    <cfRule type="expression" dxfId="198" priority="37" stopIfTrue="1">
      <formula>H3="giảm"</formula>
    </cfRule>
    <cfRule type="expression" dxfId="197" priority="38" stopIfTrue="1">
      <formula>H3="tăng"</formula>
    </cfRule>
  </conditionalFormatting>
  <conditionalFormatting sqref="H3:H7">
    <cfRule type="expression" dxfId="196" priority="35" stopIfTrue="1">
      <formula>H3="giảm"</formula>
    </cfRule>
    <cfRule type="expression" dxfId="195" priority="36" stopIfTrue="1">
      <formula>H3="tăng"</formula>
    </cfRule>
  </conditionalFormatting>
  <conditionalFormatting sqref="B3:B7">
    <cfRule type="expression" dxfId="194" priority="39" stopIfTrue="1">
      <formula>H3="giảm"</formula>
    </cfRule>
    <cfRule type="expression" dxfId="193" priority="40" stopIfTrue="1">
      <formula>H3="tăng"</formula>
    </cfRule>
  </conditionalFormatting>
  <conditionalFormatting sqref="A3:A7">
    <cfRule type="expression" dxfId="192" priority="43" stopIfTrue="1">
      <formula>H3="giảm"</formula>
    </cfRule>
    <cfRule type="expression" dxfId="191" priority="44" stopIfTrue="1">
      <formula>H3="tăng"</formula>
    </cfRule>
  </conditionalFormatting>
  <conditionalFormatting sqref="G3:G7">
    <cfRule type="expression" dxfId="190" priority="32" stopIfTrue="1">
      <formula>G3=0</formula>
    </cfRule>
    <cfRule type="expression" dxfId="189" priority="33" stopIfTrue="1">
      <formula>G3&lt;0</formula>
    </cfRule>
    <cfRule type="expression" dxfId="188" priority="34" stopIfTrue="1">
      <formula>G3&gt;0</formula>
    </cfRule>
  </conditionalFormatting>
  <conditionalFormatting sqref="E3:E7">
    <cfRule type="expression" dxfId="187" priority="30" stopIfTrue="1">
      <formula>H3="tăng"</formula>
    </cfRule>
    <cfRule type="expression" dxfId="186" priority="31" stopIfTrue="1">
      <formula>H3="giảm"</formula>
    </cfRule>
  </conditionalFormatting>
  <conditionalFormatting sqref="F3:F7">
    <cfRule type="expression" dxfId="185" priority="28" stopIfTrue="1">
      <formula>H3="tăng"</formula>
    </cfRule>
    <cfRule type="expression" dxfId="184" priority="29" stopIfTrue="1">
      <formula>H3="giảm"</formula>
    </cfRule>
  </conditionalFormatting>
  <conditionalFormatting sqref="D3:D7">
    <cfRule type="expression" dxfId="183" priority="26" stopIfTrue="1">
      <formula>H3="giảm"</formula>
    </cfRule>
    <cfRule type="expression" dxfId="182" priority="27" stopIfTrue="1">
      <formula>H3="tăng"</formula>
    </cfRule>
  </conditionalFormatting>
  <conditionalFormatting sqref="F20:F34">
    <cfRule type="colorScale" priority="1867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4">
    <cfRule type="colorScale" priority="18671">
      <colorScale>
        <cfvo type="min"/>
        <cfvo type="max"/>
        <color theme="0" tint="-4.9989318521683403E-2"/>
        <color rgb="FF00B050"/>
      </colorScale>
    </cfRule>
  </conditionalFormatting>
  <conditionalFormatting sqref="L20:L34">
    <cfRule type="colorScale" priority="18672">
      <colorScale>
        <cfvo type="min"/>
        <cfvo type="max"/>
        <color theme="0" tint="-4.9989318521683403E-2"/>
        <color rgb="FF00B050"/>
      </colorScale>
    </cfRule>
  </conditionalFormatting>
  <conditionalFormatting sqref="M20:M34">
    <cfRule type="colorScale" priority="18673">
      <colorScale>
        <cfvo type="min"/>
        <cfvo type="max"/>
        <color rgb="FFFF7C80"/>
        <color theme="0" tint="-4.9989318521683403E-2"/>
      </colorScale>
    </cfRule>
  </conditionalFormatting>
  <conditionalFormatting sqref="C20:C34">
    <cfRule type="expression" dxfId="181" priority="6" stopIfTrue="1">
      <formula>E20&gt;=6.8%</formula>
    </cfRule>
    <cfRule type="expression" dxfId="180" priority="7" stopIfTrue="1">
      <formula>AND(E20&gt;0%,E20&lt;6.8%)</formula>
    </cfRule>
    <cfRule type="expression" dxfId="179" priority="8" stopIfTrue="1">
      <formula>E20=0%</formula>
    </cfRule>
    <cfRule type="expression" dxfId="178" priority="9" stopIfTrue="1">
      <formula>AND(E20&gt;-6.8%, E20&lt;0%)</formula>
    </cfRule>
    <cfRule type="expression" dxfId="177" priority="10" stopIfTrue="1">
      <formula>E20&lt;=-6.8%</formula>
    </cfRule>
  </conditionalFormatting>
  <conditionalFormatting sqref="B20:B34">
    <cfRule type="expression" dxfId="176" priority="16" stopIfTrue="1">
      <formula>E20&gt;=6.8%</formula>
    </cfRule>
    <cfRule type="expression" dxfId="175" priority="17" stopIfTrue="1">
      <formula>AND(E20&gt;0%,E20&lt;6.8%)</formula>
    </cfRule>
    <cfRule type="expression" dxfId="174" priority="18" stopIfTrue="1">
      <formula>E20=0%</formula>
    </cfRule>
    <cfRule type="expression" dxfId="173" priority="19" stopIfTrue="1">
      <formula>AND(E20&gt;-6.8%, E20&lt;0%)</formula>
    </cfRule>
    <cfRule type="expression" dxfId="172" priority="20" stopIfTrue="1">
      <formula>E20&lt;=-6.8%</formula>
    </cfRule>
  </conditionalFormatting>
  <conditionalFormatting sqref="D20:D34">
    <cfRule type="expression" dxfId="171" priority="1" stopIfTrue="1">
      <formula>D20&gt;20000</formula>
    </cfRule>
    <cfRule type="expression" dxfId="170" priority="2" stopIfTrue="1">
      <formula>AND(D20&gt;10000,D20&lt;=20000)</formula>
    </cfRule>
    <cfRule type="expression" dxfId="169" priority="3" stopIfTrue="1">
      <formula>AND(D20&gt;1000,D20&lt;=10000)</formula>
    </cfRule>
    <cfRule type="expression" dxfId="168" priority="4" stopIfTrue="1">
      <formula>AND(D20&gt;200,D20&lt;=1000)</formula>
    </cfRule>
    <cfRule type="expression" dxfId="167" priority="5" stopIfTrue="1">
      <formula>D20&lt;=200</formula>
    </cfRule>
  </conditionalFormatting>
  <conditionalFormatting sqref="E20:E34">
    <cfRule type="expression" dxfId="166" priority="11" stopIfTrue="1">
      <formula>E20&gt;=6.8%</formula>
    </cfRule>
    <cfRule type="expression" dxfId="165" priority="12" stopIfTrue="1">
      <formula>AND(E20&gt;0%,E20&lt;6.8%)</formula>
    </cfRule>
    <cfRule type="expression" dxfId="164" priority="13" stopIfTrue="1">
      <formula>E20=0%</formula>
    </cfRule>
    <cfRule type="expression" dxfId="163" priority="14" stopIfTrue="1">
      <formula>AND(E20&gt;-6.8%, E20&lt;0%)</formula>
    </cfRule>
    <cfRule type="expression" dxfId="162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5129AF-280C-4071-9B60-7B81311D3FFC}">
          <x14:formula1>
            <xm:f>'Nơi chứ dữ liệu'!$I$2:$K$2</xm:f>
          </x14:formula1>
          <xm:sqref>N20:N34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F00DB-683D-488C-9FB3-28052FC47019}">
  <sheetPr codeName="Sheet27">
    <tabColor theme="5" tint="-0.249977111117893"/>
  </sheetPr>
  <dimension ref="A1:X30"/>
  <sheetViews>
    <sheetView topLeftCell="A6" zoomScaleNormal="100" workbookViewId="0">
      <selection activeCell="B20" sqref="B20:E30"/>
    </sheetView>
  </sheetViews>
  <sheetFormatPr defaultRowHeight="15" x14ac:dyDescent="0.2"/>
  <cols>
    <col min="1" max="1" width="8" customWidth="1"/>
    <col min="2" max="2" width="9.6640625" customWidth="1"/>
    <col min="3" max="3" width="11.109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"&amp;SUM($O$20:O24)&amp;" "&amp;"trên tổng"&amp;" "&amp;$O$19</f>
        <v>Tổng điểm nhóm hôm nay -1 trên tổng 11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3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5</v>
      </c>
      <c r="B16" s="189"/>
      <c r="C16" s="189"/>
      <c r="D16" s="189"/>
      <c r="E16" s="189"/>
      <c r="F16" s="193">
        <f>AVERAGE(E20:E30)</f>
        <v>-7.7799090909090908E-3</v>
      </c>
      <c r="G16" s="191">
        <f>AVERAGE(F20:F30)</f>
        <v>0.48537623938278929</v>
      </c>
    </row>
    <row r="17" spans="1:24" ht="15.75" x14ac:dyDescent="0.2">
      <c r="A17" s="188" t="str">
        <f>"Tổng điểm tham chiếu nhóm hôm nay"&amp;" "&amp;(O19-(P19+Q19))</f>
        <v>Tổng điểm tham chiếu nhóm hôm nay 3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COUNT(O20:O30)</f>
        <v>11</v>
      </c>
      <c r="P19" s="158">
        <f>SUM(P20:P30)</f>
        <v>3</v>
      </c>
      <c r="Q19" s="158">
        <f>SUM(Q20:Q30)</f>
        <v>5</v>
      </c>
      <c r="T19" s="12" t="s">
        <v>1034</v>
      </c>
      <c r="U19" s="99">
        <v>-3.7777999999999999E-2</v>
      </c>
      <c r="V19" s="337">
        <v>0.26740242654582663</v>
      </c>
      <c r="X19"/>
    </row>
    <row r="20" spans="1:24" ht="15.75" customHeight="1" x14ac:dyDescent="0.2">
      <c r="A20" s="305" t="s">
        <v>3167</v>
      </c>
      <c r="B20" s="3" t="s">
        <v>192</v>
      </c>
      <c r="C20" s="101">
        <f t="array" ref="C20:M20">tinh_du_lieu_cp(B20)</f>
        <v>14.5</v>
      </c>
      <c r="D20" s="103">
        <v>16.399999999999999</v>
      </c>
      <c r="E20" s="102">
        <v>3.4599999999999995E-3</v>
      </c>
      <c r="F20" s="98">
        <v>0.13603287712551371</v>
      </c>
      <c r="G20" s="98">
        <v>0.99921148083898448</v>
      </c>
      <c r="H20" s="98">
        <v>0.38542890716803763</v>
      </c>
      <c r="I20" s="102">
        <v>0.11940298507462684</v>
      </c>
      <c r="J20" s="92">
        <v>13.4</v>
      </c>
      <c r="K20" s="92">
        <v>15</v>
      </c>
      <c r="L20" s="93">
        <v>8.2089552238805943E-2</v>
      </c>
      <c r="M20" s="93">
        <v>-3.3333333333333333E-2</v>
      </c>
      <c r="N20" s="92"/>
      <c r="O20" s="92">
        <f t="shared" ref="O20" si="0">IF(E20&gt;0,1,IF(E20=0,0,-1))</f>
        <v>1</v>
      </c>
      <c r="P20" s="92">
        <f t="shared" ref="P20:P30" si="1">IF(O20=1,1,0)</f>
        <v>1</v>
      </c>
      <c r="Q20" s="92">
        <f t="shared" ref="Q20:Q30" si="2">IF(O20&lt;0,1,0)</f>
        <v>0</v>
      </c>
      <c r="T20" s="12" t="s">
        <v>2764</v>
      </c>
      <c r="U20" s="99">
        <v>-2.6922999999999999E-2</v>
      </c>
      <c r="V20" s="337">
        <v>1.8950324715575857</v>
      </c>
    </row>
    <row r="21" spans="1:24" ht="15.75" customHeight="1" x14ac:dyDescent="0.2">
      <c r="A21" s="305"/>
      <c r="B21" s="3" t="s">
        <v>730</v>
      </c>
      <c r="C21" s="101">
        <f t="array" ref="C21:M21">tinh_du_lieu_cp(B21)</f>
        <v>6.86</v>
      </c>
      <c r="D21" s="103">
        <v>128.6</v>
      </c>
      <c r="E21" s="102">
        <v>-5.7970000000000001E-3</v>
      </c>
      <c r="F21" s="98">
        <v>0.52338315820630454</v>
      </c>
      <c r="G21" s="98">
        <v>0.99844072561163066</v>
      </c>
      <c r="H21" s="98">
        <v>0.80888982073592619</v>
      </c>
      <c r="I21" s="102">
        <v>5.0746268656716394E-2</v>
      </c>
      <c r="J21" s="92">
        <v>6.7</v>
      </c>
      <c r="K21" s="92">
        <v>7.04</v>
      </c>
      <c r="L21" s="93">
        <v>2.3880597014925394E-2</v>
      </c>
      <c r="M21" s="93">
        <v>-2.5568181818181778E-2</v>
      </c>
      <c r="N21" s="92"/>
      <c r="O21" s="94">
        <f>IF(E21&gt;0,1,IF(E21=0,0,-1))</f>
        <v>-1</v>
      </c>
      <c r="P21" s="92">
        <f t="shared" si="1"/>
        <v>0</v>
      </c>
      <c r="Q21" s="92">
        <f t="shared" si="2"/>
        <v>1</v>
      </c>
      <c r="T21" s="12" t="s">
        <v>359</v>
      </c>
      <c r="U21" s="99">
        <v>-2.4691000000000001E-2</v>
      </c>
      <c r="V21" s="337">
        <v>0.87273688100649316</v>
      </c>
    </row>
    <row r="22" spans="1:24" ht="15.75" customHeight="1" x14ac:dyDescent="0.2">
      <c r="A22" s="305"/>
      <c r="B22" s="3" t="s">
        <v>359</v>
      </c>
      <c r="C22" s="101">
        <f t="array" ref="C22:M22">tinh_du_lieu_cp(B22)</f>
        <v>7.9</v>
      </c>
      <c r="D22" s="103">
        <v>111.1</v>
      </c>
      <c r="E22" s="102">
        <v>-2.4691000000000001E-2</v>
      </c>
      <c r="F22" s="98">
        <v>0.87273688100649316</v>
      </c>
      <c r="G22" s="98">
        <v>1.0344086021505376</v>
      </c>
      <c r="H22" s="98">
        <v>1.0556722190021</v>
      </c>
      <c r="I22" s="102">
        <v>0.18840579710144911</v>
      </c>
      <c r="J22" s="92">
        <v>6.9</v>
      </c>
      <c r="K22" s="92">
        <v>8.1999999999999993</v>
      </c>
      <c r="L22" s="93">
        <v>0.14492753623188406</v>
      </c>
      <c r="M22" s="93">
        <v>-3.6585365853658409E-2</v>
      </c>
      <c r="N22" s="92"/>
      <c r="O22" s="92">
        <f t="shared" ref="O22:O30" si="3">IF(E22&gt;0,1,IF(E22=0,0,-1))</f>
        <v>-1</v>
      </c>
      <c r="P22" s="92">
        <f t="shared" si="1"/>
        <v>0</v>
      </c>
      <c r="Q22" s="92">
        <f t="shared" si="2"/>
        <v>1</v>
      </c>
      <c r="T22" s="12" t="s">
        <v>730</v>
      </c>
      <c r="U22" s="99">
        <v>-5.7970000000000001E-3</v>
      </c>
      <c r="V22" s="337">
        <v>0.52338315820630454</v>
      </c>
    </row>
    <row r="23" spans="1:24" ht="15.75" customHeight="1" x14ac:dyDescent="0.2">
      <c r="A23" s="305"/>
      <c r="B23" s="3" t="s">
        <v>839</v>
      </c>
      <c r="C23" s="101">
        <f t="array" ref="C23:M23">tinh_du_lieu_cp(B23)</f>
        <v>40.799999999999997</v>
      </c>
      <c r="D23" s="103">
        <v>35.799999999999997</v>
      </c>
      <c r="E23" s="102">
        <v>3.6900000000000001E-3</v>
      </c>
      <c r="F23" s="98">
        <v>0.81288058623180937</v>
      </c>
      <c r="G23" s="98">
        <v>1.008400067200538</v>
      </c>
      <c r="H23" s="98">
        <v>1.0665342601787489</v>
      </c>
      <c r="I23" s="102">
        <v>0.13994910941475827</v>
      </c>
      <c r="J23" s="92">
        <v>39.299999999999997</v>
      </c>
      <c r="K23" s="92">
        <v>44.8</v>
      </c>
      <c r="L23" s="93">
        <v>3.8167938931297711E-2</v>
      </c>
      <c r="M23" s="93">
        <v>-8.9285714285714288E-2</v>
      </c>
      <c r="N23" s="92"/>
      <c r="O23" s="92">
        <f t="shared" si="3"/>
        <v>1</v>
      </c>
      <c r="P23" s="92">
        <f t="shared" si="1"/>
        <v>1</v>
      </c>
      <c r="Q23" s="92">
        <f t="shared" si="2"/>
        <v>0</v>
      </c>
      <c r="T23" s="12" t="s">
        <v>1569</v>
      </c>
      <c r="U23" s="99">
        <v>-1.5240000000000002E-3</v>
      </c>
      <c r="V23" s="337">
        <v>0.17451205510907003</v>
      </c>
    </row>
    <row r="24" spans="1:24" ht="15.75" customHeight="1" x14ac:dyDescent="0.2">
      <c r="A24" s="305"/>
      <c r="B24" s="3" t="s">
        <v>1034</v>
      </c>
      <c r="C24" s="101">
        <f t="array" ref="C24:M24">tinh_du_lieu_cp(B24)</f>
        <v>4.33</v>
      </c>
      <c r="D24" s="103">
        <v>166.3</v>
      </c>
      <c r="E24" s="102">
        <v>-3.7777999999999999E-2</v>
      </c>
      <c r="F24" s="98">
        <v>0.26740242654582663</v>
      </c>
      <c r="G24" s="98">
        <v>1.0859358625026201</v>
      </c>
      <c r="H24" s="98">
        <v>0.41957865522896431</v>
      </c>
      <c r="I24" s="102">
        <v>0.77887788778877887</v>
      </c>
      <c r="J24" s="92">
        <v>3.03</v>
      </c>
      <c r="K24" s="92">
        <v>5.39</v>
      </c>
      <c r="L24" s="93">
        <v>0.42904290429042918</v>
      </c>
      <c r="M24" s="93">
        <v>-0.19666048237476802</v>
      </c>
      <c r="N24" s="92"/>
      <c r="O24" s="92">
        <f t="shared" si="3"/>
        <v>-1</v>
      </c>
      <c r="P24" s="92">
        <f t="shared" si="1"/>
        <v>0</v>
      </c>
      <c r="Q24" s="92">
        <f t="shared" si="2"/>
        <v>1</v>
      </c>
      <c r="T24" s="12" t="s">
        <v>1408</v>
      </c>
      <c r="U24" s="99">
        <v>0</v>
      </c>
      <c r="V24" s="337">
        <v>2.418113871180479E-2</v>
      </c>
    </row>
    <row r="25" spans="1:24" ht="15.75" customHeight="1" x14ac:dyDescent="0.2">
      <c r="A25" s="305"/>
      <c r="B25" s="3" t="s">
        <v>1366</v>
      </c>
      <c r="C25" s="101">
        <f t="array" ref="C25:M25">tinh_du_lieu_cp(B25)</f>
        <v>12.6</v>
      </c>
      <c r="D25" s="103">
        <v>332.8</v>
      </c>
      <c r="E25" s="102">
        <v>3.9839999999999997E-3</v>
      </c>
      <c r="F25" s="98">
        <v>0.39984927010687626</v>
      </c>
      <c r="G25" s="98">
        <v>1.0064973772055315</v>
      </c>
      <c r="H25" s="98">
        <v>0.52871554531734055</v>
      </c>
      <c r="I25" s="102">
        <v>0.12017167381974252</v>
      </c>
      <c r="J25" s="92">
        <v>11.65</v>
      </c>
      <c r="K25" s="92">
        <v>13.05</v>
      </c>
      <c r="L25" s="93">
        <v>8.1545064377682344E-2</v>
      </c>
      <c r="M25" s="93">
        <v>-3.4482758620689738E-2</v>
      </c>
      <c r="N25" s="92"/>
      <c r="O25" s="92">
        <f t="shared" si="3"/>
        <v>1</v>
      </c>
      <c r="P25" s="92">
        <f t="shared" si="1"/>
        <v>1</v>
      </c>
      <c r="Q25" s="92">
        <f t="shared" si="2"/>
        <v>0</v>
      </c>
      <c r="T25" s="12" t="s">
        <v>1515</v>
      </c>
      <c r="U25" s="99">
        <v>0</v>
      </c>
      <c r="V25" s="337">
        <v>0</v>
      </c>
    </row>
    <row r="26" spans="1:24" ht="15.75" customHeight="1" x14ac:dyDescent="0.2">
      <c r="A26" s="305"/>
      <c r="B26" s="3" t="s">
        <v>1408</v>
      </c>
      <c r="C26" s="101">
        <f t="array" ref="C26:M26">tinh_du_lieu_cp(B26)</f>
        <v>2.7</v>
      </c>
      <c r="D26" s="103">
        <v>0.5</v>
      </c>
      <c r="E26" s="102">
        <v>0</v>
      </c>
      <c r="F26" s="98">
        <v>2.418113871180479E-2</v>
      </c>
      <c r="G26" s="98">
        <v>1.018132782463993</v>
      </c>
      <c r="H26" s="98">
        <v>5.7692307692307696E-2</v>
      </c>
      <c r="I26" s="102">
        <v>0.14170040485829943</v>
      </c>
      <c r="J26" s="92">
        <v>2.4700000000000002</v>
      </c>
      <c r="K26" s="92">
        <v>2.82</v>
      </c>
      <c r="L26" s="93">
        <v>9.3117408906882582E-2</v>
      </c>
      <c r="M26" s="93">
        <v>-4.2553191489361583E-2</v>
      </c>
      <c r="N26" s="92"/>
      <c r="O26" s="92">
        <f t="shared" si="3"/>
        <v>0</v>
      </c>
      <c r="P26" s="92">
        <f t="shared" si="1"/>
        <v>0</v>
      </c>
      <c r="Q26" s="92">
        <f t="shared" si="2"/>
        <v>0</v>
      </c>
      <c r="T26" s="12" t="s">
        <v>1801</v>
      </c>
      <c r="U26" s="99">
        <v>0</v>
      </c>
      <c r="V26" s="337">
        <v>0.23312776860939807</v>
      </c>
    </row>
    <row r="27" spans="1:24" ht="15.75" customHeight="1" x14ac:dyDescent="0.2">
      <c r="A27" s="305"/>
      <c r="B27" s="3" t="s">
        <v>1515</v>
      </c>
      <c r="C27" s="101">
        <f t="array" ref="C27:M27">tinh_du_lieu_cp(B27)</f>
        <v>1.21</v>
      </c>
      <c r="D27" s="103">
        <v>0</v>
      </c>
      <c r="E27" s="102">
        <v>0</v>
      </c>
      <c r="F27" s="98">
        <v>0</v>
      </c>
      <c r="G27" s="98">
        <v>0.78780704350399522</v>
      </c>
      <c r="H27" s="98">
        <v>0</v>
      </c>
      <c r="I27" s="102">
        <v>0.49586776859504139</v>
      </c>
      <c r="J27" s="92">
        <v>1.21</v>
      </c>
      <c r="K27" s="92">
        <v>1.81</v>
      </c>
      <c r="L27" s="93">
        <v>0</v>
      </c>
      <c r="M27" s="93">
        <v>-0.33149171270718236</v>
      </c>
      <c r="N27" s="92"/>
      <c r="O27" s="92">
        <f t="shared" si="3"/>
        <v>0</v>
      </c>
      <c r="P27" s="92">
        <f t="shared" si="1"/>
        <v>0</v>
      </c>
      <c r="Q27" s="92">
        <f t="shared" si="2"/>
        <v>0</v>
      </c>
      <c r="T27" s="12" t="s">
        <v>192</v>
      </c>
      <c r="U27" s="99">
        <v>3.4599999999999995E-3</v>
      </c>
      <c r="V27" s="337">
        <v>0.13603287712551371</v>
      </c>
    </row>
    <row r="28" spans="1:24" ht="15.75" customHeight="1" x14ac:dyDescent="0.2">
      <c r="A28" s="305"/>
      <c r="B28" s="3" t="s">
        <v>1569</v>
      </c>
      <c r="C28" s="101" cm="1">
        <f t="array" ref="C28:M28">tinh_du_lieu_cp(B28)</f>
        <v>32.75</v>
      </c>
      <c r="D28" s="103">
        <v>22.8</v>
      </c>
      <c r="E28" s="102">
        <v>-1.5240000000000002E-3</v>
      </c>
      <c r="F28" s="98">
        <v>0.17451205510907003</v>
      </c>
      <c r="G28" s="98">
        <v>1.0448028673835124</v>
      </c>
      <c r="H28" s="98">
        <v>0.14176165803108806</v>
      </c>
      <c r="I28" s="102">
        <v>0.25740740740740753</v>
      </c>
      <c r="J28" s="92">
        <v>27</v>
      </c>
      <c r="K28" s="92">
        <v>33.950000000000003</v>
      </c>
      <c r="L28" s="93">
        <v>0.21296296296296297</v>
      </c>
      <c r="M28" s="93">
        <v>-3.5346097201767387E-2</v>
      </c>
      <c r="N28" s="92"/>
      <c r="O28" s="92">
        <f t="shared" si="3"/>
        <v>-1</v>
      </c>
      <c r="P28" s="92">
        <f t="shared" si="1"/>
        <v>0</v>
      </c>
      <c r="Q28" s="92">
        <f t="shared" si="2"/>
        <v>1</v>
      </c>
      <c r="T28" s="12" t="s">
        <v>839</v>
      </c>
      <c r="U28" s="99">
        <v>3.6900000000000001E-3</v>
      </c>
      <c r="V28" s="337">
        <v>0.81288058623180937</v>
      </c>
    </row>
    <row r="29" spans="1:24" ht="15.75" customHeight="1" x14ac:dyDescent="0.2">
      <c r="A29" s="305"/>
      <c r="B29" s="3" t="s">
        <v>1801</v>
      </c>
      <c r="C29" s="101">
        <f t="array" ref="C29:M29">tinh_du_lieu_cp(B29)</f>
        <v>29.45</v>
      </c>
      <c r="D29" s="103">
        <v>12.2</v>
      </c>
      <c r="E29" s="102">
        <v>0</v>
      </c>
      <c r="F29" s="98">
        <v>0.23312776860939807</v>
      </c>
      <c r="G29" s="98">
        <v>1.0357666373497505</v>
      </c>
      <c r="H29" s="98">
        <v>0.43185840707964601</v>
      </c>
      <c r="I29" s="102">
        <v>0.35550458715596328</v>
      </c>
      <c r="J29" s="92">
        <v>21.8</v>
      </c>
      <c r="K29" s="92">
        <v>29.55</v>
      </c>
      <c r="L29" s="93">
        <v>0.3509174311926605</v>
      </c>
      <c r="M29" s="93">
        <v>-3.3840947546531783E-3</v>
      </c>
      <c r="N29" s="92"/>
      <c r="O29" s="92">
        <f t="shared" si="3"/>
        <v>0</v>
      </c>
      <c r="P29" s="92">
        <f t="shared" si="1"/>
        <v>0</v>
      </c>
      <c r="Q29" s="92">
        <f t="shared" si="2"/>
        <v>0</v>
      </c>
      <c r="T29" s="12" t="s">
        <v>1366</v>
      </c>
      <c r="U29" s="99">
        <v>3.9839999999999997E-3</v>
      </c>
      <c r="V29" s="337">
        <v>0.39984927010687626</v>
      </c>
    </row>
    <row r="30" spans="1:24" ht="15.75" customHeight="1" x14ac:dyDescent="0.2">
      <c r="A30" s="305"/>
      <c r="B30" s="3" t="s">
        <v>2764</v>
      </c>
      <c r="C30" s="101">
        <f t="array" ref="C30:M30">tinh_du_lieu_cp(B30)</f>
        <v>50.6</v>
      </c>
      <c r="D30" s="103">
        <v>1806.5</v>
      </c>
      <c r="E30" s="102">
        <v>-2.6922999999999999E-2</v>
      </c>
      <c r="F30" s="98">
        <v>1.8950324715575857</v>
      </c>
      <c r="G30" s="98">
        <v>1.0094033722438391</v>
      </c>
      <c r="H30" s="98">
        <v>1.696908023483366</v>
      </c>
      <c r="I30" s="102">
        <v>0.244131455399061</v>
      </c>
      <c r="J30" s="92">
        <v>42.6</v>
      </c>
      <c r="K30" s="92">
        <v>53</v>
      </c>
      <c r="L30" s="92">
        <v>0.18779342723004694</v>
      </c>
      <c r="M30" s="92">
        <v>-4.5283018867924504E-2</v>
      </c>
      <c r="N30" s="92"/>
      <c r="O30" s="92">
        <f t="shared" si="3"/>
        <v>-1</v>
      </c>
      <c r="P30" s="92">
        <f t="shared" si="1"/>
        <v>0</v>
      </c>
      <c r="Q30" s="92">
        <f t="shared" si="2"/>
        <v>1</v>
      </c>
      <c r="T30" s="12" t="s">
        <v>3051</v>
      </c>
      <c r="U30" s="99">
        <v>-8.5579000000000002E-2</v>
      </c>
      <c r="V30" s="337">
        <v>5.3391386332106823</v>
      </c>
    </row>
  </sheetData>
  <mergeCells count="16">
    <mergeCell ref="N18:N19"/>
    <mergeCell ref="A20:A30"/>
    <mergeCell ref="H18:H19"/>
    <mergeCell ref="I18:I19"/>
    <mergeCell ref="J18:J19"/>
    <mergeCell ref="K18:K19"/>
    <mergeCell ref="L18:L19"/>
    <mergeCell ref="M18:M19"/>
    <mergeCell ref="F14:G14"/>
    <mergeCell ref="A18:A19"/>
    <mergeCell ref="B18:B19"/>
    <mergeCell ref="C18:C19"/>
    <mergeCell ref="D18:D19"/>
    <mergeCell ref="E18:E19"/>
    <mergeCell ref="F18:F19"/>
    <mergeCell ref="G18:G19"/>
  </mergeCells>
  <conditionalFormatting sqref="A14 O22">
    <cfRule type="expression" dxfId="157" priority="89" stopIfTrue="1">
      <formula>A14="giảm"</formula>
    </cfRule>
    <cfRule type="expression" dxfId="156" priority="90" stopIfTrue="1">
      <formula>A14="tăng"</formula>
    </cfRule>
  </conditionalFormatting>
  <conditionalFormatting sqref="G20 G22:G24">
    <cfRule type="expression" dxfId="155" priority="85" stopIfTrue="1">
      <formula>G20&gt;2</formula>
    </cfRule>
    <cfRule type="expression" dxfId="154" priority="86" stopIfTrue="1">
      <formula>AND(G20&gt;0.5, G20&lt;1)</formula>
    </cfRule>
    <cfRule type="expression" dxfId="153" priority="87" stopIfTrue="1">
      <formula>G20&lt;=0.5</formula>
    </cfRule>
    <cfRule type="expression" dxfId="152" priority="88" stopIfTrue="1">
      <formula>AND(G20&gt;=1,G20&lt;2)</formula>
    </cfRule>
  </conditionalFormatting>
  <conditionalFormatting sqref="G21">
    <cfRule type="expression" dxfId="151" priority="81" stopIfTrue="1">
      <formula>G21&gt;2</formula>
    </cfRule>
    <cfRule type="expression" dxfId="150" priority="82" stopIfTrue="1">
      <formula>AND(G21&gt;0.5, G21&lt;1)</formula>
    </cfRule>
    <cfRule type="expression" dxfId="149" priority="83" stopIfTrue="1">
      <formula>G21&lt;=0.5</formula>
    </cfRule>
    <cfRule type="expression" dxfId="148" priority="84" stopIfTrue="1">
      <formula>AND(G21&gt;=1,G21&lt;2)</formula>
    </cfRule>
  </conditionalFormatting>
  <conditionalFormatting sqref="H20 H22:H24">
    <cfRule type="expression" dxfId="147" priority="77" stopIfTrue="1">
      <formula>H20&gt;=2</formula>
    </cfRule>
    <cfRule type="expression" dxfId="146" priority="78" stopIfTrue="1">
      <formula>AND(H20&gt;=1,H20&lt;2)</formula>
    </cfRule>
    <cfRule type="expression" dxfId="145" priority="79" stopIfTrue="1">
      <formula>AND(H20&gt;0.5, H20&lt;1)</formula>
    </cfRule>
    <cfRule type="expression" dxfId="144" priority="80" stopIfTrue="1">
      <formula>H20&lt;=0.5</formula>
    </cfRule>
  </conditionalFormatting>
  <conditionalFormatting sqref="H21">
    <cfRule type="expression" dxfId="143" priority="73" stopIfTrue="1">
      <formula>H21&gt;=2</formula>
    </cfRule>
    <cfRule type="expression" dxfId="142" priority="74" stopIfTrue="1">
      <formula>AND(H21&gt;=1,H21&lt;2)</formula>
    </cfRule>
    <cfRule type="expression" dxfId="141" priority="75" stopIfTrue="1">
      <formula>AND(H21&gt;0.5, H21&lt;1)</formula>
    </cfRule>
    <cfRule type="expression" dxfId="140" priority="76" stopIfTrue="1">
      <formula>H21&lt;=0.5</formula>
    </cfRule>
  </conditionalFormatting>
  <conditionalFormatting sqref="F20:F30">
    <cfRule type="expression" dxfId="139" priority="58" stopIfTrue="1">
      <formula>F20&lt;0</formula>
    </cfRule>
    <cfRule type="expression" dxfId="138" priority="59" stopIfTrue="1">
      <formula>F20=1</formula>
    </cfRule>
    <cfRule type="expression" dxfId="137" priority="60" stopIfTrue="1">
      <formula>AND(F20&lt;1,F20&gt;0)</formula>
    </cfRule>
    <cfRule type="expression" dxfId="136" priority="61" stopIfTrue="1">
      <formula>AND(F20&lt;2,F20&gt;1)</formula>
    </cfRule>
    <cfRule type="expression" dxfId="135" priority="62" stopIfTrue="1">
      <formula>F20&gt;=2</formula>
    </cfRule>
  </conditionalFormatting>
  <conditionalFormatting sqref="G20:G30">
    <cfRule type="expression" dxfId="134" priority="68" stopIfTrue="1">
      <formula>G20&gt;2</formula>
    </cfRule>
    <cfRule type="expression" dxfId="133" priority="69" stopIfTrue="1">
      <formula>AND(G20&gt;0.5, G20&lt;1)</formula>
    </cfRule>
    <cfRule type="expression" dxfId="132" priority="70" stopIfTrue="1">
      <formula>G20&lt;=0.5</formula>
    </cfRule>
    <cfRule type="expression" dxfId="131" priority="71" stopIfTrue="1">
      <formula>AND(G20&gt;=1,G20&lt;2)</formula>
    </cfRule>
    <cfRule type="expression" dxfId="130" priority="72" stopIfTrue="1">
      <formula>G20&gt;2</formula>
    </cfRule>
  </conditionalFormatting>
  <conditionalFormatting sqref="H20:H30">
    <cfRule type="expression" dxfId="129" priority="63" stopIfTrue="1">
      <formula>H20&gt;=2</formula>
    </cfRule>
    <cfRule type="expression" dxfId="128" priority="64" stopIfTrue="1">
      <formula>AND(H20&gt;=1,H20&lt;2)</formula>
    </cfRule>
    <cfRule type="expression" dxfId="127" priority="65" stopIfTrue="1">
      <formula>AND(H20&gt;0.5, H20&lt;1)</formula>
    </cfRule>
    <cfRule type="expression" dxfId="126" priority="66" stopIfTrue="1">
      <formula>H20&lt;=0.5</formula>
    </cfRule>
    <cfRule type="expression" dxfId="125" priority="67" stopIfTrue="1">
      <formula>H20&gt;=2</formula>
    </cfRule>
  </conditionalFormatting>
  <conditionalFormatting sqref="C3:C7">
    <cfRule type="expression" dxfId="124" priority="32" stopIfTrue="1">
      <formula>H3="giảm"</formula>
    </cfRule>
    <cfRule type="expression" dxfId="123" priority="33" stopIfTrue="1">
      <formula>H3="tăng"</formula>
    </cfRule>
  </conditionalFormatting>
  <conditionalFormatting sqref="H3:H7">
    <cfRule type="expression" dxfId="122" priority="30" stopIfTrue="1">
      <formula>H3="giảm"</formula>
    </cfRule>
    <cfRule type="expression" dxfId="121" priority="31" stopIfTrue="1">
      <formula>H3="tăng"</formula>
    </cfRule>
  </conditionalFormatting>
  <conditionalFormatting sqref="B3:B7">
    <cfRule type="expression" dxfId="120" priority="34" stopIfTrue="1">
      <formula>H3="giảm"</formula>
    </cfRule>
    <cfRule type="expression" dxfId="119" priority="35" stopIfTrue="1">
      <formula>H3="tăng"</formula>
    </cfRule>
  </conditionalFormatting>
  <conditionalFormatting sqref="A3:A7">
    <cfRule type="expression" dxfId="118" priority="36" stopIfTrue="1">
      <formula>H3="giảm"</formula>
    </cfRule>
    <cfRule type="expression" dxfId="117" priority="37" stopIfTrue="1">
      <formula>H3="tăng"</formula>
    </cfRule>
  </conditionalFormatting>
  <conditionalFormatting sqref="G3:G7">
    <cfRule type="expression" dxfId="116" priority="27" stopIfTrue="1">
      <formula>G3=0</formula>
    </cfRule>
    <cfRule type="expression" dxfId="115" priority="28" stopIfTrue="1">
      <formula>G3&lt;0</formula>
    </cfRule>
    <cfRule type="expression" dxfId="114" priority="29" stopIfTrue="1">
      <formula>G3&gt;0</formula>
    </cfRule>
  </conditionalFormatting>
  <conditionalFormatting sqref="E3:E7">
    <cfRule type="expression" dxfId="113" priority="25" stopIfTrue="1">
      <formula>H3="tăng"</formula>
    </cfRule>
    <cfRule type="expression" dxfId="112" priority="26" stopIfTrue="1">
      <formula>H3="giảm"</formula>
    </cfRule>
  </conditionalFormatting>
  <conditionalFormatting sqref="F3:F7">
    <cfRule type="expression" dxfId="111" priority="23" stopIfTrue="1">
      <formula>H3="tăng"</formula>
    </cfRule>
    <cfRule type="expression" dxfId="110" priority="24" stopIfTrue="1">
      <formula>H3="giảm"</formula>
    </cfRule>
  </conditionalFormatting>
  <conditionalFormatting sqref="D3:D7">
    <cfRule type="expression" dxfId="109" priority="21" stopIfTrue="1">
      <formula>H3="giảm"</formula>
    </cfRule>
    <cfRule type="expression" dxfId="108" priority="22" stopIfTrue="1">
      <formula>H3="tăng"</formula>
    </cfRule>
  </conditionalFormatting>
  <conditionalFormatting sqref="F20:F24">
    <cfRule type="colorScale" priority="19063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0">
    <cfRule type="colorScale" priority="19065">
      <colorScale>
        <cfvo type="min"/>
        <cfvo type="max"/>
        <color theme="0" tint="-4.9989318521683403E-2"/>
        <color rgb="FF00B050"/>
      </colorScale>
    </cfRule>
  </conditionalFormatting>
  <conditionalFormatting sqref="L20:L30">
    <cfRule type="colorScale" priority="19067">
      <colorScale>
        <cfvo type="min"/>
        <cfvo type="max"/>
        <color theme="0" tint="-4.9989318521683403E-2"/>
        <color rgb="FF00B050"/>
      </colorScale>
    </cfRule>
  </conditionalFormatting>
  <conditionalFormatting sqref="M20:M30">
    <cfRule type="colorScale" priority="19069">
      <colorScale>
        <cfvo type="min"/>
        <cfvo type="max"/>
        <color rgb="FFFF7C80"/>
        <color theme="0" tint="-4.9989318521683403E-2"/>
      </colorScale>
    </cfRule>
  </conditionalFormatting>
  <conditionalFormatting sqref="C20:C30">
    <cfRule type="expression" dxfId="107" priority="6" stopIfTrue="1">
      <formula>E20&gt;=6.8%</formula>
    </cfRule>
    <cfRule type="expression" dxfId="106" priority="7" stopIfTrue="1">
      <formula>AND(E20&gt;0%,E20&lt;6.8%)</formula>
    </cfRule>
    <cfRule type="expression" dxfId="105" priority="8" stopIfTrue="1">
      <formula>E20=0%</formula>
    </cfRule>
    <cfRule type="expression" dxfId="104" priority="9" stopIfTrue="1">
      <formula>AND(E20&gt;-6.8%, E20&lt;0%)</formula>
    </cfRule>
    <cfRule type="expression" dxfId="103" priority="10" stopIfTrue="1">
      <formula>E20&lt;=-6.8%</formula>
    </cfRule>
  </conditionalFormatting>
  <conditionalFormatting sqref="B20:B30">
    <cfRule type="expression" dxfId="102" priority="16" stopIfTrue="1">
      <formula>E20&gt;=6.8%</formula>
    </cfRule>
    <cfRule type="expression" dxfId="101" priority="17" stopIfTrue="1">
      <formula>AND(E20&gt;0%,E20&lt;6.8%)</formula>
    </cfRule>
    <cfRule type="expression" dxfId="100" priority="18" stopIfTrue="1">
      <formula>E20=0%</formula>
    </cfRule>
    <cfRule type="expression" dxfId="99" priority="19" stopIfTrue="1">
      <formula>AND(E20&gt;-6.8%, E20&lt;0%)</formula>
    </cfRule>
    <cfRule type="expression" dxfId="98" priority="20" stopIfTrue="1">
      <formula>E20&lt;=-6.8%</formula>
    </cfRule>
  </conditionalFormatting>
  <conditionalFormatting sqref="D20:D30">
    <cfRule type="expression" dxfId="97" priority="1" stopIfTrue="1">
      <formula>D20&gt;20000</formula>
    </cfRule>
    <cfRule type="expression" dxfId="96" priority="2" stopIfTrue="1">
      <formula>AND(D20&gt;10000,D20&lt;=20000)</formula>
    </cfRule>
    <cfRule type="expression" dxfId="95" priority="3" stopIfTrue="1">
      <formula>AND(D20&gt;1000,D20&lt;=10000)</formula>
    </cfRule>
    <cfRule type="expression" dxfId="94" priority="4" stopIfTrue="1">
      <formula>AND(D20&gt;200,D20&lt;=1000)</formula>
    </cfRule>
    <cfRule type="expression" dxfId="93" priority="5" stopIfTrue="1">
      <formula>D20&lt;=200</formula>
    </cfRule>
  </conditionalFormatting>
  <conditionalFormatting sqref="E20:E30">
    <cfRule type="expression" dxfId="92" priority="11" stopIfTrue="1">
      <formula>E20&gt;=6.8%</formula>
    </cfRule>
    <cfRule type="expression" dxfId="91" priority="12" stopIfTrue="1">
      <formula>AND(E20&gt;0%,E20&lt;6.8%)</formula>
    </cfRule>
    <cfRule type="expression" dxfId="90" priority="13" stopIfTrue="1">
      <formula>E20=0%</formula>
    </cfRule>
    <cfRule type="expression" dxfId="89" priority="14" stopIfTrue="1">
      <formula>AND(E20&gt;-6.8%, E20&lt;0%)</formula>
    </cfRule>
    <cfRule type="expression" dxfId="88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018769-0921-4CA4-9136-741A173B0BD9}">
          <x14:formula1>
            <xm:f>'Nơi chứ dữ liệu'!$I$2:$K$2</xm:f>
          </x14:formula1>
          <xm:sqref>N20:N30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076A-517E-4ACF-B6AB-317071D596F5}">
  <sheetPr codeName="Sheet18">
    <tabColor rgb="FFC00000"/>
  </sheetPr>
  <dimension ref="A1:X50"/>
  <sheetViews>
    <sheetView topLeftCell="A9" zoomScaleNormal="100" workbookViewId="0">
      <selection activeCell="G17" sqref="G17"/>
    </sheetView>
  </sheetViews>
  <sheetFormatPr defaultRowHeight="15" x14ac:dyDescent="0.2"/>
  <cols>
    <col min="1" max="1" width="8" customWidth="1"/>
    <col min="2" max="2" width="9.6640625" customWidth="1"/>
    <col min="3" max="3" width="11.886718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-6.22</v>
      </c>
      <c r="C3" s="156" t="str">
        <v>1,303.15</v>
      </c>
      <c r="D3" s="155">
        <v>-4.7999999999999996E-3</v>
      </c>
      <c r="E3" s="156" t="str">
        <v>500,832,417</v>
      </c>
      <c r="F3" s="156">
        <v>10302.530000000001</v>
      </c>
      <c r="G3" s="155">
        <v>-0.5124489025222444</v>
      </c>
      <c r="H3" s="91" t="str">
        <v>giảm</v>
      </c>
    </row>
    <row r="4" spans="1:11" x14ac:dyDescent="0.2">
      <c r="A4" s="90" t="str">
        <v>VN30</v>
      </c>
      <c r="B4" s="154">
        <v>-6.92</v>
      </c>
      <c r="C4" s="156" t="str">
        <v>1,354.24</v>
      </c>
      <c r="D4" s="155">
        <v>-5.1000000000000004E-3</v>
      </c>
      <c r="E4" s="156" t="str">
        <v>135,253,276</v>
      </c>
      <c r="F4" s="156">
        <v>4021.97</v>
      </c>
      <c r="G4" s="155">
        <v>-0.57107679510285925</v>
      </c>
      <c r="H4" s="91" t="str">
        <v>giảm</v>
      </c>
    </row>
    <row r="5" spans="1:11" x14ac:dyDescent="0.2">
      <c r="A5" s="90" t="str">
        <v>HNX</v>
      </c>
      <c r="B5" s="154">
        <v>-1.85</v>
      </c>
      <c r="C5" s="156" t="str">
        <v>236.49</v>
      </c>
      <c r="D5" s="155">
        <v>-7.8000000000000005E-3</v>
      </c>
      <c r="E5" s="156" t="str">
        <v>33,730,679</v>
      </c>
      <c r="F5" s="156">
        <v>617.07000000000005</v>
      </c>
      <c r="G5" s="155">
        <v>-0.59667573008444663</v>
      </c>
      <c r="H5" s="91" t="str">
        <v>giảm</v>
      </c>
    </row>
    <row r="6" spans="1:11" x14ac:dyDescent="0.2">
      <c r="A6" s="90" t="str">
        <v>HNX30</v>
      </c>
      <c r="B6" s="154">
        <v>-4.63</v>
      </c>
      <c r="C6" s="156" t="str">
        <v>496.27</v>
      </c>
      <c r="D6" s="155">
        <v>-9.300000000000001E-3</v>
      </c>
      <c r="E6" s="156" t="str">
        <v>18,375,600</v>
      </c>
      <c r="F6" s="156">
        <v>387.39</v>
      </c>
      <c r="G6" s="155">
        <v>-0.60788501442380694</v>
      </c>
      <c r="H6" s="91" t="str">
        <v>giảm</v>
      </c>
    </row>
    <row r="7" spans="1:11" x14ac:dyDescent="0.2">
      <c r="A7" s="90" t="str">
        <v>UPCOM</v>
      </c>
      <c r="B7" s="154">
        <v>-0.57999999999999996</v>
      </c>
      <c r="C7" s="156" t="str">
        <v>98.88</v>
      </c>
      <c r="D7" s="155">
        <v>-5.7999999999999996E-3</v>
      </c>
      <c r="E7" s="156" t="str">
        <v>30,237,600</v>
      </c>
      <c r="F7" s="156">
        <v>353.08</v>
      </c>
      <c r="G7" s="155">
        <v>-0.50722938647909344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"&amp;SUM($O$20:O36)&amp;" "&amp;"trên tổng"&amp;" "&amp;$O$19</f>
        <v>Tổng điểm nhóm hôm nay -8 trên tổng 30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4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18</v>
      </c>
      <c r="B16" s="189"/>
      <c r="C16" s="189"/>
      <c r="D16" s="189"/>
      <c r="E16" s="189"/>
      <c r="F16" s="193">
        <f>AVERAGE(E20:E50)</f>
        <v>-8.4714838709677425E-3</v>
      </c>
      <c r="G16" s="191">
        <f>AVERAGE(F20:F50)</f>
        <v>0.47970894327815117</v>
      </c>
    </row>
    <row r="17" spans="1:24" ht="15.75" x14ac:dyDescent="0.2">
      <c r="A17" s="188" t="str">
        <f>"Tổng điểm tham chiếu nhóm hôm nay"&amp;" "&amp;(O19-(P19+Q19))</f>
        <v>Tổng điểm tham chiếu nhóm hôm nay 8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COUNT(O20:O49)</f>
        <v>30</v>
      </c>
      <c r="P19" s="158">
        <f>SUM(P20:P49)</f>
        <v>4</v>
      </c>
      <c r="Q19" s="158">
        <f>SUM(Q20:Q49)</f>
        <v>18</v>
      </c>
      <c r="T19" s="12" t="s">
        <v>2440</v>
      </c>
      <c r="U19" s="115">
        <v>-7.0000000000000007E-2</v>
      </c>
      <c r="V19" s="116">
        <v>0.62544589774078474</v>
      </c>
      <c r="X19"/>
    </row>
    <row r="20" spans="1:24" ht="15.75" customHeight="1" x14ac:dyDescent="0.2">
      <c r="A20" s="313" t="s">
        <v>208</v>
      </c>
      <c r="B20" s="3" t="s">
        <v>361</v>
      </c>
      <c r="C20" s="101">
        <f t="array" ref="C20:M20">tinh_du_lieu_cp(B20)</f>
        <v>10.050000000000001</v>
      </c>
      <c r="D20" s="103">
        <v>196.2</v>
      </c>
      <c r="E20" s="102">
        <v>0</v>
      </c>
      <c r="F20" s="98">
        <v>1.1587651006711408</v>
      </c>
      <c r="G20" s="98">
        <v>1.0187535576375748</v>
      </c>
      <c r="H20" s="98">
        <v>0.94183534682774628</v>
      </c>
      <c r="I20" s="93">
        <v>0.51315789473684204</v>
      </c>
      <c r="J20" s="92">
        <v>6.84</v>
      </c>
      <c r="K20" s="92">
        <v>10.35</v>
      </c>
      <c r="L20" s="93">
        <v>0.46929824561403521</v>
      </c>
      <c r="M20" s="93">
        <v>-2.8985507246376711E-2</v>
      </c>
      <c r="N20" s="92"/>
      <c r="O20" s="92">
        <f t="shared" ref="O20:O26" si="0">IF(E20&gt;0,1,IF(E20=0,0,-1))</f>
        <v>0</v>
      </c>
      <c r="P20" s="92">
        <f t="shared" ref="P20:P26" si="1">IF(O20=1,1,0)</f>
        <v>0</v>
      </c>
      <c r="Q20" s="92">
        <f t="shared" ref="Q20:Q26" si="2">IF(O20&lt;0,1,0)</f>
        <v>0</v>
      </c>
      <c r="T20" s="12" t="s">
        <v>2054</v>
      </c>
      <c r="U20" s="115">
        <v>-2.4778999999999999E-2</v>
      </c>
      <c r="V20" s="116">
        <v>6.1518216958631466E-2</v>
      </c>
    </row>
    <row r="21" spans="1:24" ht="15.75" customHeight="1" x14ac:dyDescent="0.2">
      <c r="A21" s="314"/>
      <c r="B21" s="3" t="s">
        <v>553</v>
      </c>
      <c r="C21" s="101">
        <f t="array" ref="C21:M21">tinh_du_lieu_cp(B21)</f>
        <v>7.45</v>
      </c>
      <c r="D21" s="103">
        <v>47.5</v>
      </c>
      <c r="E21" s="102">
        <v>-6.6669999999999993E-3</v>
      </c>
      <c r="F21" s="98">
        <v>0.5782745835869626</v>
      </c>
      <c r="G21" s="98">
        <v>1.0567320431789058</v>
      </c>
      <c r="H21" s="98">
        <v>0.43934021889933711</v>
      </c>
      <c r="I21" s="93">
        <v>0.30208333333333337</v>
      </c>
      <c r="J21" s="92">
        <v>5.76</v>
      </c>
      <c r="K21" s="92">
        <v>7.5</v>
      </c>
      <c r="L21" s="93">
        <v>0.29340277777777785</v>
      </c>
      <c r="M21" s="93">
        <v>-6.6666666666666428E-3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2" t="s">
        <v>1605</v>
      </c>
      <c r="U21" s="115">
        <v>-2.0833000000000001E-2</v>
      </c>
      <c r="V21" s="116">
        <v>0.10954356846473029</v>
      </c>
    </row>
    <row r="22" spans="1:24" ht="15.75" customHeight="1" x14ac:dyDescent="0.2">
      <c r="A22" s="314"/>
      <c r="B22" s="3" t="s">
        <v>603</v>
      </c>
      <c r="C22" s="101">
        <f t="array" ref="C22:M22">tinh_du_lieu_cp(B22)</f>
        <v>21.1</v>
      </c>
      <c r="D22" s="103">
        <v>31.3</v>
      </c>
      <c r="E22" s="102">
        <v>-9.389999999999999E-3</v>
      </c>
      <c r="F22" s="98">
        <v>9.5203860139086674E-2</v>
      </c>
      <c r="G22" s="98">
        <v>1.0635047315015391</v>
      </c>
      <c r="H22" s="98">
        <v>0.38906152889993784</v>
      </c>
      <c r="I22" s="93">
        <v>0.33734939759036131</v>
      </c>
      <c r="J22" s="92">
        <v>16.600000000000001</v>
      </c>
      <c r="K22" s="92">
        <v>22.2</v>
      </c>
      <c r="L22" s="93">
        <v>0.27108433734939757</v>
      </c>
      <c r="M22" s="93">
        <v>-4.9549549549549453E-2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911</v>
      </c>
      <c r="U22" s="115">
        <v>-1.9408000000000002E-2</v>
      </c>
      <c r="V22" s="116">
        <v>0.83478851293122203</v>
      </c>
    </row>
    <row r="23" spans="1:24" ht="15.75" customHeight="1" x14ac:dyDescent="0.2">
      <c r="A23" s="314"/>
      <c r="B23" s="3" t="s">
        <v>648</v>
      </c>
      <c r="C23" s="101">
        <f t="array" ref="C23:M23">tinh_du_lieu_cp(B23)</f>
        <v>7.88</v>
      </c>
      <c r="D23" s="103">
        <v>121.9</v>
      </c>
      <c r="E23" s="102">
        <v>-5.0509999999999999E-3</v>
      </c>
      <c r="F23" s="98">
        <v>0.36173082629690573</v>
      </c>
      <c r="G23" s="98">
        <v>0.94924972329577406</v>
      </c>
      <c r="H23" s="98">
        <v>0.54189819959991115</v>
      </c>
      <c r="I23" s="93">
        <v>0.19796954314720808</v>
      </c>
      <c r="J23" s="92">
        <v>7.88</v>
      </c>
      <c r="K23" s="92">
        <v>9.44</v>
      </c>
      <c r="L23" s="93">
        <v>0</v>
      </c>
      <c r="M23" s="93">
        <v>-0.16525423728813557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2846</v>
      </c>
      <c r="U23" s="115">
        <v>-1.7065E-2</v>
      </c>
      <c r="V23" s="116">
        <v>0.70950507552576625</v>
      </c>
    </row>
    <row r="24" spans="1:24" ht="15.75" customHeight="1" x14ac:dyDescent="0.2">
      <c r="A24" s="314"/>
      <c r="B24" s="3" t="s">
        <v>650</v>
      </c>
      <c r="C24" s="101">
        <f t="array" ref="C24:M24">tinh_du_lieu_cp(B24)</f>
        <v>14.2</v>
      </c>
      <c r="D24" s="103">
        <v>6368.3</v>
      </c>
      <c r="E24" s="102">
        <v>-3.509E-3</v>
      </c>
      <c r="F24" s="98">
        <v>0.66541975998787928</v>
      </c>
      <c r="G24" s="98">
        <v>0.99060806096710141</v>
      </c>
      <c r="H24" s="98">
        <v>0.5286343978018877</v>
      </c>
      <c r="I24" s="93">
        <v>0.11742424242424249</v>
      </c>
      <c r="J24" s="92">
        <v>13.2</v>
      </c>
      <c r="K24" s="92">
        <v>14.75</v>
      </c>
      <c r="L24" s="93">
        <v>7.575757575757576E-2</v>
      </c>
      <c r="M24" s="93">
        <v>-3.728813559322039E-2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1025</v>
      </c>
      <c r="U24" s="115">
        <v>-1.6417999999999999E-2</v>
      </c>
      <c r="V24" s="116">
        <v>0.60741800897461562</v>
      </c>
    </row>
    <row r="25" spans="1:24" ht="15.75" customHeight="1" x14ac:dyDescent="0.2">
      <c r="A25" s="314"/>
      <c r="B25" s="3" t="s">
        <v>750</v>
      </c>
      <c r="C25" s="101">
        <f t="array" ref="C25:M25">tinh_du_lieu_cp(B25)</f>
        <v>90.3</v>
      </c>
      <c r="D25" s="103">
        <v>567.6</v>
      </c>
      <c r="E25" s="102">
        <v>1.4607000000000002E-2</v>
      </c>
      <c r="F25" s="98">
        <v>0.37269661244590363</v>
      </c>
      <c r="G25" s="98">
        <v>1.050064850843061</v>
      </c>
      <c r="H25" s="98">
        <v>0.37406500225168327</v>
      </c>
      <c r="I25" s="93">
        <v>0.43721633888048422</v>
      </c>
      <c r="J25" s="92">
        <v>66.099999999999994</v>
      </c>
      <c r="K25" s="92">
        <v>95</v>
      </c>
      <c r="L25" s="93">
        <v>0.36611195158850235</v>
      </c>
      <c r="M25" s="93">
        <v>-4.9473684210526343E-2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1782</v>
      </c>
      <c r="U25" s="115">
        <v>-1.4624999999999999E-2</v>
      </c>
      <c r="V25" s="116">
        <v>1.2253155491898666</v>
      </c>
    </row>
    <row r="26" spans="1:24" ht="15.75" customHeight="1" x14ac:dyDescent="0.2">
      <c r="A26" s="314"/>
      <c r="B26" s="3" t="s">
        <v>756</v>
      </c>
      <c r="C26" s="101" cm="1">
        <f t="array" ref="C26:M26">tinh_du_lieu_cp(B26)</f>
        <v>21.7</v>
      </c>
      <c r="D26" s="103">
        <v>997.7</v>
      </c>
      <c r="E26" s="102">
        <v>0</v>
      </c>
      <c r="F26" s="98">
        <v>0.93901979909988531</v>
      </c>
      <c r="G26" s="98">
        <v>1.0214855072463769</v>
      </c>
      <c r="H26" s="98">
        <v>0.93951283821959952</v>
      </c>
      <c r="I26" s="93">
        <v>0.30059523809523814</v>
      </c>
      <c r="J26" s="92">
        <v>16.8</v>
      </c>
      <c r="K26" s="92">
        <v>21.85</v>
      </c>
      <c r="L26" s="93">
        <v>0.29166666666666657</v>
      </c>
      <c r="M26" s="93">
        <v>-6.8649885583524995E-3</v>
      </c>
      <c r="N26" s="92"/>
      <c r="O26" s="92">
        <f t="shared" si="0"/>
        <v>0</v>
      </c>
      <c r="P26" s="92">
        <f t="shared" si="1"/>
        <v>0</v>
      </c>
      <c r="Q26" s="92">
        <f t="shared" si="2"/>
        <v>0</v>
      </c>
      <c r="T26" s="12" t="s">
        <v>1036</v>
      </c>
      <c r="U26" s="115">
        <v>-1.2862E-2</v>
      </c>
      <c r="V26" s="116">
        <v>0.56289978678038377</v>
      </c>
    </row>
    <row r="27" spans="1:24" ht="15.75" customHeight="1" x14ac:dyDescent="0.2">
      <c r="A27" s="314"/>
      <c r="B27" s="3" t="s">
        <v>805</v>
      </c>
      <c r="C27" s="101">
        <f t="array" ref="C27:M27">tinh_du_lieu_cp(B27)</f>
        <v>12.65</v>
      </c>
      <c r="D27" s="103">
        <v>579.20000000000005</v>
      </c>
      <c r="E27" s="102">
        <v>-3.9369999999999995E-3</v>
      </c>
      <c r="F27" s="98">
        <v>0.55842653297338984</v>
      </c>
      <c r="G27" s="98">
        <v>1.0749324063344921</v>
      </c>
      <c r="H27" s="98">
        <v>0.54085348772060882</v>
      </c>
      <c r="I27" s="93">
        <v>0.42129629629629617</v>
      </c>
      <c r="J27" s="92">
        <v>10.8</v>
      </c>
      <c r="K27" s="92">
        <v>15.35</v>
      </c>
      <c r="L27" s="93">
        <v>0.17129629629629625</v>
      </c>
      <c r="M27" s="93">
        <v>-0.17589576547231267</v>
      </c>
      <c r="N27" s="92"/>
      <c r="O27" s="92">
        <f>IF(E27&gt;0,1,IF(E27=0,0,-1))</f>
        <v>-1</v>
      </c>
      <c r="P27" s="92">
        <f t="shared" ref="P27:P36" si="3">IF(O27=1,1,0)</f>
        <v>0</v>
      </c>
      <c r="Q27" s="92">
        <f t="shared" ref="Q27:Q36" si="4">IF(O27&lt;0,1,0)</f>
        <v>1</v>
      </c>
      <c r="T27" s="12" t="s">
        <v>1401</v>
      </c>
      <c r="U27" s="115">
        <v>-1.0582000000000001E-2</v>
      </c>
      <c r="V27" s="116">
        <v>0.22111784631841686</v>
      </c>
    </row>
    <row r="28" spans="1:24" ht="15.75" customHeight="1" x14ac:dyDescent="0.2">
      <c r="A28" s="314"/>
      <c r="B28" s="3" t="s">
        <v>911</v>
      </c>
      <c r="C28" s="101">
        <f t="array" ref="C28:M28">tinh_du_lieu_cp(B28)</f>
        <v>48</v>
      </c>
      <c r="D28" s="103">
        <v>435.9</v>
      </c>
      <c r="E28" s="102">
        <v>-1.9408000000000002E-2</v>
      </c>
      <c r="F28" s="98">
        <v>0.83478851293122203</v>
      </c>
      <c r="G28" s="98">
        <v>1.0305280125042737</v>
      </c>
      <c r="H28" s="98">
        <v>0.57806559985854478</v>
      </c>
      <c r="I28" s="93">
        <v>0.24705882352941178</v>
      </c>
      <c r="J28" s="92">
        <v>42.5</v>
      </c>
      <c r="K28" s="92">
        <v>53</v>
      </c>
      <c r="L28" s="93">
        <v>0.12941176470588237</v>
      </c>
      <c r="M28" s="93">
        <v>-9.4339622641509441E-2</v>
      </c>
      <c r="N28" s="92"/>
      <c r="O28" s="94">
        <f>IF(E28&gt;0,1,IF(E28=0,0,-1))</f>
        <v>-1</v>
      </c>
      <c r="P28" s="92">
        <f t="shared" si="3"/>
        <v>0</v>
      </c>
      <c r="Q28" s="92">
        <f t="shared" si="4"/>
        <v>1</v>
      </c>
      <c r="T28" s="12" t="s">
        <v>2494</v>
      </c>
      <c r="U28" s="115">
        <v>-9.836000000000001E-3</v>
      </c>
      <c r="V28" s="116">
        <v>0.29874120329071263</v>
      </c>
    </row>
    <row r="29" spans="1:24" ht="15.75" customHeight="1" x14ac:dyDescent="0.2">
      <c r="A29" s="314"/>
      <c r="B29" s="3" t="s">
        <v>1025</v>
      </c>
      <c r="C29" s="101">
        <f t="array" ref="C29:M29">tinh_du_lieu_cp(B29)</f>
        <v>6.59</v>
      </c>
      <c r="D29" s="103">
        <v>841.1</v>
      </c>
      <c r="E29" s="102">
        <v>-1.6417999999999999E-2</v>
      </c>
      <c r="F29" s="98">
        <v>0.60741800897461562</v>
      </c>
      <c r="G29" s="98">
        <v>1.0416279457669118</v>
      </c>
      <c r="H29" s="98">
        <v>0.4984345524400241</v>
      </c>
      <c r="I29" s="93">
        <v>0.16468590831918517</v>
      </c>
      <c r="J29" s="92">
        <v>5.89</v>
      </c>
      <c r="K29" s="92">
        <v>6.86</v>
      </c>
      <c r="L29" s="93">
        <v>0.11884550084889647</v>
      </c>
      <c r="M29" s="93">
        <v>-3.9358600583090445E-2</v>
      </c>
      <c r="N29" s="92"/>
      <c r="O29" s="92">
        <f>IF(E29&gt;0,1,IF(E29=0,0,-1))</f>
        <v>-1</v>
      </c>
      <c r="P29" s="92">
        <f t="shared" si="3"/>
        <v>0</v>
      </c>
      <c r="Q29" s="92">
        <f t="shared" si="4"/>
        <v>1</v>
      </c>
      <c r="T29" s="12" t="s">
        <v>603</v>
      </c>
      <c r="U29" s="115">
        <v>-9.389999999999999E-3</v>
      </c>
      <c r="V29" s="116">
        <v>9.5203860139086674E-2</v>
      </c>
    </row>
    <row r="30" spans="1:24" ht="15.75" customHeight="1" x14ac:dyDescent="0.2">
      <c r="A30" s="314"/>
      <c r="B30" s="3" t="s">
        <v>1036</v>
      </c>
      <c r="C30" s="101">
        <f t="array" ref="C30:M30">tinh_du_lieu_cp(B30)</f>
        <v>15.35</v>
      </c>
      <c r="D30" s="103">
        <v>1221.5999999999999</v>
      </c>
      <c r="E30" s="102">
        <v>-1.2862E-2</v>
      </c>
      <c r="F30" s="98">
        <v>0.56289978678038377</v>
      </c>
      <c r="G30" s="98">
        <v>1.023458810692853</v>
      </c>
      <c r="H30" s="98">
        <v>0.71708376543330654</v>
      </c>
      <c r="I30" s="93">
        <v>0.29599999999999993</v>
      </c>
      <c r="J30" s="92">
        <v>12.5</v>
      </c>
      <c r="K30" s="92">
        <v>16.2</v>
      </c>
      <c r="L30" s="93">
        <v>0.22799999999999998</v>
      </c>
      <c r="M30" s="93">
        <v>-5.2469135802469119E-2</v>
      </c>
      <c r="N30" s="92"/>
      <c r="O30" s="92">
        <f t="shared" ref="O30:O36" si="5">IF(E30&gt;0,1,IF(E30=0,0,-1))</f>
        <v>-1</v>
      </c>
      <c r="P30" s="92">
        <f t="shared" si="3"/>
        <v>0</v>
      </c>
      <c r="Q30" s="92">
        <f t="shared" si="4"/>
        <v>1</v>
      </c>
      <c r="T30" s="12" t="s">
        <v>1892</v>
      </c>
      <c r="U30" s="115">
        <v>-8.3330000000000001E-3</v>
      </c>
      <c r="V30" s="116">
        <v>0.45213884945398874</v>
      </c>
    </row>
    <row r="31" spans="1:24" ht="15.75" customHeight="1" x14ac:dyDescent="0.2">
      <c r="A31" s="314"/>
      <c r="B31" s="3" t="s">
        <v>1200</v>
      </c>
      <c r="C31" s="101">
        <f t="array" ref="C31:M31">tinh_du_lieu_cp(B31)</f>
        <v>7.7</v>
      </c>
      <c r="D31" s="103">
        <v>0</v>
      </c>
      <c r="E31" s="102">
        <v>0</v>
      </c>
      <c r="F31" s="98">
        <v>0</v>
      </c>
      <c r="G31" s="98">
        <v>0.9896193771626296</v>
      </c>
      <c r="H31" s="98">
        <v>0</v>
      </c>
      <c r="I31" s="93">
        <v>7.9999999999999946E-2</v>
      </c>
      <c r="J31" s="92">
        <v>7.5</v>
      </c>
      <c r="K31" s="92">
        <v>8.1</v>
      </c>
      <c r="L31" s="93">
        <v>2.6666666666666689E-2</v>
      </c>
      <c r="M31" s="93">
        <v>-4.9382716049382651E-2</v>
      </c>
      <c r="N31" s="92"/>
      <c r="O31" s="92">
        <f t="shared" si="5"/>
        <v>0</v>
      </c>
      <c r="P31" s="92">
        <f t="shared" si="3"/>
        <v>0</v>
      </c>
      <c r="Q31" s="92">
        <f t="shared" si="4"/>
        <v>0</v>
      </c>
      <c r="T31" s="12" t="s">
        <v>1374</v>
      </c>
      <c r="U31" s="115">
        <v>-8.3330000000000001E-3</v>
      </c>
      <c r="V31" s="116">
        <v>5.9620596205962058E-2</v>
      </c>
    </row>
    <row r="32" spans="1:24" ht="15.75" customHeight="1" x14ac:dyDescent="0.2">
      <c r="A32" s="314"/>
      <c r="B32" s="3" t="s">
        <v>1273</v>
      </c>
      <c r="C32" s="101">
        <f t="array" ref="C32:M32">tinh_du_lieu_cp(B32)</f>
        <v>12.75</v>
      </c>
      <c r="D32" s="103">
        <v>5237.8999999999996</v>
      </c>
      <c r="E32" s="102">
        <v>3.9369999999999995E-3</v>
      </c>
      <c r="F32" s="98">
        <v>0.58026655225877533</v>
      </c>
      <c r="G32" s="98">
        <v>1.0014799029183685</v>
      </c>
      <c r="H32" s="98">
        <v>0.61049090015520924</v>
      </c>
      <c r="I32" s="93">
        <v>0.19724770642201839</v>
      </c>
      <c r="J32" s="92">
        <v>10.9</v>
      </c>
      <c r="K32" s="92">
        <v>13.05</v>
      </c>
      <c r="L32" s="93">
        <v>0.16972477064220179</v>
      </c>
      <c r="M32" s="93">
        <v>-2.2988505747126489E-2</v>
      </c>
      <c r="N32" s="92"/>
      <c r="O32" s="92">
        <f t="shared" si="5"/>
        <v>1</v>
      </c>
      <c r="P32" s="92">
        <f t="shared" si="3"/>
        <v>1</v>
      </c>
      <c r="Q32" s="92">
        <f t="shared" si="4"/>
        <v>0</v>
      </c>
      <c r="T32" s="12" t="s">
        <v>553</v>
      </c>
      <c r="U32" s="115">
        <v>-6.6669999999999993E-3</v>
      </c>
      <c r="V32" s="116">
        <v>0.5782745835869626</v>
      </c>
    </row>
    <row r="33" spans="1:22" ht="15.75" customHeight="1" x14ac:dyDescent="0.2">
      <c r="A33" s="314"/>
      <c r="B33" s="3" t="s">
        <v>1275</v>
      </c>
      <c r="C33" s="101">
        <f t="array" ref="C33:M33">tinh_du_lieu_cp(B33)</f>
        <v>2.81</v>
      </c>
      <c r="D33" s="103">
        <v>18.3</v>
      </c>
      <c r="E33" s="102">
        <v>0</v>
      </c>
      <c r="F33" s="98">
        <v>0.34486893952372799</v>
      </c>
      <c r="G33" s="98">
        <v>0.9948955176264157</v>
      </c>
      <c r="H33" s="98">
        <v>0.72332015810276684</v>
      </c>
      <c r="I33" s="93">
        <v>0.11538461538461531</v>
      </c>
      <c r="J33" s="92">
        <v>2.6</v>
      </c>
      <c r="K33" s="92">
        <v>2.9</v>
      </c>
      <c r="L33" s="93">
        <v>8.0769230769230746E-2</v>
      </c>
      <c r="M33" s="93">
        <v>-3.1034482758620641E-2</v>
      </c>
      <c r="N33" s="92"/>
      <c r="O33" s="92">
        <f t="shared" si="5"/>
        <v>0</v>
      </c>
      <c r="P33" s="92">
        <f t="shared" si="3"/>
        <v>0</v>
      </c>
      <c r="Q33" s="92">
        <f t="shared" si="4"/>
        <v>0</v>
      </c>
      <c r="T33" s="12" t="s">
        <v>648</v>
      </c>
      <c r="U33" s="115">
        <v>-5.0509999999999999E-3</v>
      </c>
      <c r="V33" s="116">
        <v>0.36173082629690573</v>
      </c>
    </row>
    <row r="34" spans="1:22" ht="15.75" customHeight="1" x14ac:dyDescent="0.2">
      <c r="A34" s="314"/>
      <c r="B34" s="3" t="s">
        <v>1374</v>
      </c>
      <c r="C34" s="101">
        <f t="array" ref="C34:M34">tinh_du_lieu_cp(B34)</f>
        <v>17.850000000000001</v>
      </c>
      <c r="D34" s="103">
        <v>1.8</v>
      </c>
      <c r="E34" s="102">
        <v>-8.3330000000000001E-3</v>
      </c>
      <c r="F34" s="98">
        <v>5.9620596205962058E-2</v>
      </c>
      <c r="G34" s="98">
        <v>1.0260416666666665</v>
      </c>
      <c r="H34" s="98">
        <v>3.8162544169611311E-2</v>
      </c>
      <c r="I34" s="93">
        <v>0.140625</v>
      </c>
      <c r="J34" s="92">
        <v>16</v>
      </c>
      <c r="K34" s="92">
        <v>18.25</v>
      </c>
      <c r="L34" s="93">
        <v>0.11562500000000009</v>
      </c>
      <c r="M34" s="93">
        <v>-2.1917808219178006E-2</v>
      </c>
      <c r="N34" s="92"/>
      <c r="O34" s="92">
        <f t="shared" si="5"/>
        <v>-1</v>
      </c>
      <c r="P34" s="92">
        <f t="shared" si="3"/>
        <v>0</v>
      </c>
      <c r="Q34" s="92">
        <f t="shared" si="4"/>
        <v>1</v>
      </c>
      <c r="T34" s="12" t="s">
        <v>805</v>
      </c>
      <c r="U34" s="115">
        <v>-3.9369999999999995E-3</v>
      </c>
      <c r="V34" s="116">
        <v>0.55842653297338984</v>
      </c>
    </row>
    <row r="35" spans="1:22" ht="15.75" customHeight="1" x14ac:dyDescent="0.2">
      <c r="A35" s="314"/>
      <c r="B35" s="3" t="s">
        <v>1385</v>
      </c>
      <c r="C35" s="101">
        <f t="array" ref="C35:M35">tinh_du_lieu_cp(B35)</f>
        <v>5.8</v>
      </c>
      <c r="D35" s="103">
        <v>1.2</v>
      </c>
      <c r="E35" s="102">
        <v>0</v>
      </c>
      <c r="F35" s="98">
        <v>0.71159029649595695</v>
      </c>
      <c r="G35" s="98">
        <v>0.99726455646737</v>
      </c>
      <c r="H35" s="98">
        <v>1.1612903225806452</v>
      </c>
      <c r="I35" s="93">
        <v>0.19330855018587362</v>
      </c>
      <c r="J35" s="92">
        <v>5.38</v>
      </c>
      <c r="K35" s="92">
        <v>6.42</v>
      </c>
      <c r="L35" s="93">
        <v>7.8066914498141252E-2</v>
      </c>
      <c r="M35" s="93">
        <v>-9.6573208722741458E-2</v>
      </c>
      <c r="N35" s="92"/>
      <c r="O35" s="92">
        <f t="shared" si="5"/>
        <v>0</v>
      </c>
      <c r="P35" s="92">
        <f t="shared" si="3"/>
        <v>0</v>
      </c>
      <c r="Q35" s="92">
        <f t="shared" si="4"/>
        <v>0</v>
      </c>
      <c r="T35" s="12" t="s">
        <v>650</v>
      </c>
      <c r="U35" s="115">
        <v>-3.509E-3</v>
      </c>
      <c r="V35" s="116">
        <v>0.66541975998787928</v>
      </c>
    </row>
    <row r="36" spans="1:22" ht="15.75" customHeight="1" x14ac:dyDescent="0.2">
      <c r="A36" s="314"/>
      <c r="B36" s="3" t="s">
        <v>1391</v>
      </c>
      <c r="C36" s="101">
        <f t="array" ref="C36:M36">tinh_du_lieu_cp(B36)</f>
        <v>17.8</v>
      </c>
      <c r="D36" s="103">
        <v>10</v>
      </c>
      <c r="E36" s="102">
        <v>-2.8010000000000001E-3</v>
      </c>
      <c r="F36" s="98">
        <v>0.17833605971339775</v>
      </c>
      <c r="G36" s="98">
        <v>1.0048686739269697</v>
      </c>
      <c r="H36" s="98">
        <v>0.45662100456621002</v>
      </c>
      <c r="I36" s="93">
        <v>9.9125364431487048E-2</v>
      </c>
      <c r="J36" s="92">
        <v>17.149999999999999</v>
      </c>
      <c r="K36" s="92">
        <v>18.850000000000001</v>
      </c>
      <c r="L36" s="93">
        <v>3.790087463556864E-2</v>
      </c>
      <c r="M36" s="93">
        <v>-5.5702917771883326E-2</v>
      </c>
      <c r="N36" s="92"/>
      <c r="O36" s="92">
        <f t="shared" si="5"/>
        <v>-1</v>
      </c>
      <c r="P36" s="92">
        <f t="shared" si="3"/>
        <v>0</v>
      </c>
      <c r="Q36" s="92">
        <f t="shared" si="4"/>
        <v>1</v>
      </c>
      <c r="T36" s="12" t="s">
        <v>1391</v>
      </c>
      <c r="U36" s="115">
        <v>-2.8010000000000001E-3</v>
      </c>
      <c r="V36" s="116">
        <v>0.17833605971339775</v>
      </c>
    </row>
    <row r="37" spans="1:22" ht="15.75" customHeight="1" x14ac:dyDescent="0.2">
      <c r="A37" s="314"/>
      <c r="B37" s="3" t="s">
        <v>1401</v>
      </c>
      <c r="C37" s="101">
        <f t="array" ref="C37:M37">tinh_du_lieu_cp(B37)</f>
        <v>9.35</v>
      </c>
      <c r="D37" s="103">
        <v>90.2</v>
      </c>
      <c r="E37" s="102">
        <v>-1.0582000000000001E-2</v>
      </c>
      <c r="F37" s="98">
        <v>0.22111784631841686</v>
      </c>
      <c r="G37" s="98">
        <v>0.99105722105531169</v>
      </c>
      <c r="H37" s="98">
        <v>0.40731542108828178</v>
      </c>
      <c r="I37" s="92">
        <v>0.26498800959232627</v>
      </c>
      <c r="J37" s="92">
        <v>8.34</v>
      </c>
      <c r="K37" s="92">
        <v>10.55</v>
      </c>
      <c r="L37" s="92">
        <v>0.12110311750599519</v>
      </c>
      <c r="M37" s="92">
        <v>-0.11374407582938398</v>
      </c>
      <c r="N37" s="92"/>
      <c r="O37" s="92">
        <f t="shared" ref="O37:O42" si="6">IF(E37&gt;0,1,IF(E37=0,0,-1))</f>
        <v>-1</v>
      </c>
      <c r="P37" s="92">
        <f t="shared" ref="P37:P42" si="7">IF(O37=1,1,0)</f>
        <v>0</v>
      </c>
      <c r="Q37" s="92">
        <f t="shared" ref="Q37:Q42" si="8">IF(O37&lt;0,1,0)</f>
        <v>1</v>
      </c>
      <c r="T37" s="12" t="s">
        <v>1587</v>
      </c>
      <c r="U37" s="115">
        <v>0</v>
      </c>
      <c r="V37" s="116">
        <v>0</v>
      </c>
    </row>
    <row r="38" spans="1:22" x14ac:dyDescent="0.2">
      <c r="A38" s="314"/>
      <c r="B38" s="3" t="s">
        <v>1573</v>
      </c>
      <c r="C38" s="101">
        <f t="array" ref="C38:M38">tinh_du_lieu_cp(B38)</f>
        <v>10.8</v>
      </c>
      <c r="D38" s="103">
        <v>2073</v>
      </c>
      <c r="E38" s="102">
        <v>4.6509999999999998E-3</v>
      </c>
      <c r="F38" s="98">
        <v>0.65884154489573321</v>
      </c>
      <c r="G38" s="98">
        <v>0.99656140350877176</v>
      </c>
      <c r="H38" s="98">
        <v>0.80985525741781317</v>
      </c>
      <c r="I38" s="92">
        <v>0.11111111111111108</v>
      </c>
      <c r="J38" s="92">
        <v>9.9</v>
      </c>
      <c r="K38" s="92">
        <v>11</v>
      </c>
      <c r="L38" s="92">
        <v>9.0909090909090939E-2</v>
      </c>
      <c r="M38" s="92">
        <v>-1.8181818181818118E-2</v>
      </c>
      <c r="N38" s="92"/>
      <c r="O38" s="92">
        <f t="shared" si="6"/>
        <v>1</v>
      </c>
      <c r="P38" s="92">
        <f t="shared" si="7"/>
        <v>1</v>
      </c>
      <c r="Q38" s="92">
        <f t="shared" si="8"/>
        <v>0</v>
      </c>
      <c r="T38" s="12" t="s">
        <v>1200</v>
      </c>
      <c r="U38" s="115">
        <v>0</v>
      </c>
      <c r="V38" s="116">
        <v>0</v>
      </c>
    </row>
    <row r="39" spans="1:22" x14ac:dyDescent="0.2">
      <c r="A39" s="314"/>
      <c r="B39" s="3" t="s">
        <v>1587</v>
      </c>
      <c r="C39" s="101">
        <f t="array" ref="C39:M39">tinh_du_lieu_cp(B39)</f>
        <v>62</v>
      </c>
      <c r="D39" s="103">
        <v>0</v>
      </c>
      <c r="E39" s="102">
        <v>0</v>
      </c>
      <c r="F39" s="98">
        <v>0</v>
      </c>
      <c r="G39" s="98">
        <v>0.97071290944123345</v>
      </c>
      <c r="H39" s="98">
        <v>0</v>
      </c>
      <c r="I39" s="92">
        <v>0.15540540540540546</v>
      </c>
      <c r="J39" s="92">
        <v>59.2</v>
      </c>
      <c r="K39" s="92">
        <v>68.400000000000006</v>
      </c>
      <c r="L39" s="92">
        <v>4.7297297297297244E-2</v>
      </c>
      <c r="M39" s="92">
        <v>-9.3567251461988382E-2</v>
      </c>
      <c r="N39" s="92"/>
      <c r="O39" s="92">
        <f t="shared" si="6"/>
        <v>0</v>
      </c>
      <c r="P39" s="92">
        <f t="shared" si="7"/>
        <v>0</v>
      </c>
      <c r="Q39" s="92">
        <f t="shared" si="8"/>
        <v>0</v>
      </c>
      <c r="T39" s="12" t="s">
        <v>1385</v>
      </c>
      <c r="U39" s="115">
        <v>0</v>
      </c>
      <c r="V39" s="116">
        <v>0.71159029649595695</v>
      </c>
    </row>
    <row r="40" spans="1:22" x14ac:dyDescent="0.2">
      <c r="A40" s="314"/>
      <c r="B40" s="3" t="s">
        <v>1605</v>
      </c>
      <c r="C40" s="101">
        <f t="array" ref="C40:M40">tinh_du_lieu_cp(B40)</f>
        <v>14.1</v>
      </c>
      <c r="D40" s="103">
        <v>2.4</v>
      </c>
      <c r="E40" s="102">
        <v>-2.0833000000000001E-2</v>
      </c>
      <c r="F40" s="98">
        <v>0.10954356846473029</v>
      </c>
      <c r="G40" s="98">
        <v>1.0100404858299596</v>
      </c>
      <c r="H40" s="98">
        <v>6.0991105463786534E-2</v>
      </c>
      <c r="I40" s="92">
        <v>8.6466165413533719E-2</v>
      </c>
      <c r="J40" s="92">
        <v>13.3</v>
      </c>
      <c r="K40" s="92">
        <v>14.45</v>
      </c>
      <c r="L40" s="92">
        <v>6.0150375939849537E-2</v>
      </c>
      <c r="M40" s="92">
        <v>-2.4221453287197207E-2</v>
      </c>
      <c r="N40" s="92"/>
      <c r="O40" s="92">
        <f t="shared" si="6"/>
        <v>-1</v>
      </c>
      <c r="P40" s="92">
        <f t="shared" si="7"/>
        <v>0</v>
      </c>
      <c r="Q40" s="92">
        <f t="shared" si="8"/>
        <v>1</v>
      </c>
      <c r="T40" s="12" t="s">
        <v>1941</v>
      </c>
      <c r="U40" s="115">
        <v>0</v>
      </c>
      <c r="V40" s="116">
        <v>0.81062553556126815</v>
      </c>
    </row>
    <row r="41" spans="1:22" x14ac:dyDescent="0.2">
      <c r="A41" s="314"/>
      <c r="B41" s="3" t="s">
        <v>1782</v>
      </c>
      <c r="C41" s="101">
        <f t="array" ref="C41:M41">tinh_du_lieu_cp(B41)</f>
        <v>26.95</v>
      </c>
      <c r="D41" s="103">
        <v>684.4</v>
      </c>
      <c r="E41" s="102">
        <v>-1.4624999999999999E-2</v>
      </c>
      <c r="F41" s="98">
        <v>1.2253155491898666</v>
      </c>
      <c r="G41" s="98">
        <v>1.0456730060445232</v>
      </c>
      <c r="H41" s="98">
        <v>0.82676975114762019</v>
      </c>
      <c r="I41" s="92">
        <v>0.27484143763213531</v>
      </c>
      <c r="J41" s="92">
        <v>23.65</v>
      </c>
      <c r="K41" s="92">
        <v>30.15</v>
      </c>
      <c r="L41" s="92">
        <v>0.13953488372093026</v>
      </c>
      <c r="M41" s="92">
        <v>-0.10613598673300163</v>
      </c>
      <c r="N41" s="92"/>
      <c r="O41" s="92">
        <f t="shared" si="6"/>
        <v>-1</v>
      </c>
      <c r="P41" s="92">
        <f t="shared" si="7"/>
        <v>0</v>
      </c>
      <c r="Q41" s="92">
        <f t="shared" si="8"/>
        <v>1</v>
      </c>
      <c r="T41" s="12" t="s">
        <v>756</v>
      </c>
      <c r="U41" s="115">
        <v>0</v>
      </c>
      <c r="V41" s="116">
        <v>0.93901979909988531</v>
      </c>
    </row>
    <row r="42" spans="1:22" x14ac:dyDescent="0.2">
      <c r="A42" s="314"/>
      <c r="B42" s="3" t="s">
        <v>1892</v>
      </c>
      <c r="C42" s="101" cm="1">
        <f t="array" ref="C42:M42">tinh_du_lieu_cp(B42)</f>
        <v>23.8</v>
      </c>
      <c r="D42" s="103">
        <v>1211.4000000000001</v>
      </c>
      <c r="E42" s="102">
        <v>-8.3330000000000001E-3</v>
      </c>
      <c r="F42" s="98">
        <v>0.45213884945398874</v>
      </c>
      <c r="G42" s="98">
        <v>1.0150817995910022</v>
      </c>
      <c r="H42" s="98">
        <v>0.43543325860843957</v>
      </c>
      <c r="I42" s="92">
        <v>0.13225058004640361</v>
      </c>
      <c r="J42" s="92">
        <v>21.55</v>
      </c>
      <c r="K42" s="92">
        <v>24.4</v>
      </c>
      <c r="L42" s="92">
        <v>0.10440835266821345</v>
      </c>
      <c r="M42" s="92">
        <v>-2.4590163934426142E-2</v>
      </c>
      <c r="N42" s="92"/>
      <c r="O42" s="92">
        <f t="shared" si="6"/>
        <v>-1</v>
      </c>
      <c r="P42" s="92">
        <f t="shared" si="7"/>
        <v>0</v>
      </c>
      <c r="Q42" s="92">
        <f t="shared" si="8"/>
        <v>1</v>
      </c>
      <c r="T42" s="12" t="s">
        <v>1275</v>
      </c>
      <c r="U42" s="115">
        <v>0</v>
      </c>
      <c r="V42" s="116">
        <v>0.34486893952372799</v>
      </c>
    </row>
    <row r="43" spans="1:22" x14ac:dyDescent="0.2">
      <c r="A43" s="314"/>
      <c r="B43" s="3" t="s">
        <v>1941</v>
      </c>
      <c r="C43" s="101">
        <f t="array" ref="C43:M43">tinh_du_lieu_cp(B43)</f>
        <v>5.48</v>
      </c>
      <c r="D43" s="103">
        <v>68.8</v>
      </c>
      <c r="E43" s="102">
        <v>0</v>
      </c>
      <c r="F43" s="98">
        <v>0.81062553556126815</v>
      </c>
      <c r="G43" s="98">
        <v>1.001766735679779</v>
      </c>
      <c r="H43" s="98">
        <v>1.1841652323580034</v>
      </c>
      <c r="I43" s="92">
        <v>0.12737642585551329</v>
      </c>
      <c r="J43" s="92">
        <v>5.26</v>
      </c>
      <c r="K43" s="92">
        <v>5.93</v>
      </c>
      <c r="L43" s="92">
        <v>4.1825095057034342E-2</v>
      </c>
      <c r="M43" s="92">
        <v>-7.5885328836424848E-2</v>
      </c>
      <c r="N43" s="92"/>
      <c r="O43" s="92">
        <f t="shared" ref="O43:O44" si="9">IF(E43&gt;0,1,IF(E43=0,0,-1))</f>
        <v>0</v>
      </c>
      <c r="P43" s="92">
        <f t="shared" ref="P43:P44" si="10">IF(O43=1,1,0)</f>
        <v>0</v>
      </c>
      <c r="Q43" s="92">
        <f t="shared" ref="Q43:Q44" si="11">IF(O43&lt;0,1,0)</f>
        <v>0</v>
      </c>
      <c r="T43" s="12" t="s">
        <v>361</v>
      </c>
      <c r="U43" s="115">
        <v>0</v>
      </c>
      <c r="V43" s="116">
        <v>1.1587651006711408</v>
      </c>
    </row>
    <row r="44" spans="1:22" x14ac:dyDescent="0.2">
      <c r="A44" s="314"/>
      <c r="B44" s="3" t="s">
        <v>2054</v>
      </c>
      <c r="C44" s="101">
        <f t="array" ref="C44:M44">tinh_du_lieu_cp(B44)</f>
        <v>5.51</v>
      </c>
      <c r="D44" s="103">
        <v>3.4</v>
      </c>
      <c r="E44" s="102">
        <v>-2.4778999999999999E-2</v>
      </c>
      <c r="F44" s="98">
        <v>6.1518216958631466E-2</v>
      </c>
      <c r="G44" s="98">
        <v>1.1391617550753108</v>
      </c>
      <c r="H44" s="98">
        <v>4.6853468075333027E-2</v>
      </c>
      <c r="I44" s="92">
        <v>0.48536585365853668</v>
      </c>
      <c r="J44" s="92">
        <v>4.0999999999999996</v>
      </c>
      <c r="K44" s="92">
        <v>6.09</v>
      </c>
      <c r="L44" s="92">
        <v>0.34390243902439033</v>
      </c>
      <c r="M44" s="92">
        <v>-9.5238095238095247E-2</v>
      </c>
      <c r="N44" s="92"/>
      <c r="O44" s="92">
        <f t="shared" si="9"/>
        <v>-1</v>
      </c>
      <c r="P44" s="92">
        <f t="shared" si="10"/>
        <v>0</v>
      </c>
      <c r="Q44" s="92">
        <f t="shared" si="11"/>
        <v>1</v>
      </c>
      <c r="T44" s="12" t="s">
        <v>2209</v>
      </c>
      <c r="U44" s="115">
        <v>0</v>
      </c>
      <c r="V44" s="116">
        <v>0</v>
      </c>
    </row>
    <row r="45" spans="1:22" x14ac:dyDescent="0.2">
      <c r="A45" s="314"/>
      <c r="B45" s="3" t="s">
        <v>2209</v>
      </c>
      <c r="C45" s="101">
        <f t="array" ref="C45:M45">tinh_du_lieu_cp(B45)</f>
        <v>21</v>
      </c>
      <c r="D45" s="103">
        <v>0</v>
      </c>
      <c r="E45" s="102">
        <v>0</v>
      </c>
      <c r="F45" s="98">
        <v>0</v>
      </c>
      <c r="G45" s="98">
        <v>1.0283506112287744</v>
      </c>
      <c r="H45" s="98">
        <v>0</v>
      </c>
      <c r="I45" s="93">
        <v>0.2405405405405405</v>
      </c>
      <c r="J45" s="92">
        <v>18.5</v>
      </c>
      <c r="K45" s="92">
        <v>22.95</v>
      </c>
      <c r="L45" s="93">
        <v>0.13513513513513514</v>
      </c>
      <c r="M45" s="93">
        <v>-8.4967320261437884E-2</v>
      </c>
      <c r="N45" s="92"/>
      <c r="O45" s="92">
        <f t="shared" ref="O45:O49" si="12">IF(E45&gt;0,1,IF(E45=0,0,-1))</f>
        <v>0</v>
      </c>
      <c r="P45" s="92">
        <f t="shared" ref="P45:P49" si="13">IF(O45=1,1,0)</f>
        <v>0</v>
      </c>
      <c r="Q45" s="92">
        <f t="shared" ref="Q45:Q49" si="14">IF(O45&lt;0,1,0)</f>
        <v>0</v>
      </c>
      <c r="T45" s="12" t="s">
        <v>2718</v>
      </c>
      <c r="U45" s="115">
        <v>2.2989999999999998E-3</v>
      </c>
      <c r="V45" s="116">
        <v>0.90263076504069162</v>
      </c>
    </row>
    <row r="46" spans="1:22" x14ac:dyDescent="0.2">
      <c r="A46" s="314"/>
      <c r="B46" s="3" t="s">
        <v>2440</v>
      </c>
      <c r="C46" s="101">
        <f t="array" ref="C46:M46">tinh_du_lieu_cp(B46)</f>
        <v>3.72</v>
      </c>
      <c r="D46" s="103">
        <v>920.5</v>
      </c>
      <c r="E46" s="102">
        <v>-7.0000000000000007E-2</v>
      </c>
      <c r="F46" s="98">
        <v>0.62544589774078474</v>
      </c>
      <c r="G46" s="98">
        <v>0.94821111566297955</v>
      </c>
      <c r="H46" s="98">
        <v>0.44571594586524416</v>
      </c>
      <c r="I46" s="93">
        <v>0.27956989247311814</v>
      </c>
      <c r="J46" s="92">
        <v>3.72</v>
      </c>
      <c r="K46" s="92">
        <v>4.76</v>
      </c>
      <c r="L46" s="93">
        <v>0</v>
      </c>
      <c r="M46" s="93">
        <v>-0.21848739495798311</v>
      </c>
      <c r="N46" s="92"/>
      <c r="O46" s="92">
        <f t="shared" si="12"/>
        <v>-1</v>
      </c>
      <c r="P46" s="92">
        <f t="shared" si="13"/>
        <v>0</v>
      </c>
      <c r="Q46" s="92">
        <f t="shared" si="14"/>
        <v>1</v>
      </c>
      <c r="T46" s="12" t="s">
        <v>1273</v>
      </c>
      <c r="U46" s="115">
        <v>3.9369999999999995E-3</v>
      </c>
      <c r="V46" s="116">
        <v>0.58026655225877533</v>
      </c>
    </row>
    <row r="47" spans="1:22" x14ac:dyDescent="0.2">
      <c r="A47" s="314"/>
      <c r="B47" s="3" t="s">
        <v>2494</v>
      </c>
      <c r="C47" s="101">
        <f t="array" ref="C47:M47">tinh_du_lieu_cp(B47)</f>
        <v>60.4</v>
      </c>
      <c r="D47" s="103">
        <v>27.4</v>
      </c>
      <c r="E47" s="102">
        <v>-9.836000000000001E-3</v>
      </c>
      <c r="F47" s="98">
        <v>0.29874120329071263</v>
      </c>
      <c r="G47" s="98">
        <v>1.1076889471384888</v>
      </c>
      <c r="H47" s="98">
        <v>0.32998795664391811</v>
      </c>
      <c r="I47" s="93">
        <v>0.43212669683257904</v>
      </c>
      <c r="J47" s="92">
        <v>44.2</v>
      </c>
      <c r="K47" s="92">
        <v>63.3</v>
      </c>
      <c r="L47" s="93">
        <v>0.36651583710407226</v>
      </c>
      <c r="M47" s="93">
        <v>-4.5813586097946266E-2</v>
      </c>
      <c r="N47" s="92"/>
      <c r="O47" s="92">
        <f t="shared" si="12"/>
        <v>-1</v>
      </c>
      <c r="P47" s="92">
        <f t="shared" si="13"/>
        <v>0</v>
      </c>
      <c r="Q47" s="92">
        <f t="shared" si="14"/>
        <v>1</v>
      </c>
      <c r="T47" s="12" t="s">
        <v>1573</v>
      </c>
      <c r="U47" s="115">
        <v>4.6509999999999998E-3</v>
      </c>
      <c r="V47" s="116">
        <v>0.65884154489573321</v>
      </c>
    </row>
    <row r="48" spans="1:22" x14ac:dyDescent="0.2">
      <c r="A48" s="314"/>
      <c r="B48" s="3" t="s">
        <v>2718</v>
      </c>
      <c r="C48" s="101">
        <f t="array" ref="C48:M48">tinh_du_lieu_cp(B48)</f>
        <v>21.8</v>
      </c>
      <c r="D48" s="103">
        <v>7999.2</v>
      </c>
      <c r="E48" s="102">
        <v>2.2989999999999998E-3</v>
      </c>
      <c r="F48" s="98">
        <v>0.90263076504069162</v>
      </c>
      <c r="G48" s="98">
        <v>1.020675150607778</v>
      </c>
      <c r="H48" s="98">
        <v>0.89067371359007108</v>
      </c>
      <c r="I48" s="93">
        <v>0.27536231884057971</v>
      </c>
      <c r="J48" s="92">
        <v>17.25</v>
      </c>
      <c r="K48" s="92">
        <v>22</v>
      </c>
      <c r="L48" s="93">
        <v>0.26376811594202904</v>
      </c>
      <c r="M48" s="93">
        <v>-9.0909090909090592E-3</v>
      </c>
      <c r="N48" s="92"/>
      <c r="O48" s="92">
        <f t="shared" si="12"/>
        <v>1</v>
      </c>
      <c r="P48" s="92">
        <f t="shared" si="13"/>
        <v>1</v>
      </c>
      <c r="Q48" s="92">
        <f t="shared" si="14"/>
        <v>0</v>
      </c>
      <c r="T48" s="12" t="s">
        <v>750</v>
      </c>
      <c r="U48" s="115">
        <v>1.4607000000000002E-2</v>
      </c>
      <c r="V48" s="116">
        <v>0.37269661244590363</v>
      </c>
    </row>
    <row r="49" spans="1:22" x14ac:dyDescent="0.2">
      <c r="A49" s="315"/>
      <c r="B49" s="3" t="s">
        <v>2846</v>
      </c>
      <c r="C49" s="101">
        <f t="array" ref="C49:M49">tinh_du_lieu_cp(B49)</f>
        <v>2.88</v>
      </c>
      <c r="D49" s="103">
        <v>199.2</v>
      </c>
      <c r="E49" s="102">
        <v>-1.7065E-2</v>
      </c>
      <c r="F49" s="98">
        <v>0.70950507552576625</v>
      </c>
      <c r="G49" s="98">
        <v>0.91795738289683648</v>
      </c>
      <c r="H49" s="98">
        <v>0.42872515962407637</v>
      </c>
      <c r="I49" s="93">
        <v>0.26041666666666669</v>
      </c>
      <c r="J49" s="92">
        <v>2.88</v>
      </c>
      <c r="K49" s="92">
        <v>3.63</v>
      </c>
      <c r="L49" s="93">
        <v>0</v>
      </c>
      <c r="M49" s="93">
        <v>-0.20661157024793389</v>
      </c>
      <c r="N49" s="92"/>
      <c r="O49" s="92">
        <f t="shared" si="12"/>
        <v>-1</v>
      </c>
      <c r="P49" s="92">
        <f t="shared" si="13"/>
        <v>0</v>
      </c>
      <c r="Q49" s="92">
        <f t="shared" si="14"/>
        <v>1</v>
      </c>
      <c r="T49" s="12" t="s">
        <v>3051</v>
      </c>
      <c r="U49" s="115">
        <v>-0.23893500000000001</v>
      </c>
      <c r="V49" s="116">
        <v>14.684749880525789</v>
      </c>
    </row>
    <row r="50" spans="1:22" x14ac:dyDescent="0.2">
      <c r="B50" s="3" t="s">
        <v>1835</v>
      </c>
      <c r="C50" s="101" cm="1">
        <f t="array" ref="C50:M50">tinh_du_lieu_cp(B50)</f>
        <v>235</v>
      </c>
      <c r="D50" s="103">
        <v>9.1</v>
      </c>
      <c r="E50" s="102">
        <v>-2.3681000000000001E-2</v>
      </c>
      <c r="F50" s="98">
        <v>0.18622736109689964</v>
      </c>
      <c r="G50" s="98">
        <v>1.0555636687320498</v>
      </c>
      <c r="H50" s="98">
        <v>0.13901053017495979</v>
      </c>
      <c r="I50" s="93">
        <v>0.19500000000000001</v>
      </c>
      <c r="J50" s="92">
        <v>200</v>
      </c>
      <c r="K50" s="92">
        <v>239</v>
      </c>
      <c r="L50" s="93">
        <v>0.17499999999999999</v>
      </c>
      <c r="M50" s="93">
        <v>-1.6736401673640166E-2</v>
      </c>
      <c r="N50" s="92"/>
      <c r="O50" s="92">
        <f t="shared" ref="O50" si="15">IF(E50&gt;0,1,IF(E50=0,0,-1))</f>
        <v>-1</v>
      </c>
      <c r="P50" s="92">
        <f t="shared" ref="P50" si="16">IF(O50=1,1,0)</f>
        <v>0</v>
      </c>
      <c r="Q50" s="92">
        <f t="shared" ref="Q50" si="17">IF(O50&lt;0,1,0)</f>
        <v>1</v>
      </c>
    </row>
  </sheetData>
  <mergeCells count="16">
    <mergeCell ref="N18:N19"/>
    <mergeCell ref="I18:I19"/>
    <mergeCell ref="J18:J19"/>
    <mergeCell ref="K18:K19"/>
    <mergeCell ref="L18:L19"/>
    <mergeCell ref="M18:M19"/>
    <mergeCell ref="A20:A49"/>
    <mergeCell ref="F14:G14"/>
    <mergeCell ref="H18:H19"/>
    <mergeCell ref="A18:A19"/>
    <mergeCell ref="B18:B19"/>
    <mergeCell ref="C18:C19"/>
    <mergeCell ref="D18:D19"/>
    <mergeCell ref="E18:E19"/>
    <mergeCell ref="F18:F19"/>
    <mergeCell ref="G18:G19"/>
  </mergeCells>
  <conditionalFormatting sqref="A14 O36">
    <cfRule type="expression" dxfId="86" priority="186" stopIfTrue="1">
      <formula>A14="giảm"</formula>
    </cfRule>
    <cfRule type="expression" dxfId="85" priority="187" stopIfTrue="1">
      <formula>A14="tăng"</formula>
    </cfRule>
  </conditionalFormatting>
  <conditionalFormatting sqref="O29:O30">
    <cfRule type="expression" dxfId="84" priority="184" stopIfTrue="1">
      <formula>O29="giảm"</formula>
    </cfRule>
    <cfRule type="expression" dxfId="83" priority="185" stopIfTrue="1">
      <formula>O29="tăng"</formula>
    </cfRule>
  </conditionalFormatting>
  <conditionalFormatting sqref="G31:G36 G20:G27 G45:G50">
    <cfRule type="expression" dxfId="82" priority="171" stopIfTrue="1">
      <formula>G20&gt;2</formula>
    </cfRule>
    <cfRule type="expression" dxfId="81" priority="172" stopIfTrue="1">
      <formula>AND(G20&gt;0.5, G20&lt;1)</formula>
    </cfRule>
    <cfRule type="expression" dxfId="80" priority="173" stopIfTrue="1">
      <formula>G20&lt;=0.5</formula>
    </cfRule>
    <cfRule type="expression" dxfId="79" priority="174" stopIfTrue="1">
      <formula>AND(G20&gt;=1,G20&lt;2)</formula>
    </cfRule>
  </conditionalFormatting>
  <conditionalFormatting sqref="G28">
    <cfRule type="expression" dxfId="78" priority="167" stopIfTrue="1">
      <formula>G28&gt;2</formula>
    </cfRule>
    <cfRule type="expression" dxfId="77" priority="168" stopIfTrue="1">
      <formula>AND(G28&gt;0.5, G28&lt;1)</formula>
    </cfRule>
    <cfRule type="expression" dxfId="76" priority="169" stopIfTrue="1">
      <formula>G28&lt;=0.5</formula>
    </cfRule>
    <cfRule type="expression" dxfId="75" priority="170" stopIfTrue="1">
      <formula>AND(G28&gt;=1,G28&lt;2)</formula>
    </cfRule>
  </conditionalFormatting>
  <conditionalFormatting sqref="G29:G30">
    <cfRule type="expression" dxfId="74" priority="163" stopIfTrue="1">
      <formula>G29&gt;2</formula>
    </cfRule>
    <cfRule type="expression" dxfId="73" priority="164" stopIfTrue="1">
      <formula>AND(G29&gt;0.5, G29&lt;1)</formula>
    </cfRule>
    <cfRule type="expression" dxfId="72" priority="165" stopIfTrue="1">
      <formula>G29&lt;=0.5</formula>
    </cfRule>
    <cfRule type="expression" dxfId="71" priority="166" stopIfTrue="1">
      <formula>AND(G29&gt;=1,G29&lt;2)</formula>
    </cfRule>
  </conditionalFormatting>
  <conditionalFormatting sqref="H31:H36 H20:H27 H45:H50">
    <cfRule type="expression" dxfId="70" priority="159" stopIfTrue="1">
      <formula>H20&gt;=2</formula>
    </cfRule>
    <cfRule type="expression" dxfId="69" priority="160" stopIfTrue="1">
      <formula>AND(H20&gt;=1,H20&lt;2)</formula>
    </cfRule>
    <cfRule type="expression" dxfId="68" priority="161" stopIfTrue="1">
      <formula>AND(H20&gt;0.5, H20&lt;1)</formula>
    </cfRule>
    <cfRule type="expression" dxfId="67" priority="162" stopIfTrue="1">
      <formula>H20&lt;=0.5</formula>
    </cfRule>
  </conditionalFormatting>
  <conditionalFormatting sqref="H28">
    <cfRule type="expression" dxfId="66" priority="155" stopIfTrue="1">
      <formula>H28&gt;=2</formula>
    </cfRule>
    <cfRule type="expression" dxfId="65" priority="156" stopIfTrue="1">
      <formula>AND(H28&gt;=1,H28&lt;2)</formula>
    </cfRule>
    <cfRule type="expression" dxfId="64" priority="157" stopIfTrue="1">
      <formula>AND(H28&gt;0.5, H28&lt;1)</formula>
    </cfRule>
    <cfRule type="expression" dxfId="63" priority="158" stopIfTrue="1">
      <formula>H28&lt;=0.5</formula>
    </cfRule>
  </conditionalFormatting>
  <conditionalFormatting sqref="H29:H30">
    <cfRule type="expression" dxfId="62" priority="151" stopIfTrue="1">
      <formula>H29&gt;=2</formula>
    </cfRule>
    <cfRule type="expression" dxfId="61" priority="152" stopIfTrue="1">
      <formula>AND(H29&gt;=1,H29&lt;2)</formula>
    </cfRule>
    <cfRule type="expression" dxfId="60" priority="153" stopIfTrue="1">
      <formula>AND(H29&gt;0.5, H29&lt;1)</formula>
    </cfRule>
    <cfRule type="expression" dxfId="59" priority="154" stopIfTrue="1">
      <formula>H29&lt;=0.5</formula>
    </cfRule>
  </conditionalFormatting>
  <conditionalFormatting sqref="H20:H36 H45:H50">
    <cfRule type="expression" dxfId="58" priority="141" stopIfTrue="1">
      <formula>H20&gt;=2</formula>
    </cfRule>
    <cfRule type="expression" dxfId="57" priority="142" stopIfTrue="1">
      <formula>AND(H20&gt;=1,H20&lt;2)</formula>
    </cfRule>
    <cfRule type="expression" dxfId="56" priority="143" stopIfTrue="1">
      <formula>AND(H20&gt;0.5, H20&lt;1)</formula>
    </cfRule>
    <cfRule type="expression" dxfId="55" priority="144" stopIfTrue="1">
      <formula>H20&lt;=0.5</formula>
    </cfRule>
    <cfRule type="expression" dxfId="54" priority="145" stopIfTrue="1">
      <formula>H20&gt;=2</formula>
    </cfRule>
  </conditionalFormatting>
  <conditionalFormatting sqref="G20:G36 G45:G50">
    <cfRule type="expression" dxfId="53" priority="146" stopIfTrue="1">
      <formula>G20&gt;2</formula>
    </cfRule>
    <cfRule type="expression" dxfId="52" priority="147" stopIfTrue="1">
      <formula>AND(G20&gt;0.5, G20&lt;1)</formula>
    </cfRule>
    <cfRule type="expression" dxfId="51" priority="148" stopIfTrue="1">
      <formula>G20&lt;=0.5</formula>
    </cfRule>
    <cfRule type="expression" dxfId="50" priority="149" stopIfTrue="1">
      <formula>AND(G20&gt;=1,G20&lt;2)</formula>
    </cfRule>
    <cfRule type="expression" dxfId="49" priority="150" stopIfTrue="1">
      <formula>G20&gt;2</formula>
    </cfRule>
  </conditionalFormatting>
  <conditionalFormatting sqref="F20:H49">
    <cfRule type="expression" dxfId="48" priority="121" stopIfTrue="1">
      <formula>F20&lt;0</formula>
    </cfRule>
    <cfRule type="expression" dxfId="47" priority="122" stopIfTrue="1">
      <formula>F20=1</formula>
    </cfRule>
    <cfRule type="expression" dxfId="46" priority="123" stopIfTrue="1">
      <formula>AND(F20&lt;1,F20&gt;0)</formula>
    </cfRule>
    <cfRule type="expression" dxfId="45" priority="124" stopIfTrue="1">
      <formula>AND(F20&lt;2,F20&gt;1)</formula>
    </cfRule>
    <cfRule type="expression" dxfId="44" priority="125" stopIfTrue="1">
      <formula>F20&gt;=2</formula>
    </cfRule>
  </conditionalFormatting>
  <conditionalFormatting sqref="C20:C50">
    <cfRule type="expression" dxfId="43" priority="98" stopIfTrue="1">
      <formula>E20&gt;=6.8%</formula>
    </cfRule>
    <cfRule type="expression" dxfId="42" priority="99" stopIfTrue="1">
      <formula>AND(E20&gt;0%,E20&lt;6.8%)</formula>
    </cfRule>
    <cfRule type="expression" dxfId="41" priority="100" stopIfTrue="1">
      <formula>E20=0%</formula>
    </cfRule>
    <cfRule type="expression" dxfId="40" priority="101" stopIfTrue="1">
      <formula>AND(E20&gt;-6.8%, E20&lt;0%)</formula>
    </cfRule>
    <cfRule type="expression" dxfId="39" priority="102" stopIfTrue="1">
      <formula>E20&lt;=-6.8%</formula>
    </cfRule>
  </conditionalFormatting>
  <conditionalFormatting sqref="B20:B50">
    <cfRule type="expression" dxfId="38" priority="108" stopIfTrue="1">
      <formula>E20&gt;=6.8%</formula>
    </cfRule>
    <cfRule type="expression" dxfId="37" priority="109" stopIfTrue="1">
      <formula>AND(E20&gt;0%,E20&lt;6.8%)</formula>
    </cfRule>
    <cfRule type="expression" dxfId="36" priority="110" stopIfTrue="1">
      <formula>E20=0%</formula>
    </cfRule>
    <cfRule type="expression" dxfId="35" priority="111" stopIfTrue="1">
      <formula>AND(E20&gt;-6.8%, E20&lt;0%)</formula>
    </cfRule>
    <cfRule type="expression" dxfId="34" priority="112" stopIfTrue="1">
      <formula>E20&lt;=-6.8%</formula>
    </cfRule>
  </conditionalFormatting>
  <conditionalFormatting sqref="D20:D50">
    <cfRule type="expression" dxfId="33" priority="93" stopIfTrue="1">
      <formula>D20&gt;20000</formula>
    </cfRule>
    <cfRule type="expression" dxfId="32" priority="94" stopIfTrue="1">
      <formula>AND(D20&gt;10000,D20&lt;=20000)</formula>
    </cfRule>
    <cfRule type="expression" dxfId="31" priority="95" stopIfTrue="1">
      <formula>AND(D20&gt;1000,D20&lt;=10000)</formula>
    </cfRule>
    <cfRule type="expression" dxfId="30" priority="96" stopIfTrue="1">
      <formula>AND(D20&gt;200,D20&lt;=1000)</formula>
    </cfRule>
    <cfRule type="expression" dxfId="29" priority="97" stopIfTrue="1">
      <formula>D20&lt;=200</formula>
    </cfRule>
  </conditionalFormatting>
  <conditionalFormatting sqref="E20:E50">
    <cfRule type="expression" dxfId="28" priority="103" stopIfTrue="1">
      <formula>E20&gt;=6.8%</formula>
    </cfRule>
    <cfRule type="expression" dxfId="27" priority="104" stopIfTrue="1">
      <formula>AND(E20&gt;0%,E20&lt;6.8%)</formula>
    </cfRule>
    <cfRule type="expression" dxfId="26" priority="105" stopIfTrue="1">
      <formula>E20=0%</formula>
    </cfRule>
    <cfRule type="expression" dxfId="25" priority="106" stopIfTrue="1">
      <formula>AND(E20&gt;-6.8%, E20&lt;0%)</formula>
    </cfRule>
    <cfRule type="expression" dxfId="24" priority="107" stopIfTrue="1">
      <formula>E20&lt;=-6.8%</formula>
    </cfRule>
  </conditionalFormatting>
  <conditionalFormatting sqref="C3:C7">
    <cfRule type="expression" dxfId="23" priority="41" stopIfTrue="1">
      <formula>H3="giảm"</formula>
    </cfRule>
    <cfRule type="expression" dxfId="22" priority="42" stopIfTrue="1">
      <formula>H3="tăng"</formula>
    </cfRule>
  </conditionalFormatting>
  <conditionalFormatting sqref="H3:H7">
    <cfRule type="expression" dxfId="21" priority="39" stopIfTrue="1">
      <formula>H3="giảm"</formula>
    </cfRule>
    <cfRule type="expression" dxfId="20" priority="40" stopIfTrue="1">
      <formula>H3="tăng"</formula>
    </cfRule>
  </conditionalFormatting>
  <conditionalFormatting sqref="B3:B7">
    <cfRule type="expression" dxfId="19" priority="43" stopIfTrue="1">
      <formula>H3="giảm"</formula>
    </cfRule>
    <cfRule type="expression" dxfId="18" priority="44" stopIfTrue="1">
      <formula>H3="tăng"</formula>
    </cfRule>
  </conditionalFormatting>
  <conditionalFormatting sqref="A3:A7">
    <cfRule type="expression" dxfId="17" priority="47" stopIfTrue="1">
      <formula>H3="giảm"</formula>
    </cfRule>
    <cfRule type="expression" dxfId="16" priority="48" stopIfTrue="1">
      <formula>H3="tăng"</formula>
    </cfRule>
  </conditionalFormatting>
  <conditionalFormatting sqref="G3:G7">
    <cfRule type="expression" dxfId="15" priority="36" stopIfTrue="1">
      <formula>G3=0</formula>
    </cfRule>
    <cfRule type="expression" dxfId="14" priority="37" stopIfTrue="1">
      <formula>G3&lt;0</formula>
    </cfRule>
    <cfRule type="expression" dxfId="13" priority="38" stopIfTrue="1">
      <formula>G3&gt;0</formula>
    </cfRule>
  </conditionalFormatting>
  <conditionalFormatting sqref="E3:E7">
    <cfRule type="expression" dxfId="12" priority="34" stopIfTrue="1">
      <formula>H3="tăng"</formula>
    </cfRule>
    <cfRule type="expression" dxfId="11" priority="35" stopIfTrue="1">
      <formula>H3="giảm"</formula>
    </cfRule>
  </conditionalFormatting>
  <conditionalFormatting sqref="F3:F7">
    <cfRule type="expression" dxfId="10" priority="32" stopIfTrue="1">
      <formula>H3="tăng"</formula>
    </cfRule>
    <cfRule type="expression" dxfId="9" priority="33" stopIfTrue="1">
      <formula>H3="giảm"</formula>
    </cfRule>
  </conditionalFormatting>
  <conditionalFormatting sqref="D3:D7">
    <cfRule type="expression" dxfId="8" priority="30" stopIfTrue="1">
      <formula>H3="giảm"</formula>
    </cfRule>
    <cfRule type="expression" dxfId="7" priority="31" stopIfTrue="1">
      <formula>H3="tăng"</formula>
    </cfRule>
  </conditionalFormatting>
  <conditionalFormatting sqref="F45:F50">
    <cfRule type="colorScale" priority="1481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F20:F36">
    <cfRule type="colorScale" priority="1523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50">
    <cfRule type="colorScale" priority="15299">
      <colorScale>
        <cfvo type="min"/>
        <cfvo type="max"/>
        <color theme="0" tint="-4.9989318521683403E-2"/>
        <color rgb="FF00B050"/>
      </colorScale>
    </cfRule>
  </conditionalFormatting>
  <conditionalFormatting sqref="L20:L50">
    <cfRule type="colorScale" priority="15302">
      <colorScale>
        <cfvo type="min"/>
        <cfvo type="max"/>
        <color theme="0" tint="-4.9989318521683403E-2"/>
        <color rgb="FF00B050"/>
      </colorScale>
    </cfRule>
  </conditionalFormatting>
  <conditionalFormatting sqref="M20:M50">
    <cfRule type="colorScale" priority="15305">
      <colorScale>
        <cfvo type="min"/>
        <cfvo type="max"/>
        <color rgb="FFFF7C80"/>
        <color theme="0" tint="-4.9989318521683403E-2"/>
      </colorScale>
    </cfRule>
  </conditionalFormatting>
  <conditionalFormatting sqref="F50:H50">
    <cfRule type="expression" dxfId="6" priority="1" stopIfTrue="1">
      <formula>F50&lt;0</formula>
    </cfRule>
    <cfRule type="expression" dxfId="5" priority="2" stopIfTrue="1">
      <formula>F50=1</formula>
    </cfRule>
    <cfRule type="expression" dxfId="4" priority="3" stopIfTrue="1">
      <formula>AND(F50&lt;1,F50&gt;0)</formula>
    </cfRule>
    <cfRule type="expression" dxfId="3" priority="4" stopIfTrue="1">
      <formula>AND(F50&lt;2,F50&gt;1)</formula>
    </cfRule>
    <cfRule type="expression" dxfId="2" priority="5" stopIfTrue="1">
      <formula>F50&gt;=2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B58B65-7BF0-4A1D-B7AD-1971EBBF5971}">
          <x14:formula1>
            <xm:f>'Nơi chứ dữ liệu'!$I$2:$K$2</xm:f>
          </x14:formula1>
          <xm:sqref>N20:N50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2A77E-EDE1-474B-8086-304916F9A3A5}">
  <sheetPr codeName="Sheet3"/>
  <dimension ref="A1:L117"/>
  <sheetViews>
    <sheetView zoomScaleNormal="100" workbookViewId="0">
      <selection activeCell="A5" sqref="A5"/>
    </sheetView>
  </sheetViews>
  <sheetFormatPr defaultRowHeight="15" x14ac:dyDescent="0.2"/>
  <cols>
    <col min="1" max="1" width="3.44140625" customWidth="1"/>
    <col min="2" max="2" width="44.109375" customWidth="1"/>
    <col min="3" max="8" width="19.6640625" style="23" bestFit="1" customWidth="1"/>
    <col min="9" max="10" width="17.109375" style="23" bestFit="1" customWidth="1"/>
    <col min="11" max="11" width="12.6640625" customWidth="1"/>
    <col min="12" max="12" width="16" bestFit="1" customWidth="1"/>
    <col min="14" max="14" width="9.21875" customWidth="1"/>
    <col min="15" max="15" width="12.109375" customWidth="1"/>
  </cols>
  <sheetData>
    <row r="1" spans="1:12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2" x14ac:dyDescent="0.2">
      <c r="C2" s="28" t="str">
        <f>CANSLIM!E1</f>
        <v>AAA</v>
      </c>
      <c r="D2" s="3" t="s">
        <v>98</v>
      </c>
      <c r="E2" s="3">
        <f>CANSLIM!E2</f>
        <v>2024</v>
      </c>
      <c r="F2" s="28" t="str">
        <f>CANSLIM!$D$2</f>
        <v>YEAR</v>
      </c>
    </row>
    <row r="3" spans="1:12" x14ac:dyDescent="0.2">
      <c r="C3" s="17" t="str">
        <f t="shared" ref="C3:I3" si="0">IF(NOT(ISBLANK(C4)), TEXT(C4, "dd-mm-yyyy"), "")</f>
        <v>31-12-2017</v>
      </c>
      <c r="D3" s="17" t="str">
        <f t="shared" si="0"/>
        <v>31-12-2018</v>
      </c>
      <c r="E3" s="17" t="str">
        <f t="shared" si="0"/>
        <v>31-12-2019</v>
      </c>
      <c r="F3" s="17" t="str">
        <f t="shared" si="0"/>
        <v>31-12-2020</v>
      </c>
      <c r="G3" s="17" t="str">
        <f t="shared" si="0"/>
        <v>31-12-2021</v>
      </c>
      <c r="H3" s="17" t="str">
        <f t="shared" si="0"/>
        <v>31-12-2022</v>
      </c>
      <c r="I3" s="17" t="str">
        <f t="shared" si="0"/>
        <v>31-12-2023</v>
      </c>
      <c r="J3" s="17" t="str">
        <f>IF(NOT(ISBLANK(J4)), TEXT(J4, "dd-mm-yyyy"), "")</f>
        <v>31-12-2024</v>
      </c>
    </row>
    <row r="4" spans="1:12" s="21" customFormat="1" ht="15.75" x14ac:dyDescent="0.25">
      <c r="A4" s="5" t="str" cm="1">
        <f t="array" ref="A4:J117">report_finance_vnd(C2,D2,E2,F2)</f>
        <v/>
      </c>
      <c r="B4" s="5" t="str">
        <v>AAA</v>
      </c>
      <c r="C4" s="22" t="str">
        <v>2017-12-31</v>
      </c>
      <c r="D4" s="22" t="str">
        <v>2018-12-31</v>
      </c>
      <c r="E4" s="22" t="str">
        <v>2019-12-31</v>
      </c>
      <c r="F4" s="22" t="str">
        <v>2020-12-31</v>
      </c>
      <c r="G4" s="22" t="str">
        <v>2021-12-31</v>
      </c>
      <c r="H4" s="22" t="str">
        <v>2022-12-31</v>
      </c>
      <c r="I4" s="22" t="str">
        <v>2023-12-31</v>
      </c>
      <c r="J4" s="22" t="str">
        <v>2024-12-31</v>
      </c>
    </row>
    <row r="5" spans="1:12" x14ac:dyDescent="0.2">
      <c r="A5">
        <v>0</v>
      </c>
      <c r="B5" t="str">
        <v>Tài sản ngắn hạn</v>
      </c>
      <c r="C5" s="23">
        <v>2142716548893</v>
      </c>
      <c r="D5" s="23">
        <v>3989369447153</v>
      </c>
      <c r="E5" s="23">
        <v>4971363590401</v>
      </c>
      <c r="F5" s="23">
        <v>4496050828524</v>
      </c>
      <c r="G5" s="23">
        <v>5354610509760</v>
      </c>
      <c r="H5" s="23">
        <v>5658759199548</v>
      </c>
      <c r="I5" s="23">
        <v>5681580248153</v>
      </c>
      <c r="J5" s="23">
        <v>6441856215121</v>
      </c>
    </row>
    <row r="6" spans="1:12" x14ac:dyDescent="0.2">
      <c r="A6">
        <v>1</v>
      </c>
      <c r="B6" t="str">
        <v>Tiền và các khoản tương đương tiền</v>
      </c>
      <c r="C6" s="23">
        <v>509577636533</v>
      </c>
      <c r="D6" s="23">
        <v>645474843425</v>
      </c>
      <c r="E6" s="23">
        <v>291674680985</v>
      </c>
      <c r="F6" s="23">
        <v>963717122052</v>
      </c>
      <c r="G6" s="23">
        <v>1988170740182</v>
      </c>
      <c r="H6" s="23">
        <v>1642978052440</v>
      </c>
      <c r="I6" s="23">
        <v>2435058282483</v>
      </c>
      <c r="J6" s="23">
        <v>2419517905105</v>
      </c>
    </row>
    <row r="7" spans="1:12" x14ac:dyDescent="0.2">
      <c r="A7">
        <v>2</v>
      </c>
      <c r="B7" t="str">
        <v>Tiền</v>
      </c>
      <c r="C7" s="23">
        <v>120809634969</v>
      </c>
      <c r="D7" s="23">
        <v>217635249378</v>
      </c>
      <c r="E7" s="23">
        <v>233349201535</v>
      </c>
      <c r="F7" s="23">
        <v>237314356418</v>
      </c>
      <c r="G7" s="23">
        <v>1156983447299</v>
      </c>
      <c r="H7" s="23">
        <v>1228628689780</v>
      </c>
      <c r="I7" s="23">
        <v>1298774919831</v>
      </c>
      <c r="J7" s="23">
        <v>1652054574062</v>
      </c>
    </row>
    <row r="8" spans="1:12" x14ac:dyDescent="0.2">
      <c r="A8">
        <v>3</v>
      </c>
      <c r="B8" t="str">
        <v>Các khoản tương đương tiền</v>
      </c>
      <c r="C8" s="23">
        <v>388768001564</v>
      </c>
      <c r="D8" s="23">
        <v>427839594047</v>
      </c>
      <c r="E8" s="23">
        <v>58325479450</v>
      </c>
      <c r="F8" s="23">
        <v>726402765634</v>
      </c>
      <c r="G8" s="23">
        <v>831187292883</v>
      </c>
      <c r="H8" s="23">
        <v>414349362660</v>
      </c>
      <c r="I8" s="23">
        <v>1136283362652</v>
      </c>
      <c r="J8" s="23">
        <v>767463331043</v>
      </c>
    </row>
    <row r="9" spans="1:12" x14ac:dyDescent="0.2">
      <c r="A9">
        <v>4</v>
      </c>
      <c r="B9" t="str">
        <v>Các khoản đầu tư tài chính ngắn hạn</v>
      </c>
      <c r="C9" s="23">
        <v>50000000000</v>
      </c>
      <c r="D9" s="23">
        <v>720906460274</v>
      </c>
      <c r="E9" s="23">
        <v>1251822102192</v>
      </c>
      <c r="F9" s="23">
        <v>758600000000</v>
      </c>
      <c r="G9" s="23">
        <v>436156000000</v>
      </c>
      <c r="H9" s="23">
        <v>448656000000</v>
      </c>
      <c r="I9" s="23">
        <v>1079609986000</v>
      </c>
      <c r="J9" s="23">
        <v>718639358712</v>
      </c>
    </row>
    <row r="10" spans="1:12" x14ac:dyDescent="0.2">
      <c r="A10">
        <v>5</v>
      </c>
      <c r="B10" t="str">
        <v>Đầu tư ngắn hạn</v>
      </c>
      <c r="C10" s="23">
        <v>0</v>
      </c>
      <c r="D10" s="23">
        <v>0</v>
      </c>
      <c r="E10" s="23">
        <v>59670020000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</row>
    <row r="11" spans="1:12" x14ac:dyDescent="0.2">
      <c r="A11">
        <v>6</v>
      </c>
      <c r="B11" t="str">
        <v>Dự phòng giảm giá đầu tư ngắn hạn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</row>
    <row r="12" spans="1:12" x14ac:dyDescent="0.2">
      <c r="A12">
        <v>7</v>
      </c>
      <c r="B12" t="str">
        <v>Đầu tư giữ đến ngày đáo hạn</v>
      </c>
      <c r="C12" s="23">
        <v>50000000000</v>
      </c>
      <c r="D12" s="23">
        <v>720906460274</v>
      </c>
      <c r="E12" s="23">
        <v>1192152082192</v>
      </c>
      <c r="F12" s="23">
        <v>758600000000</v>
      </c>
      <c r="G12" s="23">
        <v>436156000000</v>
      </c>
      <c r="H12" s="23">
        <v>448656000000</v>
      </c>
      <c r="I12" s="23">
        <v>1079609986000</v>
      </c>
      <c r="J12" s="23">
        <v>718639358712</v>
      </c>
      <c r="L12" s="23"/>
    </row>
    <row r="13" spans="1:12" x14ac:dyDescent="0.2">
      <c r="A13">
        <v>8</v>
      </c>
      <c r="B13" t="str">
        <v>Các khoản phải thu ngắn hạn</v>
      </c>
      <c r="C13" s="23">
        <v>961381022420</v>
      </c>
      <c r="D13" s="23">
        <v>1612785115376</v>
      </c>
      <c r="E13" s="23">
        <v>2079278885563</v>
      </c>
      <c r="F13" s="23">
        <v>1669170204812</v>
      </c>
      <c r="G13" s="23">
        <v>1795468441466</v>
      </c>
      <c r="H13" s="23">
        <v>1572889266273</v>
      </c>
      <c r="I13" s="23">
        <v>1204888211832</v>
      </c>
      <c r="J13" s="23">
        <v>1751231752702</v>
      </c>
    </row>
    <row r="14" spans="1:12" x14ac:dyDescent="0.2">
      <c r="A14">
        <v>9</v>
      </c>
      <c r="B14" t="str">
        <v>Phải thu khách hàng</v>
      </c>
      <c r="C14" s="23">
        <v>417516053153</v>
      </c>
      <c r="D14" s="23">
        <v>691606956768</v>
      </c>
      <c r="E14" s="23">
        <v>726708606479</v>
      </c>
      <c r="F14" s="23">
        <v>593031603446</v>
      </c>
      <c r="G14" s="23">
        <v>1136560751303</v>
      </c>
      <c r="H14" s="23">
        <v>1020327735573</v>
      </c>
      <c r="I14" s="23">
        <v>687000073407</v>
      </c>
      <c r="J14" s="23">
        <v>1205624866049</v>
      </c>
      <c r="L14" s="23"/>
    </row>
    <row r="15" spans="1:12" x14ac:dyDescent="0.2">
      <c r="A15">
        <v>10</v>
      </c>
      <c r="B15" t="str">
        <v>Trả trước cho người bán</v>
      </c>
      <c r="C15" s="23">
        <v>325870456358</v>
      </c>
      <c r="D15" s="23">
        <v>531565397491</v>
      </c>
      <c r="E15" s="23">
        <v>635624680580</v>
      </c>
      <c r="F15" s="23">
        <v>790942957319</v>
      </c>
      <c r="G15" s="23">
        <v>369721515275</v>
      </c>
      <c r="H15" s="23">
        <v>248850786806</v>
      </c>
      <c r="I15" s="23">
        <v>342180956924</v>
      </c>
      <c r="J15" s="23">
        <v>558692685221</v>
      </c>
    </row>
    <row r="16" spans="1:12" x14ac:dyDescent="0.2">
      <c r="A16">
        <v>11</v>
      </c>
      <c r="B16" t="str">
        <v>Phải thu nội bộ ngắn hạn</v>
      </c>
      <c r="C16" s="23">
        <v>0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</row>
    <row r="17" spans="1:10" x14ac:dyDescent="0.2">
      <c r="A17">
        <v>12</v>
      </c>
      <c r="B17" t="str">
        <v>Phải thu theo tiến độ kế hoạch hợp đồng xây dựng</v>
      </c>
      <c r="C17" s="23">
        <v>0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</row>
    <row r="18" spans="1:10" x14ac:dyDescent="0.2">
      <c r="A18">
        <v>13</v>
      </c>
      <c r="B18" t="str">
        <v>Phải thu về cho vay ngắn hạn</v>
      </c>
      <c r="C18" s="23">
        <v>129729000000</v>
      </c>
      <c r="D18" s="23">
        <v>293698169669</v>
      </c>
      <c r="E18" s="23">
        <v>536662966849</v>
      </c>
      <c r="F18" s="23">
        <v>42643890561</v>
      </c>
      <c r="G18" s="23">
        <v>84906400000</v>
      </c>
      <c r="H18" s="23">
        <v>176995600000</v>
      </c>
      <c r="I18" s="23">
        <v>62876744806</v>
      </c>
      <c r="J18" s="23">
        <v>1500000000</v>
      </c>
    </row>
    <row r="19" spans="1:10" x14ac:dyDescent="0.2">
      <c r="A19">
        <v>14</v>
      </c>
      <c r="B19" t="str">
        <v>Các khoản phải thu khác</v>
      </c>
      <c r="C19" s="23">
        <v>88265512909</v>
      </c>
      <c r="D19" s="23">
        <v>95914591448</v>
      </c>
      <c r="E19" s="23">
        <v>180282631655</v>
      </c>
      <c r="F19" s="23">
        <v>254298459186</v>
      </c>
      <c r="G19" s="23">
        <v>215105974668</v>
      </c>
      <c r="H19" s="23">
        <v>139270972657</v>
      </c>
      <c r="I19" s="23">
        <v>137946421270</v>
      </c>
      <c r="J19" s="23">
        <v>78642294603</v>
      </c>
    </row>
    <row r="20" spans="1:10" x14ac:dyDescent="0.2">
      <c r="A20">
        <v>15</v>
      </c>
      <c r="B20" t="str">
        <v>Dự phòng phải thu ngắn hạn khó đòi</v>
      </c>
      <c r="C20" s="23">
        <v>0</v>
      </c>
      <c r="D20" s="23">
        <v>0</v>
      </c>
      <c r="E20" s="23">
        <v>0</v>
      </c>
      <c r="F20" s="23">
        <v>-11746705700</v>
      </c>
      <c r="G20" s="23">
        <v>-10826199780</v>
      </c>
      <c r="H20" s="23">
        <v>-12555828763</v>
      </c>
      <c r="I20" s="23">
        <v>-25115984575</v>
      </c>
      <c r="J20" s="23">
        <v>-93228093171</v>
      </c>
    </row>
    <row r="21" spans="1:10" x14ac:dyDescent="0.2">
      <c r="A21">
        <v>16</v>
      </c>
      <c r="B21" t="str">
        <v>Tài sản thiếu chờ xử lý</v>
      </c>
      <c r="C21" s="23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</row>
    <row r="22" spans="1:10" x14ac:dyDescent="0.2">
      <c r="A22">
        <v>17</v>
      </c>
      <c r="B22" t="str">
        <v>Hàng tồn kho</v>
      </c>
      <c r="C22" s="23">
        <v>536681725193</v>
      </c>
      <c r="D22" s="23">
        <v>862749230434</v>
      </c>
      <c r="E22" s="23">
        <v>1221502966657</v>
      </c>
      <c r="F22" s="23">
        <v>946809379604</v>
      </c>
      <c r="G22" s="23">
        <v>997384835429</v>
      </c>
      <c r="H22" s="23">
        <v>1790091357848</v>
      </c>
      <c r="I22" s="23">
        <v>781680229197</v>
      </c>
      <c r="J22" s="23">
        <v>1352422066899</v>
      </c>
    </row>
    <row r="23" spans="1:10" x14ac:dyDescent="0.2">
      <c r="A23">
        <v>18</v>
      </c>
      <c r="B23" t="str">
        <v>Hàng tồn kho</v>
      </c>
      <c r="C23" s="23">
        <v>536681725193</v>
      </c>
      <c r="D23" s="23">
        <v>865499747965</v>
      </c>
      <c r="E23" s="23">
        <v>1221855436361</v>
      </c>
      <c r="F23" s="23">
        <v>947201357809</v>
      </c>
      <c r="G23" s="23">
        <v>997384835429</v>
      </c>
      <c r="H23" s="23">
        <v>1861071739241</v>
      </c>
      <c r="I23" s="23">
        <v>783390158893</v>
      </c>
      <c r="J23" s="23">
        <v>1354121823239</v>
      </c>
    </row>
    <row r="24" spans="1:10" x14ac:dyDescent="0.2">
      <c r="A24">
        <v>19</v>
      </c>
      <c r="B24" t="str">
        <v>Dự phòng giảm giá hàng tồn kho</v>
      </c>
      <c r="C24" s="23">
        <v>0</v>
      </c>
      <c r="D24" s="23">
        <v>-2750517531</v>
      </c>
      <c r="E24" s="23">
        <v>-352469704</v>
      </c>
      <c r="F24" s="23">
        <v>-391978205</v>
      </c>
      <c r="G24" s="23">
        <v>0</v>
      </c>
      <c r="H24" s="23">
        <v>-70980381393</v>
      </c>
      <c r="I24" s="23">
        <v>-1709929696</v>
      </c>
      <c r="J24" s="23">
        <v>-1699756340</v>
      </c>
    </row>
    <row r="25" spans="1:10" x14ac:dyDescent="0.2">
      <c r="A25">
        <v>20</v>
      </c>
      <c r="B25" t="str">
        <v>Tài sản ngắn hạn khác</v>
      </c>
      <c r="C25" s="23">
        <v>85076164747</v>
      </c>
      <c r="D25" s="23">
        <v>147453797644</v>
      </c>
      <c r="E25" s="23">
        <v>127084955004</v>
      </c>
      <c r="F25" s="23">
        <v>157754122056</v>
      </c>
      <c r="G25" s="23">
        <v>137430492683</v>
      </c>
      <c r="H25" s="23">
        <v>204144522987</v>
      </c>
      <c r="I25" s="23">
        <v>180343538641</v>
      </c>
      <c r="J25" s="23">
        <v>200045131703</v>
      </c>
    </row>
    <row r="26" spans="1:10" x14ac:dyDescent="0.2">
      <c r="A26">
        <v>21</v>
      </c>
      <c r="B26" t="str">
        <v>Chi phí trả trước ngắn hạn</v>
      </c>
      <c r="C26" s="23">
        <v>18897599281</v>
      </c>
      <c r="D26" s="23">
        <v>21081856490</v>
      </c>
      <c r="E26" s="23">
        <v>28345276355</v>
      </c>
      <c r="F26" s="23">
        <v>32032873971</v>
      </c>
      <c r="G26" s="23">
        <v>25561564271</v>
      </c>
      <c r="H26" s="23">
        <v>10079638639</v>
      </c>
      <c r="I26" s="23">
        <v>13138650715</v>
      </c>
      <c r="J26" s="23">
        <v>24215797751</v>
      </c>
    </row>
    <row r="27" spans="1:10" x14ac:dyDescent="0.2">
      <c r="A27">
        <v>22</v>
      </c>
      <c r="B27" t="str">
        <v>Thuế GTGT được khấu trừ</v>
      </c>
      <c r="C27" s="23">
        <v>65917582112</v>
      </c>
      <c r="D27" s="23">
        <v>123666085695</v>
      </c>
      <c r="E27" s="23">
        <v>97404425420</v>
      </c>
      <c r="F27" s="23">
        <v>124628269153</v>
      </c>
      <c r="G27" s="23">
        <v>111868928412</v>
      </c>
      <c r="H27" s="23">
        <v>183967466895</v>
      </c>
      <c r="I27" s="23">
        <v>164269427413</v>
      </c>
      <c r="J27" s="23">
        <v>175200958433</v>
      </c>
    </row>
    <row r="28" spans="1:10" x14ac:dyDescent="0.2">
      <c r="A28">
        <v>23</v>
      </c>
      <c r="B28" t="str">
        <v>Thuế và các khoản khác phải thu Nhà nước</v>
      </c>
      <c r="C28" s="23">
        <v>260983354</v>
      </c>
      <c r="D28" s="23">
        <v>2705855459</v>
      </c>
      <c r="E28" s="23">
        <v>1335253229</v>
      </c>
      <c r="F28" s="23">
        <v>1092978932</v>
      </c>
      <c r="G28" s="23">
        <v>0</v>
      </c>
      <c r="H28" s="23">
        <v>10097417453</v>
      </c>
      <c r="I28" s="23">
        <v>2935460513</v>
      </c>
      <c r="J28" s="23">
        <v>628375519</v>
      </c>
    </row>
    <row r="29" spans="1:10" x14ac:dyDescent="0.2">
      <c r="A29">
        <v>24</v>
      </c>
      <c r="B29" t="str">
        <v>Giao dịch mua bán lại trái phiếu chính phủ</v>
      </c>
      <c r="C29" s="23">
        <v>0</v>
      </c>
      <c r="D29" s="23">
        <v>0</v>
      </c>
      <c r="E29" s="23">
        <v>0</v>
      </c>
      <c r="F29" s="23">
        <v>0</v>
      </c>
      <c r="G29" s="23">
        <v>0</v>
      </c>
      <c r="H29" s="23">
        <v>0</v>
      </c>
      <c r="I29" s="23">
        <v>0</v>
      </c>
      <c r="J29" s="23">
        <v>0</v>
      </c>
    </row>
    <row r="30" spans="1:10" x14ac:dyDescent="0.2">
      <c r="A30">
        <v>25</v>
      </c>
      <c r="B30" t="str">
        <v>Tài sản ngắn hạn khác</v>
      </c>
      <c r="C30" s="23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</row>
    <row r="31" spans="1:10" x14ac:dyDescent="0.2">
      <c r="A31">
        <v>26</v>
      </c>
      <c r="B31" t="str">
        <v>Tài sản dài hạn</v>
      </c>
      <c r="C31" s="23">
        <v>2433440579906</v>
      </c>
      <c r="D31" s="23">
        <v>3539797275250</v>
      </c>
      <c r="E31" s="23">
        <v>3016090568130</v>
      </c>
      <c r="F31" s="23">
        <v>4073363572384</v>
      </c>
      <c r="G31" s="23">
        <v>4654916125531</v>
      </c>
      <c r="H31" s="23">
        <v>5137073482164</v>
      </c>
      <c r="I31" s="23">
        <v>5901865257763</v>
      </c>
      <c r="J31" s="23">
        <v>7306027379609</v>
      </c>
    </row>
    <row r="32" spans="1:10" x14ac:dyDescent="0.2">
      <c r="A32">
        <v>27</v>
      </c>
      <c r="B32" t="str">
        <v>Các khoản phải thu dài hạn</v>
      </c>
      <c r="C32" s="23">
        <v>0</v>
      </c>
      <c r="D32" s="23">
        <v>21384352467</v>
      </c>
      <c r="E32" s="23">
        <v>96367470288</v>
      </c>
      <c r="F32" s="23">
        <v>173910564469</v>
      </c>
      <c r="G32" s="23">
        <v>278966433205</v>
      </c>
      <c r="H32" s="23">
        <v>66843405856</v>
      </c>
      <c r="I32" s="23">
        <v>82297269278</v>
      </c>
      <c r="J32" s="23">
        <v>445612228000</v>
      </c>
    </row>
    <row r="33" spans="1:10" x14ac:dyDescent="0.2">
      <c r="A33">
        <v>28</v>
      </c>
      <c r="B33" t="str">
        <v>Phải thu dài hạn của khách hàng</v>
      </c>
      <c r="C33" s="23">
        <v>0</v>
      </c>
      <c r="D33" s="23">
        <v>0</v>
      </c>
      <c r="E33" s="23">
        <v>0</v>
      </c>
      <c r="F33" s="23">
        <v>42725601801</v>
      </c>
      <c r="G33" s="23">
        <v>217828798677</v>
      </c>
      <c r="H33" s="23">
        <v>50167619216</v>
      </c>
      <c r="I33" s="23">
        <v>0</v>
      </c>
      <c r="J33" s="23">
        <v>0</v>
      </c>
    </row>
    <row r="34" spans="1:10" x14ac:dyDescent="0.2">
      <c r="A34">
        <v>29</v>
      </c>
      <c r="B34" t="str">
        <v>Trả trước dài hạn người bán</v>
      </c>
      <c r="C34" s="23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</row>
    <row r="35" spans="1:10" x14ac:dyDescent="0.2">
      <c r="A35">
        <v>30</v>
      </c>
      <c r="B35" t="str">
        <v>Vốn kinh doanh ở đơn vị trực thuộc</v>
      </c>
      <c r="C35" s="23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</row>
    <row r="36" spans="1:10" x14ac:dyDescent="0.2">
      <c r="A36">
        <v>31</v>
      </c>
      <c r="B36" t="str">
        <v>Phải thu dài hạn nội bộ</v>
      </c>
      <c r="C36" s="23">
        <v>0</v>
      </c>
      <c r="D36" s="23">
        <v>0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</row>
    <row r="37" spans="1:10" x14ac:dyDescent="0.2">
      <c r="A37">
        <v>32</v>
      </c>
      <c r="B37" t="str">
        <v>Phải thu về cho vay dài hạn</v>
      </c>
      <c r="C37" s="23">
        <v>0</v>
      </c>
      <c r="D37" s="23">
        <v>0</v>
      </c>
      <c r="E37" s="23">
        <v>75700000000</v>
      </c>
      <c r="F37" s="23">
        <v>114055000000</v>
      </c>
      <c r="G37" s="23">
        <v>44699588400</v>
      </c>
      <c r="H37" s="23">
        <v>940160000</v>
      </c>
      <c r="I37" s="23">
        <v>77154150000</v>
      </c>
      <c r="J37" s="23">
        <v>358500000000</v>
      </c>
    </row>
    <row r="38" spans="1:10" x14ac:dyDescent="0.2">
      <c r="A38">
        <v>33</v>
      </c>
      <c r="B38" t="str">
        <v>Phải thu dài hạn khác</v>
      </c>
      <c r="C38" s="23">
        <v>0</v>
      </c>
      <c r="D38" s="23">
        <v>21384352467</v>
      </c>
      <c r="E38" s="23">
        <v>20667470288</v>
      </c>
      <c r="F38" s="23">
        <v>17129962668</v>
      </c>
      <c r="G38" s="23">
        <v>16438046128</v>
      </c>
      <c r="H38" s="23">
        <v>15735626640</v>
      </c>
      <c r="I38" s="23">
        <v>5143119278</v>
      </c>
      <c r="J38" s="23">
        <v>24787817968</v>
      </c>
    </row>
    <row r="39" spans="1:10" x14ac:dyDescent="0.2">
      <c r="A39">
        <v>34</v>
      </c>
      <c r="B39" t="str">
        <v>Dự phòng phải thu dài hạn khó đòi</v>
      </c>
      <c r="C39" s="23">
        <v>0</v>
      </c>
      <c r="D39" s="23">
        <v>0</v>
      </c>
      <c r="E39" s="23">
        <v>0</v>
      </c>
      <c r="F39" s="23">
        <v>0</v>
      </c>
      <c r="G39" s="23">
        <v>0</v>
      </c>
      <c r="H39" s="23">
        <v>0</v>
      </c>
      <c r="I39" s="23">
        <v>0</v>
      </c>
      <c r="J39" s="23">
        <v>62324410032</v>
      </c>
    </row>
    <row r="40" spans="1:10" x14ac:dyDescent="0.2">
      <c r="A40">
        <v>35</v>
      </c>
      <c r="B40" t="str">
        <v>Tài sản cố định</v>
      </c>
      <c r="C40" s="23">
        <v>2299486571152</v>
      </c>
      <c r="D40" s="23">
        <v>2198807465735</v>
      </c>
      <c r="E40" s="23">
        <v>2081103918415</v>
      </c>
      <c r="F40" s="23">
        <v>2325026613214</v>
      </c>
      <c r="G40" s="23">
        <v>2100839611952</v>
      </c>
      <c r="H40" s="23">
        <v>2077430539271</v>
      </c>
      <c r="I40" s="23">
        <v>2012981059510</v>
      </c>
      <c r="J40" s="23">
        <v>3037270806863</v>
      </c>
    </row>
    <row r="41" spans="1:10" x14ac:dyDescent="0.2">
      <c r="A41">
        <v>36</v>
      </c>
      <c r="B41" t="str">
        <v>Tài sản cố định hữu hình</v>
      </c>
      <c r="C41" s="23">
        <v>2202974097676</v>
      </c>
      <c r="D41" s="23">
        <v>2113821537013</v>
      </c>
      <c r="E41" s="23">
        <v>1999153049828</v>
      </c>
      <c r="F41" s="23">
        <v>2245284822658</v>
      </c>
      <c r="G41" s="23">
        <v>2022419512484</v>
      </c>
      <c r="H41" s="23">
        <v>2000004299809</v>
      </c>
      <c r="I41" s="23">
        <v>1863866579072</v>
      </c>
      <c r="J41" s="23">
        <v>2836544208665</v>
      </c>
    </row>
    <row r="42" spans="1:10" x14ac:dyDescent="0.2">
      <c r="A42">
        <v>37</v>
      </c>
      <c r="B42" t="str">
        <v>Tài sản cố định thuê tài chính</v>
      </c>
      <c r="C42" s="23">
        <v>0</v>
      </c>
      <c r="D42" s="23">
        <v>0</v>
      </c>
      <c r="E42" s="23">
        <v>0</v>
      </c>
      <c r="F42" s="23">
        <v>0</v>
      </c>
      <c r="G42" s="23">
        <v>0</v>
      </c>
      <c r="H42" s="23">
        <v>0</v>
      </c>
      <c r="I42" s="23">
        <v>0</v>
      </c>
      <c r="J42" s="23">
        <v>56808705545</v>
      </c>
    </row>
    <row r="43" spans="1:10" x14ac:dyDescent="0.2">
      <c r="A43">
        <v>38</v>
      </c>
      <c r="B43" t="str">
        <v>Tài sản cố định vô hình</v>
      </c>
      <c r="C43" s="23">
        <v>96512473476</v>
      </c>
      <c r="D43" s="23">
        <v>84985928722</v>
      </c>
      <c r="E43" s="23">
        <v>81950868587</v>
      </c>
      <c r="F43" s="23">
        <v>79741790556</v>
      </c>
      <c r="G43" s="23">
        <v>78420099468</v>
      </c>
      <c r="H43" s="23">
        <v>77426239462</v>
      </c>
      <c r="I43" s="23">
        <v>149114480438</v>
      </c>
      <c r="J43" s="23">
        <v>143917892653</v>
      </c>
    </row>
    <row r="44" spans="1:10" x14ac:dyDescent="0.2">
      <c r="A44">
        <v>39</v>
      </c>
      <c r="B44" t="str">
        <v>Chi phí xây dựng cơ bản dở dang (trước 2015)</v>
      </c>
      <c r="C44" s="23">
        <v>0</v>
      </c>
      <c r="D44" s="23">
        <v>0</v>
      </c>
      <c r="E44" s="23">
        <v>0</v>
      </c>
      <c r="F44" s="23">
        <v>0</v>
      </c>
      <c r="G44" s="23">
        <v>0</v>
      </c>
      <c r="H44" s="23">
        <v>0</v>
      </c>
      <c r="I44" s="23">
        <v>0</v>
      </c>
      <c r="J44" s="23">
        <v>0</v>
      </c>
    </row>
    <row r="45" spans="1:10" x14ac:dyDescent="0.2">
      <c r="A45">
        <v>40</v>
      </c>
      <c r="B45" t="str">
        <v>Bất động sản đầu tư</v>
      </c>
      <c r="C45" s="23">
        <v>0</v>
      </c>
      <c r="D45" s="23">
        <v>0</v>
      </c>
      <c r="E45" s="23">
        <v>222816109964</v>
      </c>
      <c r="F45" s="23">
        <v>447748684374</v>
      </c>
      <c r="G45" s="23">
        <v>526347470213</v>
      </c>
      <c r="H45" s="23">
        <v>497283341861</v>
      </c>
      <c r="I45" s="23">
        <v>1317994843520</v>
      </c>
      <c r="J45" s="23">
        <v>1303970692613</v>
      </c>
    </row>
    <row r="46" spans="1:10" x14ac:dyDescent="0.2">
      <c r="A46">
        <v>41</v>
      </c>
      <c r="B46" t="str">
        <v>Nguyên giá bất động sản đầu tư</v>
      </c>
      <c r="C46" s="23">
        <v>0</v>
      </c>
      <c r="D46" s="23">
        <v>0</v>
      </c>
      <c r="E46" s="23">
        <v>228536485004</v>
      </c>
      <c r="F46" s="23">
        <v>477482460565</v>
      </c>
      <c r="G46" s="23">
        <v>589841711552</v>
      </c>
      <c r="H46" s="23">
        <v>599918829247</v>
      </c>
      <c r="I46" s="23">
        <v>1467632350176</v>
      </c>
      <c r="J46" s="23">
        <v>1515802867546</v>
      </c>
    </row>
    <row r="47" spans="1:10" x14ac:dyDescent="0.2">
      <c r="A47">
        <v>42</v>
      </c>
      <c r="B47" t="str">
        <v>Hao mòn bất động sản đầu tư</v>
      </c>
      <c r="C47" s="23">
        <v>0</v>
      </c>
      <c r="D47" s="23">
        <v>0</v>
      </c>
      <c r="E47" s="23">
        <v>-5720375040</v>
      </c>
      <c r="F47" s="23">
        <v>-29733776191</v>
      </c>
      <c r="G47" s="23">
        <v>-63494241339</v>
      </c>
      <c r="H47" s="23">
        <v>-102635487386</v>
      </c>
      <c r="I47" s="23">
        <v>-149637506656</v>
      </c>
      <c r="J47" s="23">
        <v>-211832174933</v>
      </c>
    </row>
    <row r="48" spans="1:10" x14ac:dyDescent="0.2">
      <c r="A48">
        <v>43</v>
      </c>
      <c r="B48" t="str">
        <v>Tài sản dở dang dài hạn</v>
      </c>
      <c r="C48" s="23">
        <v>98121103897</v>
      </c>
      <c r="D48" s="23">
        <v>1208008703897</v>
      </c>
      <c r="E48" s="23">
        <v>293779658961</v>
      </c>
      <c r="F48" s="23">
        <v>361230196821</v>
      </c>
      <c r="G48" s="23">
        <v>853176364818</v>
      </c>
      <c r="H48" s="23">
        <v>693446604066</v>
      </c>
      <c r="I48" s="23">
        <v>296545648857</v>
      </c>
      <c r="J48" s="23">
        <v>1191925809142</v>
      </c>
    </row>
    <row r="49" spans="1:12" x14ac:dyDescent="0.2">
      <c r="A49">
        <v>44</v>
      </c>
      <c r="B49" t="str">
        <v>Chi phí sản xuất, kinh doanh dở dang dài hạn</v>
      </c>
      <c r="C49" s="23">
        <v>0</v>
      </c>
      <c r="D49" s="23">
        <v>0</v>
      </c>
      <c r="E49" s="23">
        <v>0</v>
      </c>
      <c r="F49" s="23">
        <v>0</v>
      </c>
      <c r="G49" s="23">
        <v>0</v>
      </c>
      <c r="H49" s="23">
        <v>0</v>
      </c>
      <c r="I49" s="23">
        <v>0</v>
      </c>
      <c r="J49" s="23">
        <v>0</v>
      </c>
      <c r="L49" s="23"/>
    </row>
    <row r="50" spans="1:12" x14ac:dyDescent="0.2">
      <c r="A50">
        <v>45</v>
      </c>
      <c r="B50" t="str">
        <v xml:space="preserve">Chi phí xây dựng cơ bản dở dang </v>
      </c>
      <c r="C50" s="23">
        <v>98121103897</v>
      </c>
      <c r="D50" s="23">
        <v>1208008703897</v>
      </c>
      <c r="E50" s="23">
        <v>293779658961</v>
      </c>
      <c r="F50" s="23">
        <v>361230196821</v>
      </c>
      <c r="G50" s="23">
        <v>853176364818</v>
      </c>
      <c r="H50" s="23">
        <v>693446604066</v>
      </c>
      <c r="I50" s="23">
        <v>296545648857</v>
      </c>
      <c r="J50" s="23">
        <v>1191925809142</v>
      </c>
      <c r="L50" s="23"/>
    </row>
    <row r="51" spans="1:12" x14ac:dyDescent="0.2">
      <c r="A51">
        <v>46</v>
      </c>
      <c r="B51" t="str">
        <v>Các khoản đầu tư tài chính dài hạn</v>
      </c>
      <c r="C51" s="23">
        <v>0</v>
      </c>
      <c r="D51" s="23">
        <v>48380000000</v>
      </c>
      <c r="E51" s="23">
        <v>123559449802</v>
      </c>
      <c r="F51" s="23">
        <v>488178292178</v>
      </c>
      <c r="G51" s="23">
        <v>569909270071</v>
      </c>
      <c r="H51" s="23">
        <v>1493973537488</v>
      </c>
      <c r="I51" s="23">
        <v>1328109477624</v>
      </c>
      <c r="J51" s="23">
        <v>254658998561</v>
      </c>
    </row>
    <row r="52" spans="1:12" x14ac:dyDescent="0.2">
      <c r="A52">
        <v>47</v>
      </c>
      <c r="B52" t="str">
        <v>Đầu tư vào công ty con</v>
      </c>
      <c r="C52" s="23">
        <v>0</v>
      </c>
      <c r="D52" s="23">
        <v>0</v>
      </c>
      <c r="E52" s="23">
        <v>0</v>
      </c>
      <c r="F52" s="23">
        <v>0</v>
      </c>
      <c r="G52" s="23">
        <v>0</v>
      </c>
      <c r="H52" s="23">
        <v>0</v>
      </c>
      <c r="I52" s="23">
        <v>0</v>
      </c>
      <c r="J52" s="23">
        <v>0</v>
      </c>
    </row>
    <row r="53" spans="1:12" x14ac:dyDescent="0.2">
      <c r="A53">
        <v>48</v>
      </c>
      <c r="B53" t="str">
        <v>Đầu tư vào công ty liên kết, liên doanh</v>
      </c>
      <c r="C53" s="23">
        <v>0</v>
      </c>
      <c r="D53" s="23">
        <v>0</v>
      </c>
      <c r="E53" s="23">
        <v>15179449802</v>
      </c>
      <c r="F53" s="23">
        <v>401303292178</v>
      </c>
      <c r="G53" s="23">
        <v>521914270071</v>
      </c>
      <c r="H53" s="23">
        <v>1463973537488</v>
      </c>
      <c r="I53" s="23">
        <v>1328109477624</v>
      </c>
      <c r="J53" s="23">
        <v>224282405940</v>
      </c>
    </row>
    <row r="54" spans="1:12" x14ac:dyDescent="0.2">
      <c r="A54">
        <v>49</v>
      </c>
      <c r="B54" t="str">
        <v>Đầu tư dài hạn khác</v>
      </c>
      <c r="C54" s="23">
        <v>0</v>
      </c>
      <c r="D54" s="23">
        <v>0</v>
      </c>
      <c r="E54" s="23">
        <v>0</v>
      </c>
      <c r="F54" s="23">
        <v>17353094158</v>
      </c>
      <c r="G54" s="23">
        <v>17995000000</v>
      </c>
      <c r="H54" s="23">
        <v>0</v>
      </c>
      <c r="I54" s="23">
        <v>0</v>
      </c>
      <c r="J54" s="23">
        <v>30376592621</v>
      </c>
    </row>
    <row r="55" spans="1:12" x14ac:dyDescent="0.2">
      <c r="A55">
        <v>50</v>
      </c>
      <c r="B55" t="str">
        <v>Dự phòng giảm giá đầu tư tài chính dài hạn</v>
      </c>
      <c r="C55" s="23">
        <v>0</v>
      </c>
      <c r="D55" s="23">
        <v>0</v>
      </c>
      <c r="E55" s="23">
        <v>0</v>
      </c>
      <c r="F55" s="23">
        <v>-478094158</v>
      </c>
      <c r="G55" s="23">
        <v>0</v>
      </c>
      <c r="H55" s="23">
        <v>0</v>
      </c>
      <c r="I55" s="23">
        <v>0</v>
      </c>
      <c r="J55" s="23">
        <v>0</v>
      </c>
    </row>
    <row r="56" spans="1:12" x14ac:dyDescent="0.2">
      <c r="A56">
        <v>51</v>
      </c>
      <c r="B56" t="str">
        <v>Đầu tư dài hạn giữ đến ngày đáo hạn</v>
      </c>
      <c r="C56" s="23">
        <v>0</v>
      </c>
      <c r="D56" s="23">
        <v>48380000000</v>
      </c>
      <c r="E56" s="23">
        <v>108380000000</v>
      </c>
      <c r="F56" s="23">
        <v>70000000000</v>
      </c>
      <c r="G56" s="23">
        <v>30000000000</v>
      </c>
      <c r="H56" s="23">
        <v>30000000000</v>
      </c>
      <c r="I56" s="23">
        <v>0</v>
      </c>
      <c r="J56" s="23">
        <v>0</v>
      </c>
    </row>
    <row r="57" spans="1:12" x14ac:dyDescent="0.2">
      <c r="A57">
        <v>52</v>
      </c>
      <c r="B57" t="str">
        <v>Tài sản dài hạn khác</v>
      </c>
      <c r="C57" s="23">
        <v>35832904857</v>
      </c>
      <c r="D57" s="23">
        <v>63216753151</v>
      </c>
      <c r="E57" s="23">
        <v>198463960700</v>
      </c>
      <c r="F57" s="23">
        <v>277269221328</v>
      </c>
      <c r="G57" s="23">
        <v>325676975272</v>
      </c>
      <c r="H57" s="23">
        <v>308096053622</v>
      </c>
      <c r="I57" s="23">
        <v>863936958974</v>
      </c>
      <c r="J57" s="23">
        <v>1072588844430</v>
      </c>
    </row>
    <row r="58" spans="1:12" x14ac:dyDescent="0.2">
      <c r="A58">
        <v>53</v>
      </c>
      <c r="B58" t="str">
        <v>Chi phí trả trước dài hạn</v>
      </c>
      <c r="C58" s="23">
        <v>35612756095</v>
      </c>
      <c r="D58" s="23">
        <v>62507261342</v>
      </c>
      <c r="E58" s="23">
        <v>198274060283</v>
      </c>
      <c r="F58" s="23">
        <v>261846885299</v>
      </c>
      <c r="G58" s="23">
        <v>287014288216</v>
      </c>
      <c r="H58" s="23">
        <v>270203822136</v>
      </c>
      <c r="I58" s="23">
        <v>801659156249</v>
      </c>
      <c r="J58" s="23">
        <v>902848514371</v>
      </c>
    </row>
    <row r="59" spans="1:12" x14ac:dyDescent="0.2">
      <c r="A59">
        <v>54</v>
      </c>
      <c r="B59" t="str">
        <v>Tài sản thuế thu nhập hoãn lại</v>
      </c>
      <c r="C59" s="23">
        <v>220148762</v>
      </c>
      <c r="D59" s="23">
        <v>709491809</v>
      </c>
      <c r="E59" s="23">
        <v>189900417</v>
      </c>
      <c r="F59" s="23">
        <v>230359530</v>
      </c>
      <c r="G59" s="23">
        <v>2112010295</v>
      </c>
      <c r="H59" s="23">
        <v>5422640490</v>
      </c>
      <c r="I59" s="23">
        <v>14479007591</v>
      </c>
      <c r="J59" s="23">
        <v>13309694402</v>
      </c>
    </row>
    <row r="60" spans="1:12" x14ac:dyDescent="0.2">
      <c r="A60">
        <v>55</v>
      </c>
      <c r="B60" t="str">
        <v>Thiết bị, vật tư, phụ tùng thay thế dài hạn</v>
      </c>
      <c r="C60" s="23">
        <v>0</v>
      </c>
      <c r="D60" s="23">
        <v>0</v>
      </c>
      <c r="E60" s="23">
        <v>0</v>
      </c>
      <c r="F60" s="23">
        <v>0</v>
      </c>
      <c r="G60" s="23">
        <v>0</v>
      </c>
      <c r="H60" s="23">
        <v>0</v>
      </c>
      <c r="I60" s="23">
        <v>0</v>
      </c>
      <c r="J60" s="23">
        <v>0</v>
      </c>
    </row>
    <row r="61" spans="1:12" x14ac:dyDescent="0.2">
      <c r="A61">
        <v>56</v>
      </c>
      <c r="B61" t="str">
        <v>Tài sản dài hạn khác</v>
      </c>
      <c r="C61" s="23">
        <v>0</v>
      </c>
      <c r="D61" s="23">
        <v>0</v>
      </c>
      <c r="E61" s="23">
        <v>0</v>
      </c>
      <c r="F61" s="23">
        <v>0</v>
      </c>
      <c r="G61" s="23">
        <v>0</v>
      </c>
      <c r="H61" s="23">
        <v>0</v>
      </c>
      <c r="I61" s="23">
        <v>0</v>
      </c>
      <c r="J61" s="23">
        <v>0</v>
      </c>
    </row>
    <row r="62" spans="1:12" x14ac:dyDescent="0.2">
      <c r="A62">
        <v>57</v>
      </c>
      <c r="B62" t="str">
        <v>Lợi thế thương mại</v>
      </c>
      <c r="C62" s="23">
        <v>0</v>
      </c>
      <c r="D62" s="23">
        <v>0</v>
      </c>
      <c r="E62" s="23">
        <v>0</v>
      </c>
      <c r="F62" s="23">
        <v>15191976499</v>
      </c>
      <c r="G62" s="23">
        <v>36550676761</v>
      </c>
      <c r="H62" s="23">
        <v>32469590996</v>
      </c>
      <c r="I62" s="23">
        <v>47798795134</v>
      </c>
      <c r="J62" s="23">
        <v>156430635657</v>
      </c>
    </row>
    <row r="63" spans="1:12" x14ac:dyDescent="0.2">
      <c r="A63">
        <v>58</v>
      </c>
      <c r="B63" t="str">
        <v>Lợi thế thương mại (trước 2015)</v>
      </c>
      <c r="C63" s="23">
        <v>0</v>
      </c>
      <c r="D63" s="23">
        <v>0</v>
      </c>
      <c r="E63" s="23">
        <v>0</v>
      </c>
      <c r="F63" s="23">
        <v>0</v>
      </c>
      <c r="G63" s="23">
        <v>0</v>
      </c>
      <c r="H63" s="23">
        <v>0</v>
      </c>
      <c r="I63" s="23">
        <v>0</v>
      </c>
      <c r="J63" s="23">
        <v>0</v>
      </c>
    </row>
    <row r="64" spans="1:12" x14ac:dyDescent="0.2">
      <c r="A64">
        <v>59</v>
      </c>
      <c r="B64" t="str">
        <v>TỔNG CỘNG TÀI SẢN</v>
      </c>
      <c r="C64" s="23">
        <v>4576157128799</v>
      </c>
      <c r="D64" s="23">
        <v>7529166722403</v>
      </c>
      <c r="E64" s="23">
        <v>7987454158531</v>
      </c>
      <c r="F64" s="23">
        <v>8569414400908</v>
      </c>
      <c r="G64" s="23">
        <v>10009526635291</v>
      </c>
      <c r="H64" s="23">
        <v>10795832681712</v>
      </c>
      <c r="I64" s="23">
        <v>11583445505916</v>
      </c>
      <c r="J64" s="23">
        <v>13747883594730</v>
      </c>
    </row>
    <row r="65" spans="1:10" x14ac:dyDescent="0.2">
      <c r="A65">
        <v>60</v>
      </c>
      <c r="B65" t="str">
        <v>Nợ phải trả</v>
      </c>
      <c r="C65" s="23">
        <v>2951186840177</v>
      </c>
      <c r="D65" s="23">
        <v>4548916573712</v>
      </c>
      <c r="E65" s="23">
        <v>4732215965361</v>
      </c>
      <c r="F65" s="23">
        <v>4545451942407</v>
      </c>
      <c r="G65" s="23">
        <v>4555144898241</v>
      </c>
      <c r="H65" s="23">
        <v>4624647264247</v>
      </c>
      <c r="I65" s="23">
        <v>5619574565686</v>
      </c>
      <c r="J65" s="23">
        <v>7512721392568</v>
      </c>
    </row>
    <row r="66" spans="1:10" x14ac:dyDescent="0.2">
      <c r="A66">
        <v>61</v>
      </c>
      <c r="B66" t="str">
        <v>Nợ ngắn hạn</v>
      </c>
      <c r="C66" s="23">
        <v>1990803708402</v>
      </c>
      <c r="D66" s="23">
        <v>3206103405725</v>
      </c>
      <c r="E66" s="23">
        <v>3236645563011</v>
      </c>
      <c r="F66" s="23">
        <v>3772834861366</v>
      </c>
      <c r="G66" s="23">
        <v>3282339419557</v>
      </c>
      <c r="H66" s="23">
        <v>3206482597038</v>
      </c>
      <c r="I66" s="23">
        <v>3737041187457</v>
      </c>
      <c r="J66" s="23">
        <v>4026705299378</v>
      </c>
    </row>
    <row r="67" spans="1:10" x14ac:dyDescent="0.2">
      <c r="A67">
        <v>62</v>
      </c>
      <c r="B67" t="str">
        <v>Vay và nợ ngắn hạn</v>
      </c>
      <c r="C67" s="23">
        <v>1417686392234</v>
      </c>
      <c r="D67" s="23">
        <v>2492406692801</v>
      </c>
      <c r="E67" s="23">
        <v>2400086574603</v>
      </c>
      <c r="F67" s="23">
        <v>2943359269628</v>
      </c>
      <c r="G67" s="23">
        <v>2183181098128</v>
      </c>
      <c r="H67" s="23">
        <v>1887821444978</v>
      </c>
      <c r="I67" s="23">
        <v>2625493361179</v>
      </c>
      <c r="J67" s="23">
        <v>2463850484024</v>
      </c>
    </row>
    <row r="68" spans="1:10" x14ac:dyDescent="0.2">
      <c r="A68">
        <v>63</v>
      </c>
      <c r="B68" t="str">
        <v>Phải trả người bán</v>
      </c>
      <c r="C68" s="23">
        <v>519298194029</v>
      </c>
      <c r="D68" s="23">
        <v>622778663874</v>
      </c>
      <c r="E68" s="23">
        <v>604445172076</v>
      </c>
      <c r="F68" s="23">
        <v>542479516287</v>
      </c>
      <c r="G68" s="23">
        <v>609834689481</v>
      </c>
      <c r="H68" s="23">
        <v>754557899880</v>
      </c>
      <c r="I68" s="23">
        <v>517381867012</v>
      </c>
      <c r="J68" s="23">
        <v>852891064919</v>
      </c>
    </row>
    <row r="69" spans="1:10" x14ac:dyDescent="0.2">
      <c r="A69">
        <v>64</v>
      </c>
      <c r="B69" t="str">
        <v>Người mua trả tiền trước</v>
      </c>
      <c r="C69" s="23">
        <v>17127077695</v>
      </c>
      <c r="D69" s="23">
        <v>43876545842</v>
      </c>
      <c r="E69" s="23">
        <v>98696555635</v>
      </c>
      <c r="F69" s="23">
        <v>106523885106</v>
      </c>
      <c r="G69" s="23">
        <v>147979129414</v>
      </c>
      <c r="H69" s="23">
        <v>146454658944</v>
      </c>
      <c r="I69" s="23">
        <v>119139197505</v>
      </c>
      <c r="J69" s="23">
        <v>135107451609</v>
      </c>
    </row>
    <row r="70" spans="1:10" x14ac:dyDescent="0.2">
      <c r="A70">
        <v>65</v>
      </c>
      <c r="B70" t="str">
        <v>Thuế và các khoản phải nộp Nhà nước</v>
      </c>
      <c r="C70" s="23">
        <v>14232960650</v>
      </c>
      <c r="D70" s="23">
        <v>14084998080</v>
      </c>
      <c r="E70" s="23">
        <v>26948489726</v>
      </c>
      <c r="F70" s="23">
        <v>20412399497</v>
      </c>
      <c r="G70" s="23">
        <v>39202557924</v>
      </c>
      <c r="H70" s="23">
        <v>5234935235</v>
      </c>
      <c r="I70" s="23">
        <v>17885562142</v>
      </c>
      <c r="J70" s="23">
        <v>89174303250</v>
      </c>
    </row>
    <row r="71" spans="1:10" x14ac:dyDescent="0.2">
      <c r="A71">
        <v>66</v>
      </c>
      <c r="B71" t="str">
        <v>Phải trả người lao động</v>
      </c>
      <c r="C71" s="23">
        <v>13308406810</v>
      </c>
      <c r="D71" s="23">
        <v>19601493769</v>
      </c>
      <c r="E71" s="23">
        <v>22621950526</v>
      </c>
      <c r="F71" s="23">
        <v>30484477756</v>
      </c>
      <c r="G71" s="23">
        <v>44367894217</v>
      </c>
      <c r="H71" s="23">
        <v>49919877822</v>
      </c>
      <c r="I71" s="23">
        <v>35061256954</v>
      </c>
      <c r="J71" s="23">
        <v>67392742893</v>
      </c>
    </row>
    <row r="72" spans="1:10" x14ac:dyDescent="0.2">
      <c r="A72">
        <v>67</v>
      </c>
      <c r="B72" t="str">
        <v>Chi phí phải trả</v>
      </c>
      <c r="C72" s="23">
        <v>6422195946</v>
      </c>
      <c r="D72" s="23">
        <v>8985258785</v>
      </c>
      <c r="E72" s="23">
        <v>36452750488</v>
      </c>
      <c r="F72" s="23">
        <v>23311616663</v>
      </c>
      <c r="G72" s="23">
        <v>21534971150</v>
      </c>
      <c r="H72" s="23">
        <v>16905062522</v>
      </c>
      <c r="I72" s="23">
        <v>133779599628</v>
      </c>
      <c r="J72" s="23">
        <v>92479036951</v>
      </c>
    </row>
    <row r="73" spans="1:10" x14ac:dyDescent="0.2">
      <c r="A73">
        <v>68</v>
      </c>
      <c r="B73" t="str">
        <v>Phải trả nội bộ</v>
      </c>
      <c r="C73" s="23">
        <v>0</v>
      </c>
      <c r="D73" s="23">
        <v>0</v>
      </c>
      <c r="E73" s="23">
        <v>0</v>
      </c>
      <c r="F73" s="23">
        <v>0</v>
      </c>
      <c r="G73" s="23">
        <v>0</v>
      </c>
      <c r="H73" s="23">
        <v>0</v>
      </c>
      <c r="I73" s="23">
        <v>0</v>
      </c>
      <c r="J73" s="23">
        <v>0</v>
      </c>
    </row>
    <row r="74" spans="1:10" x14ac:dyDescent="0.2">
      <c r="A74">
        <v>69</v>
      </c>
      <c r="B74" t="str">
        <v>Phải trả theo tiến độ kế hoạch hợp đồng xây dựng</v>
      </c>
      <c r="C74" s="23">
        <v>0</v>
      </c>
      <c r="D74" s="23">
        <v>0</v>
      </c>
      <c r="E74" s="23">
        <v>0</v>
      </c>
      <c r="F74" s="23">
        <v>0</v>
      </c>
      <c r="G74" s="23">
        <v>0</v>
      </c>
      <c r="H74" s="23">
        <v>0</v>
      </c>
      <c r="I74" s="23">
        <v>0</v>
      </c>
      <c r="J74" s="23">
        <v>0</v>
      </c>
    </row>
    <row r="75" spans="1:10" x14ac:dyDescent="0.2">
      <c r="A75">
        <v>70</v>
      </c>
      <c r="B75" t="str">
        <v>Các khoản phải trả, phải nộp ngắn hạn khác</v>
      </c>
      <c r="C75" s="23">
        <v>2702175863</v>
      </c>
      <c r="D75" s="23">
        <v>3292201538</v>
      </c>
      <c r="E75" s="23">
        <v>4735482050</v>
      </c>
      <c r="F75" s="23">
        <v>17095593461</v>
      </c>
      <c r="G75" s="23">
        <v>162955107399</v>
      </c>
      <c r="H75" s="23">
        <v>224657132442</v>
      </c>
      <c r="I75" s="23">
        <v>168620540558</v>
      </c>
      <c r="J75" s="23">
        <v>170259883627</v>
      </c>
    </row>
    <row r="76" spans="1:10" x14ac:dyDescent="0.2">
      <c r="A76">
        <v>71</v>
      </c>
      <c r="B76" t="str">
        <v>Quỹ khen thưởng, phúc lợi</v>
      </c>
      <c r="C76" s="23">
        <v>26305175</v>
      </c>
      <c r="D76" s="23">
        <v>624409218</v>
      </c>
      <c r="E76" s="23">
        <v>782649996</v>
      </c>
      <c r="F76" s="23">
        <v>867456270</v>
      </c>
      <c r="G76" s="23">
        <v>7217994333</v>
      </c>
      <c r="H76" s="23">
        <v>23163704291</v>
      </c>
      <c r="I76" s="23">
        <v>3496980424</v>
      </c>
      <c r="J76" s="23">
        <v>39747081261</v>
      </c>
    </row>
    <row r="77" spans="1:10" x14ac:dyDescent="0.2">
      <c r="A77">
        <v>72</v>
      </c>
      <c r="B77" t="str">
        <v>Doanh thu chưa thực hiện ngắn hạn</v>
      </c>
      <c r="C77" s="23">
        <v>0</v>
      </c>
      <c r="D77" s="23">
        <v>453141818</v>
      </c>
      <c r="E77" s="23">
        <v>41875937911</v>
      </c>
      <c r="F77" s="23">
        <v>88300646698</v>
      </c>
      <c r="G77" s="23">
        <v>66065977511</v>
      </c>
      <c r="H77" s="23">
        <v>97767880924</v>
      </c>
      <c r="I77" s="23">
        <v>116182822055</v>
      </c>
      <c r="J77" s="23">
        <v>111467190914</v>
      </c>
    </row>
    <row r="78" spans="1:10" x14ac:dyDescent="0.2">
      <c r="A78">
        <v>73</v>
      </c>
      <c r="B78" t="str">
        <v>Dự phòng phải trả ngắn hạn</v>
      </c>
      <c r="C78" s="23">
        <v>0</v>
      </c>
      <c r="D78" s="23">
        <v>0</v>
      </c>
      <c r="E78" s="23">
        <v>0</v>
      </c>
      <c r="F78" s="23">
        <v>0</v>
      </c>
      <c r="G78" s="23">
        <v>0</v>
      </c>
      <c r="H78" s="23">
        <v>0</v>
      </c>
      <c r="I78" s="23">
        <v>0</v>
      </c>
      <c r="J78" s="23">
        <v>4336059930</v>
      </c>
    </row>
    <row r="79" spans="1:10" x14ac:dyDescent="0.2">
      <c r="A79">
        <v>74</v>
      </c>
      <c r="B79" t="str">
        <v>Quỹ bình ổn giá</v>
      </c>
      <c r="C79" s="23">
        <v>0</v>
      </c>
      <c r="D79" s="23">
        <v>0</v>
      </c>
      <c r="E79" s="23">
        <v>0</v>
      </c>
      <c r="F79" s="23">
        <v>0</v>
      </c>
      <c r="G79" s="23">
        <v>0</v>
      </c>
      <c r="H79" s="23">
        <v>0</v>
      </c>
      <c r="I79" s="23">
        <v>0</v>
      </c>
      <c r="J79" s="23">
        <v>0</v>
      </c>
    </row>
    <row r="80" spans="1:10" x14ac:dyDescent="0.2">
      <c r="A80">
        <v>75</v>
      </c>
      <c r="B80" t="str">
        <v>Giao dịch mua bán lại trái phiếu chính phủ</v>
      </c>
      <c r="C80" s="23">
        <v>0</v>
      </c>
      <c r="D80" s="23">
        <v>0</v>
      </c>
      <c r="E80" s="23">
        <v>0</v>
      </c>
      <c r="F80" s="23">
        <v>0</v>
      </c>
      <c r="G80" s="23">
        <v>0</v>
      </c>
      <c r="H80" s="23">
        <v>0</v>
      </c>
      <c r="I80" s="23">
        <v>0</v>
      </c>
      <c r="J80" s="23">
        <v>0</v>
      </c>
    </row>
    <row r="81" spans="1:10" x14ac:dyDescent="0.2">
      <c r="A81">
        <v>76</v>
      </c>
      <c r="B81" t="str">
        <v>Nợ dài hạn</v>
      </c>
      <c r="C81" s="23">
        <v>960383131775</v>
      </c>
      <c r="D81" s="23">
        <v>1342813167987</v>
      </c>
      <c r="E81" s="23">
        <v>1495570402350</v>
      </c>
      <c r="F81" s="23">
        <v>772617081041</v>
      </c>
      <c r="G81" s="23">
        <v>1272805478684</v>
      </c>
      <c r="H81" s="23">
        <v>1418164667209</v>
      </c>
      <c r="I81" s="23">
        <v>1882533378229</v>
      </c>
      <c r="J81" s="23">
        <v>3486016093190</v>
      </c>
    </row>
    <row r="82" spans="1:10" x14ac:dyDescent="0.2">
      <c r="A82">
        <v>77</v>
      </c>
      <c r="B82" t="str">
        <v>Phải trả dài hạn người bán</v>
      </c>
      <c r="C82" s="23">
        <v>0</v>
      </c>
      <c r="D82" s="23">
        <v>0</v>
      </c>
      <c r="E82" s="23">
        <v>0</v>
      </c>
      <c r="F82" s="23">
        <v>25253997253</v>
      </c>
      <c r="G82" s="23">
        <v>887312160</v>
      </c>
      <c r="H82" s="23">
        <v>488265008</v>
      </c>
      <c r="I82" s="23">
        <v>0</v>
      </c>
      <c r="J82" s="23">
        <v>0</v>
      </c>
    </row>
    <row r="83" spans="1:10" x14ac:dyDescent="0.2">
      <c r="A83">
        <v>78</v>
      </c>
      <c r="B83" t="str">
        <v>Người mua trả trước dài hạn</v>
      </c>
      <c r="C83" s="23">
        <v>0</v>
      </c>
      <c r="D83" s="23">
        <v>0</v>
      </c>
      <c r="E83" s="23">
        <v>0</v>
      </c>
      <c r="F83" s="23">
        <v>0</v>
      </c>
      <c r="G83" s="23">
        <v>0</v>
      </c>
      <c r="H83" s="23">
        <v>0</v>
      </c>
      <c r="I83" s="23">
        <v>0</v>
      </c>
      <c r="J83" s="23">
        <v>0</v>
      </c>
    </row>
    <row r="84" spans="1:10" x14ac:dyDescent="0.2">
      <c r="A84">
        <v>79</v>
      </c>
      <c r="B84" t="str">
        <v>Chi phí phải trả dài hạn</v>
      </c>
      <c r="C84" s="23">
        <v>0</v>
      </c>
      <c r="D84" s="23">
        <v>0</v>
      </c>
      <c r="E84" s="23">
        <v>0</v>
      </c>
      <c r="F84" s="23">
        <v>0</v>
      </c>
      <c r="G84" s="23">
        <v>0</v>
      </c>
      <c r="H84" s="23">
        <v>7317780823</v>
      </c>
      <c r="I84" s="23">
        <v>0</v>
      </c>
      <c r="J84" s="23">
        <v>0</v>
      </c>
    </row>
    <row r="85" spans="1:10" x14ac:dyDescent="0.2">
      <c r="A85">
        <v>80</v>
      </c>
      <c r="B85" t="str">
        <v>Phải trả nội bộ về vốn kinh doanh</v>
      </c>
      <c r="C85" s="23">
        <v>0</v>
      </c>
      <c r="D85" s="23">
        <v>0</v>
      </c>
      <c r="E85" s="23">
        <v>0</v>
      </c>
      <c r="F85" s="23">
        <v>0</v>
      </c>
      <c r="G85" s="23">
        <v>0</v>
      </c>
      <c r="H85" s="23">
        <v>0</v>
      </c>
      <c r="I85" s="23">
        <v>0</v>
      </c>
      <c r="J85" s="23">
        <v>0</v>
      </c>
    </row>
    <row r="86" spans="1:10" x14ac:dyDescent="0.2">
      <c r="A86">
        <v>81</v>
      </c>
      <c r="B86" t="str">
        <v>Phải trả dài hạn nội bộ</v>
      </c>
      <c r="C86" s="23">
        <v>0</v>
      </c>
      <c r="D86" s="23">
        <v>0</v>
      </c>
      <c r="E86" s="23">
        <v>0</v>
      </c>
      <c r="F86" s="23">
        <v>0</v>
      </c>
      <c r="G86" s="23">
        <v>0</v>
      </c>
      <c r="H86" s="23">
        <v>0</v>
      </c>
      <c r="I86" s="23">
        <v>0</v>
      </c>
      <c r="J86" s="23">
        <v>0</v>
      </c>
    </row>
    <row r="87" spans="1:10" x14ac:dyDescent="0.2">
      <c r="A87">
        <v>82</v>
      </c>
      <c r="B87" t="str">
        <v>Phải trả dài hạn khác</v>
      </c>
      <c r="C87" s="23">
        <v>0</v>
      </c>
      <c r="D87" s="23">
        <v>0</v>
      </c>
      <c r="E87" s="23">
        <v>24231793347</v>
      </c>
      <c r="F87" s="23">
        <v>6111802618</v>
      </c>
      <c r="G87" s="23">
        <v>6476802623</v>
      </c>
      <c r="H87" s="23">
        <v>10620132185</v>
      </c>
      <c r="I87" s="23">
        <v>8828368337</v>
      </c>
      <c r="J87" s="23">
        <v>3948813984</v>
      </c>
    </row>
    <row r="88" spans="1:10" x14ac:dyDescent="0.2">
      <c r="A88">
        <v>83</v>
      </c>
      <c r="B88" t="str">
        <v>Vay và nợ dài hạn</v>
      </c>
      <c r="C88" s="23">
        <v>959926578352</v>
      </c>
      <c r="D88" s="23">
        <v>1342803889822</v>
      </c>
      <c r="E88" s="23">
        <v>1371510124549</v>
      </c>
      <c r="F88" s="23">
        <v>617146847843</v>
      </c>
      <c r="G88" s="23">
        <v>1175997845832</v>
      </c>
      <c r="H88" s="23">
        <v>1242368724012</v>
      </c>
      <c r="I88" s="23">
        <v>358856724282</v>
      </c>
      <c r="J88" s="23">
        <v>1430625573829</v>
      </c>
    </row>
    <row r="89" spans="1:10" x14ac:dyDescent="0.2">
      <c r="A89">
        <v>84</v>
      </c>
      <c r="B89" t="str">
        <v>Trái phiếu chuyển đổi</v>
      </c>
      <c r="C89" s="23">
        <v>0</v>
      </c>
      <c r="D89" s="23">
        <v>0</v>
      </c>
      <c r="E89" s="23">
        <v>0</v>
      </c>
      <c r="F89" s="23">
        <v>0</v>
      </c>
      <c r="G89" s="23">
        <v>0</v>
      </c>
      <c r="H89" s="23">
        <v>0</v>
      </c>
      <c r="I89" s="23">
        <v>0</v>
      </c>
      <c r="J89" s="23">
        <v>0</v>
      </c>
    </row>
    <row r="90" spans="1:10" x14ac:dyDescent="0.2">
      <c r="A90">
        <v>85</v>
      </c>
      <c r="B90" t="str">
        <v>Cổ phiếu ưu đãi</v>
      </c>
      <c r="C90" s="23">
        <v>0</v>
      </c>
      <c r="D90" s="23">
        <v>0</v>
      </c>
      <c r="E90" s="23">
        <v>0</v>
      </c>
      <c r="F90" s="23">
        <v>0</v>
      </c>
      <c r="G90" s="23">
        <v>0</v>
      </c>
      <c r="H90" s="23">
        <v>0</v>
      </c>
      <c r="I90" s="23">
        <v>0</v>
      </c>
      <c r="J90" s="23">
        <v>0</v>
      </c>
    </row>
    <row r="91" spans="1:10" x14ac:dyDescent="0.2">
      <c r="A91">
        <v>86</v>
      </c>
      <c r="B91" t="str">
        <v>Thuế thu nhập hoãn lại phải trả</v>
      </c>
      <c r="C91" s="23">
        <v>456553423</v>
      </c>
      <c r="D91" s="23">
        <v>9278165</v>
      </c>
      <c r="E91" s="23">
        <v>22386965568</v>
      </c>
      <c r="F91" s="23">
        <v>22196517631</v>
      </c>
      <c r="G91" s="23">
        <v>0</v>
      </c>
      <c r="H91" s="23">
        <v>0</v>
      </c>
      <c r="I91" s="23">
        <v>12438709938</v>
      </c>
      <c r="J91" s="23">
        <v>11930004975</v>
      </c>
    </row>
    <row r="92" spans="1:10" x14ac:dyDescent="0.2">
      <c r="A92">
        <v>87</v>
      </c>
      <c r="B92" t="str">
        <v>Dự phòng trợ cấp mất việc làm</v>
      </c>
      <c r="C92" s="23">
        <v>0</v>
      </c>
      <c r="D92" s="23">
        <v>0</v>
      </c>
      <c r="E92" s="23">
        <v>0</v>
      </c>
      <c r="F92" s="23">
        <v>0</v>
      </c>
      <c r="G92" s="23">
        <v>0</v>
      </c>
      <c r="H92" s="23">
        <v>0</v>
      </c>
      <c r="I92" s="23">
        <v>0</v>
      </c>
      <c r="J92" s="23">
        <v>0</v>
      </c>
    </row>
    <row r="93" spans="1:10" x14ac:dyDescent="0.2">
      <c r="A93">
        <v>88</v>
      </c>
      <c r="B93" t="str">
        <v>Doanh thu chưa thực hiện dài hạn</v>
      </c>
      <c r="C93" s="23">
        <v>0</v>
      </c>
      <c r="D93" s="23">
        <v>0</v>
      </c>
      <c r="E93" s="23">
        <v>77441518886</v>
      </c>
      <c r="F93" s="23">
        <v>101907915696</v>
      </c>
      <c r="G93" s="23">
        <v>89443518069</v>
      </c>
      <c r="H93" s="23">
        <v>157369765181</v>
      </c>
      <c r="I93" s="23">
        <v>1498211375163</v>
      </c>
      <c r="J93" s="23">
        <v>2039511700402</v>
      </c>
    </row>
    <row r="94" spans="1:10" x14ac:dyDescent="0.2">
      <c r="A94">
        <v>89</v>
      </c>
      <c r="B94" t="str">
        <v>Quỹ phát triển khoa học và công nghệ</v>
      </c>
      <c r="C94" s="23">
        <v>0</v>
      </c>
      <c r="D94" s="23">
        <v>0</v>
      </c>
      <c r="E94" s="23">
        <v>0</v>
      </c>
      <c r="F94" s="23">
        <v>0</v>
      </c>
      <c r="G94" s="23">
        <v>0</v>
      </c>
      <c r="H94" s="23">
        <v>0</v>
      </c>
      <c r="I94" s="23">
        <v>0</v>
      </c>
      <c r="J94" s="23">
        <v>0</v>
      </c>
    </row>
    <row r="95" spans="1:10" x14ac:dyDescent="0.2">
      <c r="A95">
        <v>90</v>
      </c>
      <c r="B95" t="str">
        <v>Dự phòng phải trả dài hạn</v>
      </c>
      <c r="C95" s="23">
        <v>0</v>
      </c>
      <c r="D95" s="23">
        <v>0</v>
      </c>
      <c r="E95" s="23">
        <v>0</v>
      </c>
      <c r="F95" s="23">
        <v>0</v>
      </c>
      <c r="G95" s="23">
        <v>0</v>
      </c>
      <c r="H95" s="23">
        <v>0</v>
      </c>
      <c r="I95" s="23">
        <v>4198200509</v>
      </c>
      <c r="J95" s="23">
        <v>0</v>
      </c>
    </row>
    <row r="96" spans="1:10" x14ac:dyDescent="0.2">
      <c r="A96">
        <v>91</v>
      </c>
      <c r="B96" t="str">
        <v>Vốn chủ sở hữu</v>
      </c>
      <c r="C96" s="23">
        <v>1624970288622</v>
      </c>
      <c r="D96" s="23">
        <v>2980250148691</v>
      </c>
      <c r="E96" s="23">
        <v>3255238193170</v>
      </c>
      <c r="F96" s="23">
        <v>4023962458501</v>
      </c>
      <c r="G96" s="23">
        <v>5454381737050</v>
      </c>
      <c r="H96" s="23">
        <v>6171185417465</v>
      </c>
      <c r="I96" s="23">
        <v>5963870940230</v>
      </c>
      <c r="J96" s="23">
        <v>6235162202162</v>
      </c>
    </row>
    <row r="97" spans="1:10" x14ac:dyDescent="0.2">
      <c r="A97">
        <v>92</v>
      </c>
      <c r="B97" t="str">
        <v>Vốn và các quỹ</v>
      </c>
      <c r="C97" s="23">
        <v>1624970288622</v>
      </c>
      <c r="D97" s="23">
        <v>2980250148691</v>
      </c>
      <c r="E97" s="23">
        <v>3255238193170</v>
      </c>
      <c r="F97" s="23">
        <v>4023962458501</v>
      </c>
      <c r="G97" s="23">
        <v>5454381737050</v>
      </c>
      <c r="H97" s="23">
        <v>6171185417465</v>
      </c>
      <c r="I97" s="23">
        <v>5963870940230</v>
      </c>
      <c r="J97" s="23">
        <v>6235162202162</v>
      </c>
    </row>
    <row r="98" spans="1:10" x14ac:dyDescent="0.2">
      <c r="A98">
        <v>93</v>
      </c>
      <c r="B98" t="str">
        <v>Vốn góp</v>
      </c>
      <c r="C98" s="23">
        <v>835999880000</v>
      </c>
      <c r="D98" s="23">
        <v>1711999760000</v>
      </c>
      <c r="E98" s="23">
        <v>1711999760000</v>
      </c>
      <c r="F98" s="23">
        <v>2217599740000</v>
      </c>
      <c r="G98" s="23">
        <v>3264344960000</v>
      </c>
      <c r="H98" s="23">
        <v>3822744960000</v>
      </c>
      <c r="I98" s="23">
        <v>3822744960000</v>
      </c>
      <c r="J98" s="23">
        <v>3822744960000</v>
      </c>
    </row>
    <row r="99" spans="1:10" x14ac:dyDescent="0.2">
      <c r="A99">
        <v>94</v>
      </c>
      <c r="B99" t="str">
        <v>Thặng dư vốn cổ phần</v>
      </c>
      <c r="C99" s="23">
        <v>198063767329</v>
      </c>
      <c r="D99" s="23">
        <v>532112689329</v>
      </c>
      <c r="E99" s="23">
        <v>532112689329</v>
      </c>
      <c r="F99" s="23">
        <v>692074189329</v>
      </c>
      <c r="G99" s="23">
        <v>712591123817</v>
      </c>
      <c r="H99" s="23">
        <v>823946323817</v>
      </c>
      <c r="I99" s="23">
        <v>823946323817</v>
      </c>
      <c r="J99" s="23">
        <v>823946323817</v>
      </c>
    </row>
    <row r="100" spans="1:10" x14ac:dyDescent="0.2">
      <c r="A100">
        <v>95</v>
      </c>
      <c r="B100" t="str">
        <v>Quyền chọn chuyển đổi trái phiếu</v>
      </c>
      <c r="C100" s="23">
        <v>0</v>
      </c>
      <c r="D100" s="23">
        <v>0</v>
      </c>
      <c r="E100" s="23">
        <v>0</v>
      </c>
      <c r="F100" s="23">
        <v>0</v>
      </c>
      <c r="G100" s="23">
        <v>0</v>
      </c>
      <c r="H100" s="23">
        <v>0</v>
      </c>
      <c r="I100" s="23">
        <v>0</v>
      </c>
      <c r="J100" s="23">
        <v>0</v>
      </c>
    </row>
    <row r="101" spans="1:10" x14ac:dyDescent="0.2">
      <c r="A101">
        <v>96</v>
      </c>
      <c r="B101" t="str">
        <v>Vốn khác của chủ sở hữu</v>
      </c>
      <c r="C101" s="23">
        <v>0</v>
      </c>
      <c r="D101" s="23">
        <v>0</v>
      </c>
      <c r="E101" s="23">
        <v>0</v>
      </c>
      <c r="F101" s="23">
        <v>26544930000</v>
      </c>
      <c r="G101" s="23">
        <v>26544930000</v>
      </c>
      <c r="H101" s="23">
        <v>44744930000</v>
      </c>
      <c r="I101" s="23">
        <v>18751291534</v>
      </c>
      <c r="J101" s="23">
        <v>18751291534</v>
      </c>
    </row>
    <row r="102" spans="1:10" x14ac:dyDescent="0.2">
      <c r="A102">
        <v>97</v>
      </c>
      <c r="B102" t="str">
        <v>Cổ phiếu quỹ</v>
      </c>
      <c r="C102" s="23">
        <v>0</v>
      </c>
      <c r="D102" s="23">
        <v>0</v>
      </c>
      <c r="E102" s="23">
        <v>0</v>
      </c>
      <c r="F102" s="23">
        <v>0</v>
      </c>
      <c r="G102" s="23">
        <v>0</v>
      </c>
      <c r="H102" s="23">
        <v>0</v>
      </c>
      <c r="I102" s="23">
        <v>0</v>
      </c>
      <c r="J102" s="23">
        <v>0</v>
      </c>
    </row>
    <row r="103" spans="1:10" x14ac:dyDescent="0.2">
      <c r="A103">
        <v>98</v>
      </c>
      <c r="B103" t="str">
        <v>Chênh lệch đánh giá lại tài sản</v>
      </c>
      <c r="C103" s="23">
        <v>0</v>
      </c>
      <c r="D103" s="23">
        <v>0</v>
      </c>
      <c r="E103" s="23">
        <v>0</v>
      </c>
      <c r="F103" s="23">
        <v>0</v>
      </c>
      <c r="G103" s="23">
        <v>0</v>
      </c>
      <c r="H103" s="23">
        <v>0</v>
      </c>
      <c r="I103" s="23">
        <v>0</v>
      </c>
      <c r="J103" s="23">
        <v>0</v>
      </c>
    </row>
    <row r="104" spans="1:10" x14ac:dyDescent="0.2">
      <c r="A104">
        <v>99</v>
      </c>
      <c r="B104" t="str">
        <v>Chênh lệch tỷ giá hối đoái</v>
      </c>
      <c r="C104" s="23">
        <v>158818819</v>
      </c>
      <c r="D104" s="23">
        <v>-39715243</v>
      </c>
      <c r="E104" s="23">
        <v>-337778069</v>
      </c>
      <c r="F104" s="23">
        <v>-1007294337</v>
      </c>
      <c r="G104" s="23">
        <v>-9142474446</v>
      </c>
      <c r="H104" s="23">
        <v>13104043604</v>
      </c>
      <c r="I104" s="23">
        <v>22441429244</v>
      </c>
      <c r="J104" s="23">
        <v>35395894717</v>
      </c>
    </row>
    <row r="105" spans="1:10" x14ac:dyDescent="0.2">
      <c r="A105">
        <v>100</v>
      </c>
      <c r="B105" t="str">
        <v>Quỹ đầu tư phát triển</v>
      </c>
      <c r="C105" s="23">
        <v>45683661717</v>
      </c>
      <c r="D105" s="23">
        <v>57775383144</v>
      </c>
      <c r="E105" s="23">
        <v>67258859051</v>
      </c>
      <c r="F105" s="23">
        <v>80481616464</v>
      </c>
      <c r="G105" s="23">
        <v>80481616464</v>
      </c>
      <c r="H105" s="23">
        <v>80481616464</v>
      </c>
      <c r="I105" s="23">
        <v>80481616464</v>
      </c>
      <c r="J105" s="23">
        <v>80481616464</v>
      </c>
    </row>
    <row r="106" spans="1:10" x14ac:dyDescent="0.2">
      <c r="A106">
        <v>101</v>
      </c>
      <c r="B106" t="str">
        <v>Quỹ dự phòng tài chính</v>
      </c>
      <c r="C106" s="23">
        <v>0</v>
      </c>
      <c r="D106" s="23">
        <v>0</v>
      </c>
      <c r="E106" s="23">
        <v>0</v>
      </c>
      <c r="F106" s="23">
        <v>0</v>
      </c>
      <c r="G106" s="23">
        <v>0</v>
      </c>
      <c r="H106" s="23">
        <v>0</v>
      </c>
      <c r="I106" s="23">
        <v>0</v>
      </c>
      <c r="J106" s="23">
        <v>0</v>
      </c>
    </row>
    <row r="107" spans="1:10" x14ac:dyDescent="0.2">
      <c r="A107">
        <v>102</v>
      </c>
      <c r="B107" t="str">
        <v>Quỹ khác thuộc vốn chủ sở hữu</v>
      </c>
      <c r="C107" s="23">
        <v>13177404323</v>
      </c>
      <c r="D107" s="23">
        <v>13177404323</v>
      </c>
      <c r="E107" s="23">
        <v>13177404323</v>
      </c>
      <c r="F107" s="23">
        <v>13177404323</v>
      </c>
      <c r="G107" s="23">
        <v>13177404323</v>
      </c>
      <c r="H107" s="23">
        <v>13177404323</v>
      </c>
      <c r="I107" s="23">
        <v>13177404323</v>
      </c>
      <c r="J107" s="23">
        <v>13177404323</v>
      </c>
    </row>
    <row r="108" spans="1:10" x14ac:dyDescent="0.2">
      <c r="A108">
        <v>103</v>
      </c>
      <c r="B108" t="str">
        <v>Lợi nhuận sau thuế chưa phân phối</v>
      </c>
      <c r="C108" s="23">
        <v>283769575300</v>
      </c>
      <c r="D108" s="23">
        <v>265860134664</v>
      </c>
      <c r="E108" s="23">
        <v>602685892796</v>
      </c>
      <c r="F108" s="23">
        <v>568716740171</v>
      </c>
      <c r="G108" s="23">
        <v>706493529920</v>
      </c>
      <c r="H108" s="23">
        <v>721688030767</v>
      </c>
      <c r="I108" s="23">
        <v>562622505805</v>
      </c>
      <c r="J108" s="23">
        <v>529234437505</v>
      </c>
    </row>
    <row r="109" spans="1:10" x14ac:dyDescent="0.2">
      <c r="A109">
        <v>104</v>
      </c>
      <c r="B109" t="str">
        <v>Lợi ích cổ đông không kiểm soát</v>
      </c>
      <c r="C109" s="23">
        <v>248117181134</v>
      </c>
      <c r="D109" s="23">
        <v>399364492474</v>
      </c>
      <c r="E109" s="23">
        <v>328341365740</v>
      </c>
      <c r="F109" s="23">
        <v>426375132551</v>
      </c>
      <c r="G109" s="23">
        <v>659890646972</v>
      </c>
      <c r="H109" s="23">
        <v>651298108490</v>
      </c>
      <c r="I109" s="23">
        <v>619705409043</v>
      </c>
      <c r="J109" s="23">
        <v>911430273802</v>
      </c>
    </row>
    <row r="110" spans="1:10" x14ac:dyDescent="0.2">
      <c r="A110">
        <v>105</v>
      </c>
      <c r="B110" t="str">
        <v>Quỹ hỗ trợ sắp xếp doanh nghiệp</v>
      </c>
      <c r="C110" s="23">
        <v>0</v>
      </c>
      <c r="D110" s="23">
        <v>0</v>
      </c>
      <c r="E110" s="23">
        <v>0</v>
      </c>
      <c r="F110" s="23">
        <v>0</v>
      </c>
      <c r="G110" s="23">
        <v>0</v>
      </c>
      <c r="H110" s="23">
        <v>0</v>
      </c>
      <c r="I110" s="23">
        <v>0</v>
      </c>
      <c r="J110" s="23">
        <v>0</v>
      </c>
    </row>
    <row r="111" spans="1:10" x14ac:dyDescent="0.2">
      <c r="A111">
        <v>106</v>
      </c>
      <c r="B111" t="str">
        <v>Nguồn vốn đầu tư XDCB</v>
      </c>
      <c r="C111" s="23">
        <v>0</v>
      </c>
      <c r="D111" s="23">
        <v>0</v>
      </c>
      <c r="E111" s="23">
        <v>0</v>
      </c>
      <c r="F111" s="23">
        <v>0</v>
      </c>
      <c r="G111" s="23">
        <v>0</v>
      </c>
      <c r="H111" s="23">
        <v>0</v>
      </c>
      <c r="I111" s="23">
        <v>0</v>
      </c>
      <c r="J111" s="23">
        <v>0</v>
      </c>
    </row>
    <row r="112" spans="1:10" x14ac:dyDescent="0.2">
      <c r="A112">
        <v>107</v>
      </c>
      <c r="B112" t="str">
        <v>Nguồn kinh phí và quỹ khác</v>
      </c>
      <c r="C112" s="23">
        <v>0</v>
      </c>
      <c r="D112" s="23">
        <v>0</v>
      </c>
      <c r="E112" s="23">
        <v>0</v>
      </c>
      <c r="F112" s="23">
        <v>0</v>
      </c>
      <c r="G112" s="23">
        <v>0</v>
      </c>
      <c r="H112" s="23">
        <v>0</v>
      </c>
      <c r="I112" s="23">
        <v>0</v>
      </c>
      <c r="J112" s="23">
        <v>0</v>
      </c>
    </row>
    <row r="113" spans="1:10" x14ac:dyDescent="0.2">
      <c r="A113">
        <v>108</v>
      </c>
      <c r="B113" t="str">
        <v>Quỹ khen thưởng, phúc lợi (trước 2010)</v>
      </c>
      <c r="C113" s="23">
        <v>0</v>
      </c>
      <c r="D113" s="23">
        <v>0</v>
      </c>
      <c r="E113" s="23">
        <v>0</v>
      </c>
      <c r="F113" s="23">
        <v>0</v>
      </c>
      <c r="G113" s="23">
        <v>0</v>
      </c>
      <c r="H113" s="23">
        <v>0</v>
      </c>
      <c r="I113" s="23">
        <v>0</v>
      </c>
      <c r="J113" s="23">
        <v>0</v>
      </c>
    </row>
    <row r="114" spans="1:10" x14ac:dyDescent="0.2">
      <c r="A114">
        <v>109</v>
      </c>
      <c r="B114" t="str">
        <v>Vốn ngân sách nhà nước</v>
      </c>
      <c r="C114" s="23">
        <v>0</v>
      </c>
      <c r="D114" s="23">
        <v>0</v>
      </c>
      <c r="E114" s="23">
        <v>0</v>
      </c>
      <c r="F114" s="23">
        <v>0</v>
      </c>
      <c r="G114" s="23">
        <v>0</v>
      </c>
      <c r="H114" s="23">
        <v>0</v>
      </c>
      <c r="I114" s="23">
        <v>0</v>
      </c>
      <c r="J114" s="23">
        <v>0</v>
      </c>
    </row>
    <row r="115" spans="1:10" x14ac:dyDescent="0.2">
      <c r="A115">
        <v>110</v>
      </c>
      <c r="B115" t="str">
        <v>Nguồn kinh phí đã hình thành TSCĐ</v>
      </c>
      <c r="C115" s="23">
        <v>0</v>
      </c>
      <c r="D115" s="23">
        <v>0</v>
      </c>
      <c r="E115" s="23">
        <v>0</v>
      </c>
      <c r="F115" s="23">
        <v>0</v>
      </c>
      <c r="G115" s="23">
        <v>0</v>
      </c>
      <c r="H115" s="23">
        <v>0</v>
      </c>
      <c r="I115" s="23">
        <v>0</v>
      </c>
      <c r="J115" s="23">
        <v>0</v>
      </c>
    </row>
    <row r="116" spans="1:10" x14ac:dyDescent="0.2">
      <c r="A116">
        <v>111</v>
      </c>
      <c r="B116" t="str">
        <v>Lợi ích của cổ đông không kiểm soát (trước 2015)</v>
      </c>
      <c r="C116" s="23">
        <v>0</v>
      </c>
      <c r="D116" s="23">
        <v>0</v>
      </c>
      <c r="E116" s="23">
        <v>0</v>
      </c>
      <c r="F116" s="23">
        <v>0</v>
      </c>
      <c r="G116" s="23">
        <v>0</v>
      </c>
      <c r="H116" s="23">
        <v>0</v>
      </c>
      <c r="I116" s="23">
        <v>0</v>
      </c>
      <c r="J116" s="23">
        <v>0</v>
      </c>
    </row>
    <row r="117" spans="1:10" x14ac:dyDescent="0.2">
      <c r="A117">
        <v>112</v>
      </c>
      <c r="B117" t="str">
        <v>TỔNG CỘNG NGUỒN VỐN</v>
      </c>
      <c r="C117" s="23">
        <v>4576157128799</v>
      </c>
      <c r="D117" s="23">
        <v>7529166722403</v>
      </c>
      <c r="E117" s="23">
        <v>7987454158531</v>
      </c>
      <c r="F117" s="23">
        <v>8569414400908</v>
      </c>
      <c r="G117" s="23">
        <v>10009526635291</v>
      </c>
      <c r="H117" s="23">
        <v>10795832681712</v>
      </c>
      <c r="I117" s="23">
        <v>11583445505916</v>
      </c>
      <c r="J117" s="23">
        <v>13747883594730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1C81B-EC60-417A-8200-D46CC4DF1B05}">
  <sheetPr codeName="Sheet4"/>
  <dimension ref="A1:J32"/>
  <sheetViews>
    <sheetView workbookViewId="0">
      <selection activeCell="A4" sqref="A4"/>
    </sheetView>
  </sheetViews>
  <sheetFormatPr defaultRowHeight="15" x14ac:dyDescent="0.2"/>
  <cols>
    <col min="1" max="1" width="5.21875" customWidth="1"/>
    <col min="2" max="2" width="65.6640625" style="23" customWidth="1"/>
    <col min="3" max="10" width="17.109375" style="23" bestFit="1" customWidth="1"/>
  </cols>
  <sheetData>
    <row r="1" spans="1:10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0" x14ac:dyDescent="0.2">
      <c r="C2" s="28" t="str">
        <f>CANSLIM!E1</f>
        <v>AAA</v>
      </c>
      <c r="D2" s="3" t="s">
        <v>19</v>
      </c>
      <c r="E2" s="3">
        <f>CANSLIM!E2</f>
        <v>2024</v>
      </c>
      <c r="F2" s="28" t="str">
        <f>CANSLIM!D2</f>
        <v>YEAR</v>
      </c>
    </row>
    <row r="4" spans="1:10" ht="15.75" x14ac:dyDescent="0.25">
      <c r="A4" s="4" t="str" cm="1">
        <f t="array" ref="A4:J29">report_finance_vnd(C2,D2,E2,F2)</f>
        <v/>
      </c>
      <c r="B4" s="4" t="str">
        <v>AAA</v>
      </c>
      <c r="C4" s="4" t="str">
        <v>2017-12-31</v>
      </c>
      <c r="D4" s="4" t="str">
        <v>2018-12-31</v>
      </c>
      <c r="E4" s="4" t="str">
        <v>2019-12-31</v>
      </c>
      <c r="F4" s="4" t="str">
        <v>2020-12-31</v>
      </c>
      <c r="G4" s="4" t="str">
        <v>2021-12-31</v>
      </c>
      <c r="H4" s="4" t="str">
        <v>2022-12-31</v>
      </c>
      <c r="I4" s="4" t="str">
        <v>2023-12-31</v>
      </c>
      <c r="J4" s="4" t="str">
        <v>2024-12-31</v>
      </c>
    </row>
    <row r="5" spans="1:10" x14ac:dyDescent="0.2">
      <c r="A5">
        <v>0</v>
      </c>
      <c r="B5" s="23" t="str">
        <v>Tổng doanh thu hoạt động kinh doanh</v>
      </c>
      <c r="C5" s="23">
        <v>4076763652003</v>
      </c>
      <c r="D5" s="23">
        <v>8018827145835</v>
      </c>
      <c r="E5" s="23">
        <v>9278251727409</v>
      </c>
      <c r="F5" s="23">
        <v>7438249657913</v>
      </c>
      <c r="G5" s="23">
        <v>13154009928330</v>
      </c>
      <c r="H5" s="23">
        <v>15314698238896</v>
      </c>
      <c r="I5" s="23">
        <v>12628191473898</v>
      </c>
      <c r="J5" s="23">
        <v>12787838156129</v>
      </c>
    </row>
    <row r="6" spans="1:10" x14ac:dyDescent="0.2">
      <c r="A6">
        <v>1</v>
      </c>
      <c r="B6" s="23" t="str">
        <v>Các khoản giảm trừ doanh thu</v>
      </c>
      <c r="C6" s="23">
        <v>7155348862</v>
      </c>
      <c r="D6" s="23">
        <v>7254532446</v>
      </c>
      <c r="E6" s="23">
        <v>20178446735</v>
      </c>
      <c r="F6" s="23">
        <v>9692642869</v>
      </c>
      <c r="G6" s="23">
        <v>10900064329</v>
      </c>
      <c r="H6" s="23">
        <v>24401165809</v>
      </c>
      <c r="I6" s="23">
        <v>6677328951</v>
      </c>
      <c r="J6" s="23">
        <v>5482689181</v>
      </c>
    </row>
    <row r="7" spans="1:10" x14ac:dyDescent="0.2">
      <c r="A7">
        <v>2</v>
      </c>
      <c r="B7" s="23" t="str">
        <v>Doanh thu thuần</v>
      </c>
      <c r="C7" s="23">
        <v>4069608303141</v>
      </c>
      <c r="D7" s="23">
        <v>8011572613389</v>
      </c>
      <c r="E7" s="23">
        <v>9258073280674</v>
      </c>
      <c r="F7" s="23">
        <v>7428557015044</v>
      </c>
      <c r="G7" s="23">
        <v>13143109864001</v>
      </c>
      <c r="H7" s="23">
        <v>15290297073087</v>
      </c>
      <c r="I7" s="23">
        <v>12621514144947</v>
      </c>
      <c r="J7" s="23">
        <v>12782355466948</v>
      </c>
    </row>
    <row r="8" spans="1:10" x14ac:dyDescent="0.2">
      <c r="A8">
        <v>3</v>
      </c>
      <c r="B8" s="23" t="str">
        <v>Giá vốn hàng bán</v>
      </c>
      <c r="C8" s="23">
        <v>3519223197973</v>
      </c>
      <c r="D8" s="23">
        <v>7338636540198</v>
      </c>
      <c r="E8" s="23">
        <v>8215933902107</v>
      </c>
      <c r="F8" s="23">
        <v>6651621793680</v>
      </c>
      <c r="G8" s="23">
        <v>11841734480539</v>
      </c>
      <c r="H8" s="23">
        <v>14204057189374</v>
      </c>
      <c r="I8" s="23">
        <v>11512820822177</v>
      </c>
      <c r="J8" s="23">
        <v>11293481427658</v>
      </c>
    </row>
    <row r="9" spans="1:10" x14ac:dyDescent="0.2">
      <c r="A9">
        <v>4</v>
      </c>
      <c r="B9" s="23" t="str">
        <v>Lợi nhuận gộp</v>
      </c>
      <c r="C9" s="23">
        <v>550385105168</v>
      </c>
      <c r="D9" s="23">
        <v>672936073191</v>
      </c>
      <c r="E9" s="23">
        <v>1042139378567</v>
      </c>
      <c r="F9" s="23">
        <v>776935221364</v>
      </c>
      <c r="G9" s="23">
        <v>1301375383462</v>
      </c>
      <c r="H9" s="23">
        <v>1086239883713</v>
      </c>
      <c r="I9" s="23">
        <v>1108693322770</v>
      </c>
      <c r="J9" s="23">
        <v>1488874039290</v>
      </c>
    </row>
    <row r="10" spans="1:10" x14ac:dyDescent="0.2">
      <c r="A10">
        <v>5</v>
      </c>
      <c r="B10" s="23" t="str">
        <v>Doanh thu hoạt động tài chính</v>
      </c>
      <c r="C10" s="23">
        <v>55775260107</v>
      </c>
      <c r="D10" s="23">
        <v>61517601742</v>
      </c>
      <c r="E10" s="23">
        <v>179675456151</v>
      </c>
      <c r="F10" s="23">
        <v>168671082125</v>
      </c>
      <c r="G10" s="23">
        <v>213876129052</v>
      </c>
      <c r="H10" s="23">
        <v>214482862553</v>
      </c>
      <c r="I10" s="23">
        <v>242681115061</v>
      </c>
      <c r="J10" s="23">
        <v>271169064351</v>
      </c>
    </row>
    <row r="11" spans="1:10" x14ac:dyDescent="0.2">
      <c r="A11">
        <v>6</v>
      </c>
      <c r="B11" s="23" t="str">
        <v>Chi phí tài chính</v>
      </c>
      <c r="C11" s="23">
        <v>95052847758</v>
      </c>
      <c r="D11" s="23">
        <v>208587237486</v>
      </c>
      <c r="E11" s="23">
        <v>267714576028</v>
      </c>
      <c r="F11" s="23">
        <v>228577022279</v>
      </c>
      <c r="G11" s="23">
        <v>199733463745</v>
      </c>
      <c r="H11" s="23">
        <v>257402705272</v>
      </c>
      <c r="I11" s="23">
        <v>239294342399</v>
      </c>
      <c r="J11" s="23">
        <v>209308504318</v>
      </c>
    </row>
    <row r="12" spans="1:10" x14ac:dyDescent="0.2">
      <c r="A12">
        <v>7</v>
      </c>
      <c r="B12" s="23" t="str">
        <v>Trong đó: Chi phí lãi vay</v>
      </c>
      <c r="C12" s="23">
        <v>80592049351</v>
      </c>
      <c r="D12" s="23">
        <v>125980474352</v>
      </c>
      <c r="E12" s="23">
        <v>225421605405</v>
      </c>
      <c r="F12" s="23">
        <v>201246469116</v>
      </c>
      <c r="G12" s="23">
        <v>151665660549</v>
      </c>
      <c r="H12" s="23">
        <v>173679772675</v>
      </c>
      <c r="I12" s="23">
        <v>190476045845</v>
      </c>
      <c r="J12" s="23">
        <v>159531127377</v>
      </c>
    </row>
    <row r="13" spans="1:10" x14ac:dyDescent="0.2">
      <c r="A13">
        <v>8</v>
      </c>
      <c r="B13" s="23" t="str">
        <v>Lợi nhuận hoặc lỗ trong công ty liên kết</v>
      </c>
      <c r="C13" s="23">
        <v>0</v>
      </c>
      <c r="D13" s="23">
        <v>0</v>
      </c>
      <c r="E13" s="23">
        <v>-56550198</v>
      </c>
      <c r="F13" s="23">
        <v>16704296145</v>
      </c>
      <c r="G13" s="23">
        <v>22873141538</v>
      </c>
      <c r="H13" s="23">
        <v>57678939569</v>
      </c>
      <c r="I13" s="23">
        <v>52941132765</v>
      </c>
      <c r="J13" s="23">
        <v>56719757316</v>
      </c>
    </row>
    <row r="14" spans="1:10" x14ac:dyDescent="0.2">
      <c r="A14">
        <v>9</v>
      </c>
      <c r="B14" s="23" t="str">
        <v>Chi phí bán hàng</v>
      </c>
      <c r="C14" s="23">
        <v>105724321494</v>
      </c>
      <c r="D14" s="23">
        <v>156562809984</v>
      </c>
      <c r="E14" s="23">
        <v>214621335478</v>
      </c>
      <c r="F14" s="23">
        <v>255844520030</v>
      </c>
      <c r="G14" s="23">
        <v>738538104564</v>
      </c>
      <c r="H14" s="23">
        <v>666097260650</v>
      </c>
      <c r="I14" s="23">
        <v>511055878824</v>
      </c>
      <c r="J14" s="23">
        <v>721559435098</v>
      </c>
    </row>
    <row r="15" spans="1:10" x14ac:dyDescent="0.2">
      <c r="A15">
        <v>10</v>
      </c>
      <c r="B15" s="23" t="str">
        <v>Chi phí quản lý doanh nghiệp</v>
      </c>
      <c r="C15" s="23">
        <v>79322555685</v>
      </c>
      <c r="D15" s="23">
        <v>123618312196</v>
      </c>
      <c r="E15" s="23">
        <v>149020821435</v>
      </c>
      <c r="F15" s="23">
        <v>166965892910</v>
      </c>
      <c r="G15" s="23">
        <v>194751557339</v>
      </c>
      <c r="H15" s="23">
        <v>247607549844</v>
      </c>
      <c r="I15" s="23">
        <v>285281847427</v>
      </c>
      <c r="J15" s="23">
        <v>475034419299</v>
      </c>
    </row>
    <row r="16" spans="1:10" x14ac:dyDescent="0.2">
      <c r="A16">
        <v>11</v>
      </c>
      <c r="B16" s="23" t="str">
        <v>Lợi nhuận thuần từ hoạt động kinh doanh</v>
      </c>
      <c r="C16" s="23">
        <v>326060640338</v>
      </c>
      <c r="D16" s="23">
        <v>245685315267</v>
      </c>
      <c r="E16" s="23">
        <v>590401551579</v>
      </c>
      <c r="F16" s="23">
        <v>310923164415</v>
      </c>
      <c r="G16" s="23">
        <v>405101528404</v>
      </c>
      <c r="H16" s="23">
        <v>187294170069</v>
      </c>
      <c r="I16" s="23">
        <v>368683501946</v>
      </c>
      <c r="J16" s="23">
        <v>410860502242</v>
      </c>
    </row>
    <row r="17" spans="1:10" x14ac:dyDescent="0.2">
      <c r="A17">
        <v>12</v>
      </c>
      <c r="B17" s="23" t="str">
        <v>Thu nhập khác</v>
      </c>
      <c r="C17" s="23">
        <v>2388598927</v>
      </c>
      <c r="D17" s="23">
        <v>11209698006</v>
      </c>
      <c r="E17" s="23">
        <v>9238136088</v>
      </c>
      <c r="F17" s="23">
        <v>15725066538</v>
      </c>
      <c r="G17" s="23">
        <v>8617829548</v>
      </c>
      <c r="H17" s="23">
        <v>8605911082</v>
      </c>
      <c r="I17" s="23">
        <v>16181309264</v>
      </c>
      <c r="J17" s="23">
        <v>10427079616</v>
      </c>
    </row>
    <row r="18" spans="1:10" x14ac:dyDescent="0.2">
      <c r="A18">
        <v>13</v>
      </c>
      <c r="B18" s="23" t="str">
        <v>Chi phí khác</v>
      </c>
      <c r="C18" s="23">
        <v>394931990</v>
      </c>
      <c r="D18" s="23">
        <v>2910690089</v>
      </c>
      <c r="E18" s="23">
        <v>2246314543</v>
      </c>
      <c r="F18" s="23">
        <v>7899714407</v>
      </c>
      <c r="G18" s="23">
        <v>15851305956</v>
      </c>
      <c r="H18" s="23">
        <v>9833969448</v>
      </c>
      <c r="I18" s="23">
        <v>6969256261</v>
      </c>
      <c r="J18" s="23">
        <v>13357877048</v>
      </c>
    </row>
    <row r="19" spans="1:10" x14ac:dyDescent="0.2">
      <c r="A19">
        <v>14</v>
      </c>
      <c r="B19" s="23" t="str">
        <v>Lợi nhuận khác</v>
      </c>
      <c r="C19" s="23">
        <v>1993666937</v>
      </c>
      <c r="D19" s="23">
        <v>8299007917</v>
      </c>
      <c r="E19" s="23">
        <v>6991821545</v>
      </c>
      <c r="F19" s="23">
        <v>7825352131</v>
      </c>
      <c r="G19" s="23">
        <v>-7233476408</v>
      </c>
      <c r="H19" s="23">
        <v>-1228058366</v>
      </c>
      <c r="I19" s="23">
        <v>9212053003</v>
      </c>
      <c r="J19" s="23">
        <v>-2930797432</v>
      </c>
    </row>
    <row r="20" spans="1:10" x14ac:dyDescent="0.2">
      <c r="A20">
        <v>15</v>
      </c>
      <c r="B20" s="23" t="str">
        <v>Lợi nhuận hoặc lỗ trong công ty liên kết (trước 2015)</v>
      </c>
      <c r="C20" s="23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</row>
    <row r="21" spans="1:10" x14ac:dyDescent="0.2">
      <c r="A21">
        <v>16</v>
      </c>
      <c r="B21" s="23" t="str">
        <v>Lợi nhuận kế toán trước thuế</v>
      </c>
      <c r="C21" s="23">
        <v>328054307275</v>
      </c>
      <c r="D21" s="23">
        <v>253984323184</v>
      </c>
      <c r="E21" s="23">
        <v>597393373124</v>
      </c>
      <c r="F21" s="23">
        <v>318748516546</v>
      </c>
      <c r="G21" s="23">
        <v>397868051996</v>
      </c>
      <c r="H21" s="23">
        <v>186066111703</v>
      </c>
      <c r="I21" s="23">
        <v>377895554949</v>
      </c>
      <c r="J21" s="23">
        <v>407929704810</v>
      </c>
    </row>
    <row r="22" spans="1:10" x14ac:dyDescent="0.2">
      <c r="A22">
        <v>17</v>
      </c>
      <c r="B22" s="23" t="str">
        <v>Chi phí thuế TNDN</v>
      </c>
      <c r="C22" s="23">
        <v>64690201319</v>
      </c>
      <c r="D22" s="23">
        <v>41835409623</v>
      </c>
      <c r="E22" s="23">
        <v>106364500455</v>
      </c>
      <c r="F22" s="23">
        <v>35575705867</v>
      </c>
      <c r="G22" s="23">
        <v>73725027577</v>
      </c>
      <c r="H22" s="23">
        <v>68774843766</v>
      </c>
      <c r="I22" s="23">
        <v>68701731815</v>
      </c>
      <c r="J22" s="23">
        <v>97802812463</v>
      </c>
    </row>
    <row r="23" spans="1:10" x14ac:dyDescent="0.2">
      <c r="A23">
        <v>18</v>
      </c>
      <c r="B23" s="23" t="str">
        <v>Chi phí thuế TNDN hiện hành</v>
      </c>
      <c r="C23" s="23">
        <v>64433475421</v>
      </c>
      <c r="D23" s="23">
        <v>42772027927</v>
      </c>
      <c r="E23" s="23">
        <v>83467221660</v>
      </c>
      <c r="F23" s="23">
        <v>35806612917</v>
      </c>
      <c r="G23" s="23">
        <v>97803195967</v>
      </c>
      <c r="H23" s="23">
        <v>72085473962</v>
      </c>
      <c r="I23" s="23">
        <v>77937805250</v>
      </c>
      <c r="J23" s="23">
        <v>96699185211</v>
      </c>
    </row>
    <row r="24" spans="1:10" x14ac:dyDescent="0.2">
      <c r="A24">
        <v>19</v>
      </c>
      <c r="B24" s="23" t="str">
        <v>Chi phí thuế TNDN hoãn lại</v>
      </c>
      <c r="C24" s="23">
        <v>256725898</v>
      </c>
      <c r="D24" s="23">
        <v>-936618304</v>
      </c>
      <c r="E24" s="23">
        <v>22897278795</v>
      </c>
      <c r="F24" s="23">
        <v>-230907050</v>
      </c>
      <c r="G24" s="23">
        <v>-24078168390</v>
      </c>
      <c r="H24" s="23">
        <v>-3310630196</v>
      </c>
      <c r="I24" s="23">
        <v>-9236073435</v>
      </c>
      <c r="J24" s="23">
        <v>1103627252</v>
      </c>
    </row>
    <row r="25" spans="1:10" x14ac:dyDescent="0.2">
      <c r="A25">
        <v>20</v>
      </c>
      <c r="B25" s="23" t="str">
        <v>Lợi nhuận sau thuế thu nhập doanh nghiệp</v>
      </c>
      <c r="C25" s="23">
        <v>263364105956</v>
      </c>
      <c r="D25" s="23">
        <v>212148913561</v>
      </c>
      <c r="E25" s="23">
        <v>491028872669</v>
      </c>
      <c r="F25" s="23">
        <v>283172810679</v>
      </c>
      <c r="G25" s="23">
        <v>324143024419</v>
      </c>
      <c r="H25" s="23">
        <v>117291267937</v>
      </c>
      <c r="I25" s="23">
        <v>309193823134</v>
      </c>
      <c r="J25" s="23">
        <v>310126892347</v>
      </c>
    </row>
    <row r="26" spans="1:10" x14ac:dyDescent="0.2">
      <c r="A26">
        <v>21</v>
      </c>
      <c r="B26" s="23" t="str">
        <v>Lợi ích của cổ đông thiểu số</v>
      </c>
      <c r="C26" s="23">
        <v>40021444210</v>
      </c>
      <c r="D26" s="23">
        <v>31888438561</v>
      </c>
      <c r="E26" s="23">
        <v>30562962890</v>
      </c>
      <c r="F26" s="23">
        <v>20931991942</v>
      </c>
      <c r="G26" s="23">
        <v>33902012122</v>
      </c>
      <c r="H26" s="23">
        <v>-35308063779</v>
      </c>
      <c r="I26" s="23">
        <v>19783274450</v>
      </c>
      <c r="J26" s="23">
        <v>-51706773005</v>
      </c>
    </row>
    <row r="27" spans="1:10" x14ac:dyDescent="0.2">
      <c r="A27">
        <v>22</v>
      </c>
      <c r="B27" s="23" t="str">
        <v>Lợi nhuận sau thuế của Công ty mẹ</v>
      </c>
      <c r="C27" s="23">
        <v>223342661746</v>
      </c>
      <c r="D27" s="23">
        <v>180260475000</v>
      </c>
      <c r="E27" s="23">
        <v>460465909779</v>
      </c>
      <c r="F27" s="23">
        <v>262240818737</v>
      </c>
      <c r="G27" s="23">
        <v>290241012297</v>
      </c>
      <c r="H27" s="23">
        <v>152599331716</v>
      </c>
      <c r="I27" s="23">
        <v>289410548684</v>
      </c>
      <c r="J27" s="23">
        <v>361833665352</v>
      </c>
    </row>
    <row r="28" spans="1:10" x14ac:dyDescent="0.2">
      <c r="A28">
        <v>23</v>
      </c>
      <c r="B28" s="23" t="str">
        <v>Lãi cơ bản trên cổ phiếu</v>
      </c>
      <c r="C28" s="23">
        <v>3426</v>
      </c>
      <c r="D28" s="23">
        <v>1115</v>
      </c>
      <c r="E28" s="23">
        <v>2690</v>
      </c>
      <c r="F28" s="23">
        <v>1310</v>
      </c>
      <c r="G28" s="23">
        <v>813</v>
      </c>
      <c r="H28" s="23">
        <v>433</v>
      </c>
      <c r="I28" s="23">
        <v>757</v>
      </c>
      <c r="J28" s="23">
        <v>0</v>
      </c>
    </row>
    <row r="29" spans="1:10" x14ac:dyDescent="0.2">
      <c r="A29">
        <v>24</v>
      </c>
      <c r="B29" s="23" t="str">
        <v>Lãi suy giảm trên cổ phiếu</v>
      </c>
      <c r="C29" s="23" t="str">
        <v/>
      </c>
      <c r="D29" s="23">
        <v>0</v>
      </c>
      <c r="E29" s="23">
        <v>2690</v>
      </c>
      <c r="F29" s="23">
        <v>1310</v>
      </c>
      <c r="G29" s="23">
        <v>813</v>
      </c>
      <c r="H29" s="23">
        <v>433</v>
      </c>
      <c r="I29" s="23">
        <v>757</v>
      </c>
      <c r="J29" s="23">
        <v>0</v>
      </c>
    </row>
    <row r="32" spans="1:10" x14ac:dyDescent="0.2">
      <c r="C32" s="132"/>
      <c r="D32" s="132"/>
      <c r="E32" s="132"/>
      <c r="F32" s="132"/>
      <c r="G32" s="132"/>
      <c r="H32" s="132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75251-9D4E-43BB-9EB0-39C7B79D8B56}">
  <sheetPr codeName="Sheet5"/>
  <dimension ref="A1:J57"/>
  <sheetViews>
    <sheetView topLeftCell="A120" workbookViewId="0">
      <selection activeCell="D149" sqref="D149"/>
    </sheetView>
  </sheetViews>
  <sheetFormatPr defaultRowHeight="15" x14ac:dyDescent="0.2"/>
  <cols>
    <col min="1" max="1" width="3.77734375" customWidth="1"/>
    <col min="2" max="2" width="78.44140625" bestFit="1" customWidth="1"/>
    <col min="3" max="3" width="18.109375" style="23" bestFit="1" customWidth="1"/>
    <col min="4" max="4" width="18.77734375" style="23" bestFit="1" customWidth="1"/>
    <col min="5" max="7" width="18.109375" style="23" bestFit="1" customWidth="1"/>
    <col min="8" max="10" width="18.77734375" style="23" bestFit="1" customWidth="1"/>
  </cols>
  <sheetData>
    <row r="1" spans="1:10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0" x14ac:dyDescent="0.2">
      <c r="C2" s="28" t="str">
        <f>CANSLIM!$E$1</f>
        <v>AAA</v>
      </c>
      <c r="D2" s="3" t="s">
        <v>20</v>
      </c>
      <c r="E2" s="3">
        <f>CANSLIM!$E$2</f>
        <v>2024</v>
      </c>
      <c r="F2" s="28" t="str">
        <f>CANSLIM!$D$2</f>
        <v>YEAR</v>
      </c>
    </row>
    <row r="4" spans="1:10" ht="15.75" x14ac:dyDescent="0.25">
      <c r="A4" s="4" t="str" cm="1">
        <f t="array" ref="A4:J57">report_finance_vnd(C2,D2,E2,F2)</f>
        <v/>
      </c>
      <c r="B4" s="4" t="str">
        <v>AAA</v>
      </c>
      <c r="C4" s="4" t="str">
        <v>2017-12-31</v>
      </c>
      <c r="D4" s="4" t="str">
        <v>2018-12-31</v>
      </c>
      <c r="E4" s="4" t="str">
        <v>2019-12-31</v>
      </c>
      <c r="F4" s="4" t="str">
        <v>2020-12-31</v>
      </c>
      <c r="G4" s="4" t="str">
        <v>2021-12-31</v>
      </c>
      <c r="H4" s="4" t="str">
        <v>2022-12-31</v>
      </c>
      <c r="I4" s="4" t="str">
        <v>2023-12-31</v>
      </c>
      <c r="J4" s="4" t="str">
        <v>2024-12-31</v>
      </c>
    </row>
    <row r="5" spans="1:10" x14ac:dyDescent="0.2">
      <c r="A5">
        <v>0</v>
      </c>
      <c r="B5" t="str">
        <v>LƯU CHUYỂN TIỀN TỪ HOẠT ĐỘNG KINH DOANH - GIÁN TIẾP</v>
      </c>
      <c r="C5" s="23" t="str">
        <v/>
      </c>
      <c r="D5" s="23" t="str">
        <v/>
      </c>
      <c r="E5" s="23" t="str">
        <v/>
      </c>
      <c r="F5" s="23" t="str">
        <v/>
      </c>
      <c r="G5" s="23" t="str">
        <v/>
      </c>
      <c r="H5" s="23" t="str">
        <v/>
      </c>
      <c r="I5" s="23" t="str">
        <v/>
      </c>
      <c r="J5" s="23" t="str">
        <v/>
      </c>
    </row>
    <row r="6" spans="1:10" x14ac:dyDescent="0.2">
      <c r="A6">
        <v>1</v>
      </c>
      <c r="B6" t="str">
        <v>Lợi nhuận kế toán trước thuế</v>
      </c>
      <c r="C6" s="23">
        <v>328054307275</v>
      </c>
      <c r="D6" s="23">
        <v>253984323184</v>
      </c>
      <c r="E6" s="23">
        <v>597393373124</v>
      </c>
      <c r="F6" s="23">
        <v>318748516546</v>
      </c>
      <c r="G6" s="23">
        <v>397868051996</v>
      </c>
      <c r="H6" s="23">
        <v>186066111703</v>
      </c>
      <c r="I6" s="23">
        <v>377895554949</v>
      </c>
      <c r="J6" s="23">
        <v>407929704810</v>
      </c>
    </row>
    <row r="7" spans="1:10" x14ac:dyDescent="0.2">
      <c r="A7">
        <v>2</v>
      </c>
      <c r="B7" t="str">
        <v>Điều chỉnh cho các khoản</v>
      </c>
      <c r="C7" s="23" t="str">
        <v/>
      </c>
      <c r="D7" s="23" t="str">
        <v/>
      </c>
      <c r="E7" s="23" t="str">
        <v/>
      </c>
      <c r="F7" s="23" t="str">
        <v/>
      </c>
      <c r="G7" s="23" t="str">
        <v/>
      </c>
      <c r="H7" s="23" t="str">
        <v/>
      </c>
      <c r="I7" s="23" t="str">
        <v/>
      </c>
      <c r="J7" s="23" t="str">
        <v/>
      </c>
    </row>
    <row r="8" spans="1:10" x14ac:dyDescent="0.2">
      <c r="A8">
        <v>3</v>
      </c>
      <c r="B8" t="str">
        <v>Chi phí khấu hao tài sản cố định</v>
      </c>
      <c r="C8" s="23">
        <v>168028491078</v>
      </c>
      <c r="D8" s="23">
        <v>244951380881</v>
      </c>
      <c r="E8" s="23">
        <v>258634288464</v>
      </c>
      <c r="F8" s="23">
        <v>287129075280</v>
      </c>
      <c r="G8" s="23">
        <v>315934993090</v>
      </c>
      <c r="H8" s="23">
        <v>311000570200</v>
      </c>
      <c r="I8" s="23">
        <v>330970771702</v>
      </c>
      <c r="J8" s="23">
        <v>392935082692</v>
      </c>
    </row>
    <row r="9" spans="1:10" x14ac:dyDescent="0.2">
      <c r="A9">
        <v>4</v>
      </c>
      <c r="B9" t="str">
        <v>Phân bổ lợi thế thương mại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</row>
    <row r="10" spans="1:10" x14ac:dyDescent="0.2">
      <c r="A10">
        <v>5</v>
      </c>
      <c r="B10" t="str">
        <v>Dự phòng giảm giá các khoản đầu tư ngắn hạn, dài hạn</v>
      </c>
      <c r="C10" s="23">
        <v>0</v>
      </c>
      <c r="D10" s="23">
        <v>2750517531</v>
      </c>
      <c r="E10" s="23">
        <v>-2398047827</v>
      </c>
      <c r="F10" s="23">
        <v>12264308359</v>
      </c>
      <c r="G10" s="23">
        <v>-1790578283</v>
      </c>
      <c r="H10" s="23">
        <v>73936091176</v>
      </c>
      <c r="I10" s="23">
        <v>-56710295885</v>
      </c>
      <c r="J10" s="23">
        <v>5061257355</v>
      </c>
    </row>
    <row r="11" spans="1:10" x14ac:dyDescent="0.2">
      <c r="A11">
        <v>6</v>
      </c>
      <c r="B11" t="str">
        <v>Lãi, lỗ chênh lệch tỷ giá hối đoái chưa thực hiện</v>
      </c>
      <c r="C11" s="23">
        <v>2615280443</v>
      </c>
      <c r="D11" s="23">
        <v>1909941812</v>
      </c>
      <c r="E11" s="23">
        <v>7383267849</v>
      </c>
      <c r="F11" s="23">
        <v>530341283</v>
      </c>
      <c r="G11" s="23">
        <v>5222727270</v>
      </c>
      <c r="H11" s="23">
        <v>-4669068884</v>
      </c>
      <c r="I11" s="23">
        <v>-12523193184</v>
      </c>
      <c r="J11" s="23">
        <v>7660873173</v>
      </c>
    </row>
    <row r="12" spans="1:10" x14ac:dyDescent="0.2">
      <c r="A12">
        <v>7</v>
      </c>
      <c r="B12" t="str">
        <v>Lãi/(lỗ) từ thanh lý tài sản cố định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</row>
    <row r="13" spans="1:10" x14ac:dyDescent="0.2">
      <c r="A13">
        <v>8</v>
      </c>
      <c r="B13" t="str">
        <v>Lãi, lỗ từ hoạt động đầu tư</v>
      </c>
      <c r="C13" s="23">
        <v>-36302695230</v>
      </c>
      <c r="D13" s="23">
        <v>-40198487758</v>
      </c>
      <c r="E13" s="23">
        <v>-141724783637</v>
      </c>
      <c r="F13" s="23">
        <v>-146635069619</v>
      </c>
      <c r="G13" s="23">
        <v>-136349091691</v>
      </c>
      <c r="H13" s="23">
        <v>-156540830449</v>
      </c>
      <c r="I13" s="23">
        <v>-231549336110</v>
      </c>
      <c r="J13" s="23">
        <v>-133477204373</v>
      </c>
    </row>
    <row r="14" spans="1:10" x14ac:dyDescent="0.2">
      <c r="A14">
        <v>9</v>
      </c>
      <c r="B14" t="str">
        <v>Chi phí lãi vay</v>
      </c>
      <c r="C14" s="23">
        <v>80592049351</v>
      </c>
      <c r="D14" s="23">
        <v>125980474352</v>
      </c>
      <c r="E14" s="23">
        <v>230356969037</v>
      </c>
      <c r="F14" s="23">
        <v>206334281030</v>
      </c>
      <c r="G14" s="23">
        <v>160990151352</v>
      </c>
      <c r="H14" s="23">
        <v>181957153241</v>
      </c>
      <c r="I14" s="23">
        <v>210817673605</v>
      </c>
      <c r="J14" s="23">
        <v>167944415958</v>
      </c>
    </row>
    <row r="15" spans="1:10" x14ac:dyDescent="0.2">
      <c r="A15">
        <v>10</v>
      </c>
      <c r="B15" t="str">
        <v>Thu lãi và cổ tức</v>
      </c>
      <c r="C15" s="23">
        <v>0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0</v>
      </c>
      <c r="J15" s="23">
        <v>0</v>
      </c>
    </row>
    <row r="16" spans="1:10" x14ac:dyDescent="0.2">
      <c r="A16">
        <v>11</v>
      </c>
      <c r="B16" t="str">
        <v>Các khoản điều chỉnh khác</v>
      </c>
      <c r="C16" s="23">
        <v>0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</row>
    <row r="17" spans="1:10" x14ac:dyDescent="0.2">
      <c r="A17">
        <v>12</v>
      </c>
      <c r="B17" t="str">
        <v>Lợi nhuận từ hoạt động kinh doanh trước thay đổi vốn  lưu động</v>
      </c>
      <c r="C17" s="23">
        <v>542987432917</v>
      </c>
      <c r="D17" s="23">
        <v>589378150002</v>
      </c>
      <c r="E17" s="23">
        <v>949645067010</v>
      </c>
      <c r="F17" s="23">
        <v>678371452879</v>
      </c>
      <c r="G17" s="23">
        <v>741876253734</v>
      </c>
      <c r="H17" s="23">
        <v>591750026987</v>
      </c>
      <c r="I17" s="23">
        <v>618901175077</v>
      </c>
      <c r="J17" s="23">
        <v>848054129615</v>
      </c>
    </row>
    <row r="18" spans="1:10" x14ac:dyDescent="0.2">
      <c r="A18">
        <v>13</v>
      </c>
      <c r="B18" t="str">
        <v>Tăng, giảm các khoản phải thu</v>
      </c>
      <c r="C18" s="23">
        <v>-571052443106</v>
      </c>
      <c r="D18" s="23">
        <v>-52240057820</v>
      </c>
      <c r="E18" s="23">
        <v>-421314249089</v>
      </c>
      <c r="F18" s="23">
        <v>12441026520</v>
      </c>
      <c r="G18" s="23">
        <v>11880702848</v>
      </c>
      <c r="H18" s="23">
        <v>304186124644</v>
      </c>
      <c r="I18" s="23">
        <v>493380052845</v>
      </c>
      <c r="J18" s="23">
        <v>-272796755615</v>
      </c>
    </row>
    <row r="19" spans="1:10" x14ac:dyDescent="0.2">
      <c r="A19">
        <v>14</v>
      </c>
      <c r="B19" t="str">
        <v>Tăng, giảm hàng tồn kho</v>
      </c>
      <c r="C19" s="23">
        <v>-86090443336</v>
      </c>
      <c r="D19" s="23">
        <v>-329364330177</v>
      </c>
      <c r="E19" s="23">
        <v>171029824182</v>
      </c>
      <c r="F19" s="23">
        <v>257146509042</v>
      </c>
      <c r="G19" s="23">
        <v>55068047660</v>
      </c>
      <c r="H19" s="23">
        <v>-847407721366</v>
      </c>
      <c r="I19" s="23">
        <v>934094908854</v>
      </c>
      <c r="J19" s="23">
        <v>-229240512953</v>
      </c>
    </row>
    <row r="20" spans="1:10" x14ac:dyDescent="0.2">
      <c r="A20">
        <v>15</v>
      </c>
      <c r="B20" t="str">
        <v>Tăng, giảm các khoản phải trả (Không kể lãi vay phải trả, thuế TNDN phải nộp)</v>
      </c>
      <c r="C20" s="23">
        <v>35067814498</v>
      </c>
      <c r="D20" s="23">
        <v>10950476407</v>
      </c>
      <c r="E20" s="23">
        <v>210732854039</v>
      </c>
      <c r="F20" s="23">
        <v>-92417605498</v>
      </c>
      <c r="G20" s="23">
        <v>-54712879349</v>
      </c>
      <c r="H20" s="23">
        <v>327368540329</v>
      </c>
      <c r="I20" s="23">
        <v>897226271918</v>
      </c>
      <c r="J20" s="23">
        <v>822208356298</v>
      </c>
    </row>
    <row r="21" spans="1:10" x14ac:dyDescent="0.2">
      <c r="A21">
        <v>16</v>
      </c>
      <c r="B21" t="str">
        <v>Tăng, giảm chi phí trả trước</v>
      </c>
      <c r="C21" s="23">
        <v>-10902229447</v>
      </c>
      <c r="D21" s="23">
        <v>-29044239788</v>
      </c>
      <c r="E21" s="23">
        <v>-22187621370</v>
      </c>
      <c r="F21" s="23">
        <v>-10735054369</v>
      </c>
      <c r="G21" s="23">
        <v>-22657668375</v>
      </c>
      <c r="H21" s="23">
        <v>51049352896</v>
      </c>
      <c r="I21" s="23">
        <v>-49793260364</v>
      </c>
      <c r="J21" s="23">
        <v>-227246060480</v>
      </c>
    </row>
    <row r="22" spans="1:10" x14ac:dyDescent="0.2">
      <c r="A22">
        <v>17</v>
      </c>
      <c r="B22" t="str">
        <v>Tăng/ (Giảm) chứng khoán kinh doanh</v>
      </c>
      <c r="C22" s="23">
        <v>0</v>
      </c>
      <c r="D22" s="23">
        <v>0</v>
      </c>
      <c r="E22" s="23">
        <v>-59670020000</v>
      </c>
      <c r="F22" s="23">
        <v>59670020000</v>
      </c>
      <c r="G22" s="23">
        <v>0</v>
      </c>
      <c r="H22" s="23">
        <v>0</v>
      </c>
      <c r="I22" s="23">
        <v>0</v>
      </c>
      <c r="J22" s="23">
        <v>0</v>
      </c>
    </row>
    <row r="23" spans="1:10" x14ac:dyDescent="0.2">
      <c r="A23">
        <v>18</v>
      </c>
      <c r="B23" t="str">
        <v>Tiền lãi vay đã trả</v>
      </c>
      <c r="C23" s="23">
        <v>-76736436738</v>
      </c>
      <c r="D23" s="23">
        <v>-124095548599</v>
      </c>
      <c r="E23" s="23">
        <v>-227770875379</v>
      </c>
      <c r="F23" s="23">
        <v>-199338047060</v>
      </c>
      <c r="G23" s="23">
        <v>-151210894500</v>
      </c>
      <c r="H23" s="23">
        <v>-170167746226</v>
      </c>
      <c r="I23" s="23">
        <v>-189465740542</v>
      </c>
      <c r="J23" s="23">
        <v>-178970559166</v>
      </c>
    </row>
    <row r="24" spans="1:10" x14ac:dyDescent="0.2">
      <c r="A24">
        <v>19</v>
      </c>
      <c r="B24" t="str">
        <v>Thuế thu nhập doanh nghiệp đã nộp</v>
      </c>
      <c r="C24" s="23">
        <v>-57458213418</v>
      </c>
      <c r="D24" s="23">
        <v>-46142737521</v>
      </c>
      <c r="E24" s="23">
        <v>-69758757749</v>
      </c>
      <c r="F24" s="23">
        <v>-49594962419</v>
      </c>
      <c r="G24" s="23">
        <v>-91995191514</v>
      </c>
      <c r="H24" s="23">
        <v>-115734842267</v>
      </c>
      <c r="I24" s="23">
        <v>-60118099537</v>
      </c>
      <c r="J24" s="23">
        <v>-32064530244</v>
      </c>
    </row>
    <row r="25" spans="1:10" x14ac:dyDescent="0.2">
      <c r="A25">
        <v>20</v>
      </c>
      <c r="B25" t="str">
        <v>Tiền thu khác từ hoạt động kinh doanh</v>
      </c>
      <c r="C25" s="23">
        <v>156340055694</v>
      </c>
      <c r="D25" s="23">
        <v>70000000000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</row>
    <row r="26" spans="1:10" x14ac:dyDescent="0.2">
      <c r="A26">
        <v>21</v>
      </c>
      <c r="B26" t="str">
        <v>Tiền chi khác cho hoạt động kinh doanh</v>
      </c>
      <c r="C26" s="23">
        <v>-12819141106</v>
      </c>
      <c r="D26" s="23">
        <v>-50900934560</v>
      </c>
      <c r="E26" s="23">
        <v>-41365311171</v>
      </c>
      <c r="F26" s="23">
        <v>-43004620889</v>
      </c>
      <c r="G26" s="23">
        <v>-44628087732</v>
      </c>
      <c r="H26" s="23">
        <v>-43948524571</v>
      </c>
      <c r="I26" s="23">
        <v>-29009489738</v>
      </c>
      <c r="J26" s="23">
        <v>-35854527783</v>
      </c>
    </row>
    <row r="27" spans="1:10" x14ac:dyDescent="0.2">
      <c r="A27">
        <v>22</v>
      </c>
      <c r="B27" t="str">
        <v>LƯU CHUYỂN TIỀN TỪ HOẠT ĐỘNG KINH DOANH - TRỰC TIẾP</v>
      </c>
      <c r="C27" s="23" t="str">
        <v/>
      </c>
      <c r="D27" s="23" t="str">
        <v/>
      </c>
      <c r="E27" s="23" t="str">
        <v/>
      </c>
      <c r="F27" s="23" t="str">
        <v/>
      </c>
      <c r="G27" s="23" t="str">
        <v/>
      </c>
      <c r="H27" s="23" t="str">
        <v/>
      </c>
      <c r="I27" s="23" t="str">
        <v/>
      </c>
      <c r="J27" s="23" t="str">
        <v/>
      </c>
    </row>
    <row r="28" spans="1:10" x14ac:dyDescent="0.2">
      <c r="A28">
        <v>23</v>
      </c>
      <c r="B28" t="str">
        <v>Tiền thu từ bán hàng, cung cấp dịch vụ và doanh thu khác</v>
      </c>
      <c r="C28" s="23">
        <v>0</v>
      </c>
      <c r="D28" s="23">
        <v>0</v>
      </c>
      <c r="E28" s="23">
        <v>0</v>
      </c>
      <c r="F28" s="23" t="str">
        <v/>
      </c>
      <c r="G28" s="23" t="str">
        <v/>
      </c>
      <c r="H28" s="23" t="str">
        <v/>
      </c>
      <c r="I28" s="23" t="str">
        <v/>
      </c>
      <c r="J28" s="23" t="str">
        <v/>
      </c>
    </row>
    <row r="29" spans="1:10" x14ac:dyDescent="0.2">
      <c r="A29">
        <v>24</v>
      </c>
      <c r="B29" t="str">
        <v>Tiền chi trả cho người cung cấp hàng hóa và dịch vụ</v>
      </c>
      <c r="C29" s="23">
        <v>0</v>
      </c>
      <c r="D29" s="23">
        <v>0</v>
      </c>
      <c r="E29" s="23">
        <v>0</v>
      </c>
      <c r="F29" s="23" t="str">
        <v/>
      </c>
      <c r="G29" s="23" t="str">
        <v/>
      </c>
      <c r="H29" s="23" t="str">
        <v/>
      </c>
      <c r="I29" s="23" t="str">
        <v/>
      </c>
      <c r="J29" s="23" t="str">
        <v/>
      </c>
    </row>
    <row r="30" spans="1:10" x14ac:dyDescent="0.2">
      <c r="A30">
        <v>25</v>
      </c>
      <c r="B30" t="str">
        <v>Tiền chi trả cho người lao động</v>
      </c>
      <c r="C30" s="23">
        <v>0</v>
      </c>
      <c r="D30" s="23">
        <v>0</v>
      </c>
      <c r="E30" s="23">
        <v>0</v>
      </c>
      <c r="F30" s="23" t="str">
        <v/>
      </c>
      <c r="G30" s="23" t="str">
        <v/>
      </c>
      <c r="H30" s="23" t="str">
        <v/>
      </c>
      <c r="I30" s="23" t="str">
        <v/>
      </c>
      <c r="J30" s="23" t="str">
        <v/>
      </c>
    </row>
    <row r="31" spans="1:10" x14ac:dyDescent="0.2">
      <c r="A31">
        <v>26</v>
      </c>
      <c r="B31" t="str">
        <v>Tiền chi trả lãi vay</v>
      </c>
      <c r="C31" s="23">
        <v>0</v>
      </c>
      <c r="D31" s="23">
        <v>0</v>
      </c>
      <c r="E31" s="23">
        <v>0</v>
      </c>
      <c r="F31" s="23" t="str">
        <v/>
      </c>
      <c r="G31" s="23" t="str">
        <v/>
      </c>
      <c r="H31" s="23" t="str">
        <v/>
      </c>
      <c r="I31" s="23" t="str">
        <v/>
      </c>
      <c r="J31" s="23" t="str">
        <v/>
      </c>
    </row>
    <row r="32" spans="1:10" x14ac:dyDescent="0.2">
      <c r="A32">
        <v>27</v>
      </c>
      <c r="B32" t="str">
        <v>Tiền chi nộp thuế thu nhập doanh nghiệp</v>
      </c>
      <c r="C32" s="23">
        <v>0</v>
      </c>
      <c r="D32" s="23">
        <v>0</v>
      </c>
      <c r="E32" s="23">
        <v>0</v>
      </c>
      <c r="F32" s="23" t="str">
        <v/>
      </c>
      <c r="G32" s="23" t="str">
        <v/>
      </c>
      <c r="H32" s="23" t="str">
        <v/>
      </c>
      <c r="I32" s="23" t="str">
        <v/>
      </c>
      <c r="J32" s="23" t="str">
        <v/>
      </c>
    </row>
    <row r="33" spans="1:10" x14ac:dyDescent="0.2">
      <c r="A33">
        <v>28</v>
      </c>
      <c r="B33" t="str">
        <v>Tiền thu khác từ hoạt động kinh doanh</v>
      </c>
      <c r="C33" s="23">
        <v>0</v>
      </c>
      <c r="D33" s="23">
        <v>0</v>
      </c>
      <c r="E33" s="23">
        <v>0</v>
      </c>
      <c r="F33" s="23" t="str">
        <v/>
      </c>
      <c r="G33" s="23" t="str">
        <v/>
      </c>
      <c r="H33" s="23" t="str">
        <v/>
      </c>
      <c r="I33" s="23" t="str">
        <v/>
      </c>
      <c r="J33" s="23" t="str">
        <v/>
      </c>
    </row>
    <row r="34" spans="1:10" x14ac:dyDescent="0.2">
      <c r="A34">
        <v>29</v>
      </c>
      <c r="B34" t="str">
        <v>Tiền chi khác cho hoạt động kinh doanh</v>
      </c>
      <c r="C34" s="23">
        <v>0</v>
      </c>
      <c r="D34" s="23">
        <v>0</v>
      </c>
      <c r="E34" s="23">
        <v>0</v>
      </c>
      <c r="F34" s="23" t="str">
        <v/>
      </c>
      <c r="G34" s="23" t="str">
        <v/>
      </c>
      <c r="H34" s="23" t="str">
        <v/>
      </c>
      <c r="I34" s="23" t="str">
        <v/>
      </c>
      <c r="J34" s="23" t="str">
        <v/>
      </c>
    </row>
    <row r="35" spans="1:10" x14ac:dyDescent="0.2">
      <c r="A35">
        <v>30</v>
      </c>
      <c r="B35" t="str">
        <v>Lưu chuyển tiền thuần từ hoạt động kinh doanh</v>
      </c>
      <c r="C35" s="23">
        <v>-80663604042</v>
      </c>
      <c r="D35" s="23">
        <v>38540777944</v>
      </c>
      <c r="E35" s="23">
        <v>489340910473</v>
      </c>
      <c r="F35" s="23">
        <v>612538718206</v>
      </c>
      <c r="G35" s="23">
        <v>443620282772</v>
      </c>
      <c r="H35" s="23">
        <v>97095210426</v>
      </c>
      <c r="I35" s="23">
        <v>2615215818513</v>
      </c>
      <c r="J35" s="23">
        <v>694089539672</v>
      </c>
    </row>
    <row r="36" spans="1:10" x14ac:dyDescent="0.2">
      <c r="A36">
        <v>31</v>
      </c>
      <c r="B36" t="str">
        <v>LƯU CHUYỂN TIỀN TỪ HOẠT ĐỘNG ĐẦU TƯ</v>
      </c>
      <c r="C36" s="23" t="str">
        <v/>
      </c>
      <c r="D36" s="23" t="str">
        <v/>
      </c>
      <c r="E36" s="23" t="str">
        <v/>
      </c>
      <c r="F36" s="23" t="str">
        <v/>
      </c>
      <c r="G36" s="23" t="str">
        <v/>
      </c>
      <c r="H36" s="23" t="str">
        <v/>
      </c>
      <c r="I36" s="23" t="str">
        <v/>
      </c>
      <c r="J36" s="23" t="str">
        <v/>
      </c>
    </row>
    <row r="37" spans="1:10" x14ac:dyDescent="0.2">
      <c r="A37">
        <v>32</v>
      </c>
      <c r="B37" t="str">
        <v>Mua sắm TSCĐ</v>
      </c>
      <c r="C37" s="23">
        <v>-695959760341</v>
      </c>
      <c r="D37" s="23">
        <v>-1698518453380</v>
      </c>
      <c r="E37" s="23">
        <v>-503894953414</v>
      </c>
      <c r="F37" s="23">
        <v>-271433582812</v>
      </c>
      <c r="G37" s="23">
        <v>-668611230534</v>
      </c>
      <c r="H37" s="23">
        <v>-168326440417</v>
      </c>
      <c r="I37" s="23">
        <v>-643183016026</v>
      </c>
      <c r="J37" s="23">
        <v>-838759386525</v>
      </c>
    </row>
    <row r="38" spans="1:10" x14ac:dyDescent="0.2">
      <c r="A38">
        <v>33</v>
      </c>
      <c r="B38" t="str">
        <v>Tiền thu từ thanh lý, nhượng bán TSCĐ và các tài sản dài hạn khác</v>
      </c>
      <c r="C38" s="23">
        <v>486363637</v>
      </c>
      <c r="D38" s="23">
        <v>0</v>
      </c>
      <c r="E38" s="23">
        <v>8263029637</v>
      </c>
      <c r="F38" s="23">
        <v>4112727274</v>
      </c>
      <c r="G38" s="23">
        <v>6450677615</v>
      </c>
      <c r="H38" s="23">
        <v>5988373461</v>
      </c>
      <c r="I38" s="23">
        <v>8127328351</v>
      </c>
      <c r="J38" s="23">
        <v>23131262833</v>
      </c>
    </row>
    <row r="39" spans="1:10" x14ac:dyDescent="0.2">
      <c r="A39">
        <v>34</v>
      </c>
      <c r="B39" t="str">
        <v>Tiền chi cho vay, mua các công cụ nợ của đơn vị khác</v>
      </c>
      <c r="C39" s="23">
        <v>-349729000000</v>
      </c>
      <c r="D39" s="23">
        <v>-1226962062976</v>
      </c>
      <c r="E39" s="23">
        <v>-1993895717230</v>
      </c>
      <c r="F39" s="23">
        <v>-1763101249909</v>
      </c>
      <c r="G39" s="23">
        <v>-1621059878400</v>
      </c>
      <c r="H39" s="23">
        <v>-627265480000</v>
      </c>
      <c r="I39" s="23">
        <v>-2260926390806</v>
      </c>
      <c r="J39" s="23">
        <v>-2373728801178</v>
      </c>
    </row>
    <row r="40" spans="1:10" x14ac:dyDescent="0.2">
      <c r="A40">
        <v>35</v>
      </c>
      <c r="B40" t="str">
        <v>Tiền thu hồi cho vay, bán lại các công cụ nợ của đơn vị khác</v>
      </c>
      <c r="C40" s="23">
        <v>183570000000</v>
      </c>
      <c r="D40" s="23">
        <v>343706433033</v>
      </c>
      <c r="E40" s="23">
        <v>1543900258132</v>
      </c>
      <c r="F40" s="23">
        <v>2683864408389</v>
      </c>
      <c r="G40" s="23">
        <v>2039289323027</v>
      </c>
      <c r="H40" s="23">
        <v>566435708400</v>
      </c>
      <c r="I40" s="23">
        <v>1870983530000</v>
      </c>
      <c r="J40" s="23">
        <v>2971976088808</v>
      </c>
    </row>
    <row r="41" spans="1:10" x14ac:dyDescent="0.2">
      <c r="A41">
        <v>36</v>
      </c>
      <c r="B41" t="str">
        <v>Tiền chi đầu tư góp vốn vào đơn vị khác</v>
      </c>
      <c r="C41" s="23">
        <v>0</v>
      </c>
      <c r="D41" s="23">
        <v>-88309009946</v>
      </c>
      <c r="E41" s="23">
        <v>-82986680000</v>
      </c>
      <c r="F41" s="23">
        <v>-847349584134</v>
      </c>
      <c r="G41" s="23">
        <v>-400404312220</v>
      </c>
      <c r="H41" s="23">
        <v>-954294817247</v>
      </c>
      <c r="I41" s="23">
        <v>-747422914038</v>
      </c>
      <c r="J41" s="23">
        <v>-944336365498</v>
      </c>
    </row>
    <row r="42" spans="1:10" x14ac:dyDescent="0.2">
      <c r="A42">
        <v>37</v>
      </c>
      <c r="B42" t="str">
        <v>Tiền thu hồi đầu tư góp vốn vào đơn vị khác</v>
      </c>
      <c r="C42" s="23">
        <v>150547322000</v>
      </c>
      <c r="D42" s="23">
        <v>18325718550</v>
      </c>
      <c r="E42" s="23">
        <v>89040042569</v>
      </c>
      <c r="F42" s="23">
        <v>92682780000</v>
      </c>
      <c r="G42" s="23">
        <v>347897480000</v>
      </c>
      <c r="H42" s="23">
        <v>400000000</v>
      </c>
      <c r="I42" s="23">
        <v>1700000000</v>
      </c>
      <c r="J42" s="23">
        <v>11167500000</v>
      </c>
    </row>
    <row r="43" spans="1:10" x14ac:dyDescent="0.2">
      <c r="A43">
        <v>38</v>
      </c>
      <c r="B43" t="str">
        <v>Tiền thu lãi cho vay, cổ tức và lợi nhuận được chia</v>
      </c>
      <c r="C43" s="23">
        <v>12513190829</v>
      </c>
      <c r="D43" s="23">
        <v>23529713725</v>
      </c>
      <c r="E43" s="23">
        <v>79721900455</v>
      </c>
      <c r="F43" s="23">
        <v>135925582576</v>
      </c>
      <c r="G43" s="23">
        <v>146047740641</v>
      </c>
      <c r="H43" s="23">
        <v>83303941711</v>
      </c>
      <c r="I43" s="23">
        <v>171361258250</v>
      </c>
      <c r="J43" s="23">
        <v>167553927087</v>
      </c>
    </row>
    <row r="44" spans="1:10" x14ac:dyDescent="0.2">
      <c r="A44">
        <v>39</v>
      </c>
      <c r="B44" t="str">
        <v>Lưu chuyển tiền thuần từ hoạt động đầu tư</v>
      </c>
      <c r="C44" s="23">
        <v>-698571883875</v>
      </c>
      <c r="D44" s="23">
        <v>-2628227660994</v>
      </c>
      <c r="E44" s="23">
        <v>-859852119851</v>
      </c>
      <c r="F44" s="23">
        <v>34701081384</v>
      </c>
      <c r="G44" s="23">
        <v>-150390199871</v>
      </c>
      <c r="H44" s="23">
        <v>-1093758714092</v>
      </c>
      <c r="I44" s="23">
        <v>-1599360204269</v>
      </c>
      <c r="J44" s="23">
        <v>-982995774473</v>
      </c>
    </row>
    <row r="45" spans="1:10" x14ac:dyDescent="0.2">
      <c r="A45">
        <v>40</v>
      </c>
      <c r="B45" t="str">
        <v>LƯU CHUYỂN TIỀN TỪ HOẠT ĐỘNG TÀI CHÍNH</v>
      </c>
      <c r="C45" s="23" t="str">
        <v/>
      </c>
      <c r="D45" s="23" t="str">
        <v/>
      </c>
      <c r="E45" s="23" t="str">
        <v/>
      </c>
      <c r="F45" s="23" t="str">
        <v/>
      </c>
      <c r="G45" s="23" t="str">
        <v/>
      </c>
      <c r="H45" s="23" t="str">
        <v/>
      </c>
      <c r="I45" s="23" t="str">
        <v/>
      </c>
      <c r="J45" s="23" t="str">
        <v/>
      </c>
    </row>
    <row r="46" spans="1:10" x14ac:dyDescent="0.2">
      <c r="A46">
        <v>41</v>
      </c>
      <c r="B46" t="str">
        <v>Tiền thu từ phát hành cổ phiếu, nhận vốn góp của chủ sở hữu</v>
      </c>
      <c r="C46" s="23">
        <v>406752500000</v>
      </c>
      <c r="D46" s="23">
        <v>1418241802000</v>
      </c>
      <c r="E46" s="23">
        <v>0</v>
      </c>
      <c r="F46" s="23">
        <v>569961500000</v>
      </c>
      <c r="G46" s="23">
        <v>1145712154488</v>
      </c>
      <c r="H46" s="23">
        <v>854220890000</v>
      </c>
      <c r="I46" s="23">
        <v>0</v>
      </c>
      <c r="J46" s="23">
        <v>0</v>
      </c>
    </row>
    <row r="47" spans="1:10" x14ac:dyDescent="0.2">
      <c r="A47">
        <v>42</v>
      </c>
      <c r="B47" t="str">
        <v>Tiền chi trả vốn góp cho các chủ sở hữu, mua lại cổ phiếu của doanh nghiệp đã phát hành</v>
      </c>
      <c r="C47" s="23">
        <v>0</v>
      </c>
      <c r="D47" s="23">
        <v>0</v>
      </c>
      <c r="E47" s="23">
        <v>0</v>
      </c>
      <c r="F47" s="23">
        <v>0</v>
      </c>
      <c r="G47" s="23">
        <v>0</v>
      </c>
      <c r="H47" s="23">
        <v>0</v>
      </c>
      <c r="I47" s="23">
        <v>0</v>
      </c>
      <c r="J47" s="23">
        <v>0</v>
      </c>
    </row>
    <row r="48" spans="1:10" x14ac:dyDescent="0.2">
      <c r="A48">
        <v>43</v>
      </c>
      <c r="B48" t="str">
        <v>Tiền vay ngắn hạn, dài hạn nhận được</v>
      </c>
      <c r="C48" s="23">
        <v>4109992694442</v>
      </c>
      <c r="D48" s="23">
        <v>7841445629972</v>
      </c>
      <c r="E48" s="23">
        <v>8003695529793</v>
      </c>
      <c r="F48" s="23">
        <v>6929547159005</v>
      </c>
      <c r="G48" s="23">
        <v>8908162396049</v>
      </c>
      <c r="H48" s="23">
        <v>7891352976594</v>
      </c>
      <c r="I48" s="23">
        <v>6422374307663</v>
      </c>
      <c r="J48" s="23">
        <v>7010231206347</v>
      </c>
    </row>
    <row r="49" spans="1:10" x14ac:dyDescent="0.2">
      <c r="A49">
        <v>44</v>
      </c>
      <c r="B49" t="str">
        <v>Tiền chi trả nợ gốc vay</v>
      </c>
      <c r="C49" s="23">
        <v>-3534755293294</v>
      </c>
      <c r="D49" s="23">
        <v>-6397797068409</v>
      </c>
      <c r="E49" s="23">
        <v>-7889053617076</v>
      </c>
      <c r="F49" s="23">
        <v>-7365247885274</v>
      </c>
      <c r="G49" s="23">
        <v>-9166083799630</v>
      </c>
      <c r="H49" s="23">
        <v>-8114479429801</v>
      </c>
      <c r="I49" s="23">
        <v>-6658111047622</v>
      </c>
      <c r="J49" s="23">
        <v>-6735784554193</v>
      </c>
    </row>
    <row r="50" spans="1:10" x14ac:dyDescent="0.2">
      <c r="A50">
        <v>45</v>
      </c>
      <c r="B50" t="str">
        <v>Tiền chi trả nợ thuê tài chính</v>
      </c>
      <c r="C50" s="23">
        <v>0</v>
      </c>
      <c r="D50" s="23">
        <v>0</v>
      </c>
      <c r="E50" s="23">
        <v>0</v>
      </c>
      <c r="F50" s="23">
        <v>0</v>
      </c>
      <c r="G50" s="23">
        <v>0</v>
      </c>
      <c r="H50" s="23">
        <v>0</v>
      </c>
      <c r="I50" s="23">
        <v>0</v>
      </c>
      <c r="J50" s="23">
        <v>-3502410204</v>
      </c>
    </row>
    <row r="51" spans="1:10" x14ac:dyDescent="0.2">
      <c r="A51">
        <v>46</v>
      </c>
      <c r="B51" t="str">
        <v>Cổ tức, lợi nhuận đã trả cho chủ sở hữu</v>
      </c>
      <c r="C51" s="23">
        <v>-99782597750</v>
      </c>
      <c r="D51" s="23">
        <v>-136131874500</v>
      </c>
      <c r="E51" s="23">
        <v>-97331913000</v>
      </c>
      <c r="F51" s="23">
        <v>-108671913000</v>
      </c>
      <c r="G51" s="23">
        <v>-148545935501</v>
      </c>
      <c r="H51" s="23">
        <v>-152250000</v>
      </c>
      <c r="I51" s="23">
        <v>-127343500</v>
      </c>
      <c r="J51" s="23">
        <v>-10532850000</v>
      </c>
    </row>
    <row r="52" spans="1:10" x14ac:dyDescent="0.2">
      <c r="A52">
        <v>47</v>
      </c>
      <c r="B52" t="str">
        <v>Tiền lãi đã nhận</v>
      </c>
      <c r="C52" s="23">
        <v>0</v>
      </c>
      <c r="D52" s="23">
        <v>0</v>
      </c>
      <c r="E52" s="23">
        <v>0</v>
      </c>
      <c r="F52" s="23">
        <v>0</v>
      </c>
      <c r="G52" s="23">
        <v>0</v>
      </c>
      <c r="H52" s="23">
        <v>0</v>
      </c>
      <c r="I52" s="23">
        <v>0</v>
      </c>
      <c r="J52" s="23">
        <v>0</v>
      </c>
    </row>
    <row r="53" spans="1:10" x14ac:dyDescent="0.2">
      <c r="A53">
        <v>48</v>
      </c>
      <c r="B53" t="str">
        <v>Lưu chuyển tiền thuần từ hoạt động tài chính</v>
      </c>
      <c r="C53" s="23">
        <v>882207303398</v>
      </c>
      <c r="D53" s="23">
        <v>2725758489063</v>
      </c>
      <c r="E53" s="23">
        <v>17309999717</v>
      </c>
      <c r="F53" s="23">
        <v>25588860731</v>
      </c>
      <c r="G53" s="23">
        <v>739244815406</v>
      </c>
      <c r="H53" s="23">
        <v>630942186793</v>
      </c>
      <c r="I53" s="23">
        <v>-235864083459</v>
      </c>
      <c r="J53" s="23">
        <v>260411391950</v>
      </c>
    </row>
    <row r="54" spans="1:10" x14ac:dyDescent="0.2">
      <c r="A54">
        <v>49</v>
      </c>
      <c r="B54" t="str">
        <v>Lưu chuyển tiền thuần trong kỳ</v>
      </c>
      <c r="C54" s="23">
        <v>102971815481</v>
      </c>
      <c r="D54" s="23">
        <v>136071606013</v>
      </c>
      <c r="E54" s="23">
        <v>-353201209661</v>
      </c>
      <c r="F54" s="23">
        <v>672828660321</v>
      </c>
      <c r="G54" s="23">
        <v>1032474898307</v>
      </c>
      <c r="H54" s="23">
        <v>-365721316873</v>
      </c>
      <c r="I54" s="23">
        <v>779991530785</v>
      </c>
      <c r="J54" s="23">
        <v>-28494842851</v>
      </c>
    </row>
    <row r="55" spans="1:10" x14ac:dyDescent="0.2">
      <c r="A55">
        <v>50</v>
      </c>
      <c r="B55" t="str">
        <v>Tiền và tương đương tiền đầu kỳ</v>
      </c>
      <c r="C55" s="23">
        <v>406676809154</v>
      </c>
      <c r="D55" s="23">
        <v>509577636533</v>
      </c>
      <c r="E55" s="23">
        <v>645474843425</v>
      </c>
      <c r="F55" s="23">
        <v>291674680985</v>
      </c>
      <c r="G55" s="23">
        <v>963717122052</v>
      </c>
      <c r="H55" s="23">
        <v>1988170740182</v>
      </c>
      <c r="I55" s="23">
        <v>1642978052440</v>
      </c>
      <c r="J55" s="23">
        <v>2435058282483</v>
      </c>
    </row>
    <row r="56" spans="1:10" x14ac:dyDescent="0.2">
      <c r="A56">
        <v>51</v>
      </c>
      <c r="B56" t="str">
        <v>Ảnh hưởng của thay đổi tỷ giá hối đoái quy đổi ngoại tệ</v>
      </c>
      <c r="C56" s="23">
        <v>-70988102</v>
      </c>
      <c r="D56" s="23">
        <v>-174399121</v>
      </c>
      <c r="E56" s="23">
        <v>-598952779</v>
      </c>
      <c r="F56" s="23">
        <v>-786219254</v>
      </c>
      <c r="G56" s="23">
        <v>-8021280177</v>
      </c>
      <c r="H56" s="23">
        <v>20528629131</v>
      </c>
      <c r="I56" s="23">
        <v>12088699258</v>
      </c>
      <c r="J56" s="23">
        <v>12954465473</v>
      </c>
    </row>
    <row r="57" spans="1:10" x14ac:dyDescent="0.2">
      <c r="A57">
        <v>52</v>
      </c>
      <c r="B57" t="str">
        <v>Tiền và tương đương tiền cuối kỳ</v>
      </c>
      <c r="C57" s="23">
        <v>509577636533</v>
      </c>
      <c r="D57" s="23">
        <v>645474843425</v>
      </c>
      <c r="E57" s="23">
        <v>291674680985</v>
      </c>
      <c r="F57" s="23">
        <v>963717122052</v>
      </c>
      <c r="G57" s="23">
        <v>1988170740182</v>
      </c>
      <c r="H57" s="23">
        <v>1642978052440</v>
      </c>
      <c r="I57" s="23">
        <v>2435058282483</v>
      </c>
      <c r="J57" s="23">
        <v>2419517905105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7CC88-CB89-411D-8D49-635C7DD921CE}">
  <sheetPr codeName="Sheet6"/>
  <dimension ref="A1:H1609"/>
  <sheetViews>
    <sheetView topLeftCell="A1574" workbookViewId="0">
      <selection activeCell="I8" sqref="I8"/>
    </sheetView>
  </sheetViews>
  <sheetFormatPr defaultRowHeight="15" x14ac:dyDescent="0.2"/>
  <cols>
    <col min="1" max="1" width="7.21875" customWidth="1"/>
    <col min="2" max="2" width="61.21875" customWidth="1"/>
    <col min="3" max="3" width="34.6640625" customWidth="1"/>
    <col min="5" max="5" width="11.21875" customWidth="1"/>
    <col min="6" max="6" width="21" customWidth="1"/>
    <col min="7" max="7" width="30" customWidth="1"/>
    <col min="8" max="8" width="19.33203125" customWidth="1"/>
  </cols>
  <sheetData>
    <row r="1" spans="1:8" x14ac:dyDescent="0.2">
      <c r="A1" t="s">
        <v>16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</row>
    <row r="2" spans="1:8" x14ac:dyDescent="0.2">
      <c r="A2" t="s">
        <v>133</v>
      </c>
      <c r="B2" t="s">
        <v>134</v>
      </c>
      <c r="C2" t="s">
        <v>135</v>
      </c>
      <c r="D2" t="s">
        <v>136</v>
      </c>
      <c r="E2">
        <v>6800000</v>
      </c>
      <c r="F2" t="s">
        <v>137</v>
      </c>
      <c r="G2" t="s">
        <v>138</v>
      </c>
      <c r="H2" t="s">
        <v>139</v>
      </c>
    </row>
    <row r="3" spans="1:8" x14ac:dyDescent="0.2">
      <c r="A3" t="s">
        <v>140</v>
      </c>
      <c r="B3" t="s">
        <v>141</v>
      </c>
      <c r="C3" t="s">
        <v>142</v>
      </c>
      <c r="D3" t="s">
        <v>143</v>
      </c>
      <c r="E3">
        <v>382274496</v>
      </c>
      <c r="F3" t="s">
        <v>144</v>
      </c>
      <c r="G3" t="s">
        <v>144</v>
      </c>
      <c r="H3" t="s">
        <v>145</v>
      </c>
    </row>
    <row r="4" spans="1:8" x14ac:dyDescent="0.2">
      <c r="A4" t="s">
        <v>146</v>
      </c>
      <c r="B4" t="s">
        <v>147</v>
      </c>
      <c r="C4" t="s">
        <v>148</v>
      </c>
      <c r="D4" t="s">
        <v>136</v>
      </c>
      <c r="E4">
        <v>117900000</v>
      </c>
      <c r="F4" t="s">
        <v>149</v>
      </c>
      <c r="G4" t="s">
        <v>150</v>
      </c>
      <c r="H4" t="s">
        <v>145</v>
      </c>
    </row>
    <row r="5" spans="1:8" x14ac:dyDescent="0.2">
      <c r="A5" t="s">
        <v>151</v>
      </c>
      <c r="B5" t="s">
        <v>152</v>
      </c>
      <c r="C5" t="s">
        <v>153</v>
      </c>
      <c r="D5" t="s">
        <v>143</v>
      </c>
      <c r="E5">
        <v>12346411</v>
      </c>
      <c r="F5" t="s">
        <v>154</v>
      </c>
      <c r="G5" t="s">
        <v>155</v>
      </c>
      <c r="H5" t="s">
        <v>139</v>
      </c>
    </row>
    <row r="6" spans="1:8" x14ac:dyDescent="0.2">
      <c r="A6" t="s">
        <v>156</v>
      </c>
      <c r="B6" t="s">
        <v>157</v>
      </c>
      <c r="C6" t="s">
        <v>158</v>
      </c>
      <c r="D6" t="s">
        <v>136</v>
      </c>
      <c r="E6">
        <v>229999521</v>
      </c>
      <c r="F6" t="s">
        <v>159</v>
      </c>
      <c r="G6" t="s">
        <v>159</v>
      </c>
      <c r="H6" t="s">
        <v>160</v>
      </c>
    </row>
    <row r="7" spans="1:8" x14ac:dyDescent="0.2">
      <c r="A7" t="s">
        <v>161</v>
      </c>
      <c r="B7" t="s">
        <v>162</v>
      </c>
      <c r="C7" t="s">
        <v>163</v>
      </c>
      <c r="D7" t="s">
        <v>143</v>
      </c>
      <c r="E7">
        <v>70819103</v>
      </c>
      <c r="F7" t="s">
        <v>137</v>
      </c>
      <c r="G7" t="s">
        <v>138</v>
      </c>
      <c r="H7" t="s">
        <v>139</v>
      </c>
    </row>
    <row r="8" spans="1:8" x14ac:dyDescent="0.2">
      <c r="A8" t="s">
        <v>164</v>
      </c>
      <c r="B8" t="s">
        <v>165</v>
      </c>
      <c r="C8" t="s">
        <v>166</v>
      </c>
      <c r="D8" t="s">
        <v>167</v>
      </c>
      <c r="E8">
        <v>68987661</v>
      </c>
      <c r="F8" t="s">
        <v>166</v>
      </c>
      <c r="G8" t="s">
        <v>166</v>
      </c>
      <c r="H8" t="s">
        <v>160</v>
      </c>
    </row>
    <row r="9" spans="1:8" x14ac:dyDescent="0.2">
      <c r="A9" t="s">
        <v>168</v>
      </c>
      <c r="B9" t="s">
        <v>169</v>
      </c>
      <c r="C9" t="s">
        <v>170</v>
      </c>
      <c r="D9" t="s">
        <v>136</v>
      </c>
      <c r="E9">
        <v>1035036762</v>
      </c>
      <c r="F9" t="s">
        <v>170</v>
      </c>
      <c r="G9" t="s">
        <v>170</v>
      </c>
      <c r="H9" t="s">
        <v>170</v>
      </c>
    </row>
    <row r="10" spans="1:8" x14ac:dyDescent="0.2">
      <c r="A10" t="s">
        <v>171</v>
      </c>
      <c r="B10" t="s">
        <v>172</v>
      </c>
      <c r="C10" t="s">
        <v>173</v>
      </c>
      <c r="D10" t="s">
        <v>136</v>
      </c>
      <c r="E10">
        <v>20393000</v>
      </c>
      <c r="F10" t="s">
        <v>173</v>
      </c>
      <c r="G10" t="s">
        <v>174</v>
      </c>
      <c r="H10" t="s">
        <v>174</v>
      </c>
    </row>
    <row r="11" spans="1:8" x14ac:dyDescent="0.2">
      <c r="A11" t="s">
        <v>175</v>
      </c>
      <c r="B11" t="s">
        <v>176</v>
      </c>
      <c r="C11" t="s">
        <v>177</v>
      </c>
      <c r="D11" t="s">
        <v>136</v>
      </c>
      <c r="E11">
        <v>72391750</v>
      </c>
      <c r="F11" t="s">
        <v>177</v>
      </c>
      <c r="G11" t="s">
        <v>178</v>
      </c>
      <c r="H11" t="s">
        <v>160</v>
      </c>
    </row>
    <row r="12" spans="1:8" x14ac:dyDescent="0.2">
      <c r="A12" t="s">
        <v>179</v>
      </c>
      <c r="B12" t="s">
        <v>180</v>
      </c>
      <c r="C12" t="s">
        <v>181</v>
      </c>
      <c r="D12" t="s">
        <v>143</v>
      </c>
      <c r="E12">
        <v>20000000</v>
      </c>
      <c r="F12" t="s">
        <v>182</v>
      </c>
      <c r="G12" t="s">
        <v>183</v>
      </c>
      <c r="H12" t="s">
        <v>184</v>
      </c>
    </row>
    <row r="13" spans="1:8" x14ac:dyDescent="0.2">
      <c r="A13" t="s">
        <v>185</v>
      </c>
      <c r="B13" t="s">
        <v>186</v>
      </c>
      <c r="C13" t="s">
        <v>153</v>
      </c>
      <c r="D13" t="s">
        <v>143</v>
      </c>
      <c r="E13">
        <v>80000000</v>
      </c>
      <c r="F13" t="s">
        <v>154</v>
      </c>
      <c r="G13" t="s">
        <v>155</v>
      </c>
      <c r="H13" t="s">
        <v>139</v>
      </c>
    </row>
    <row r="14" spans="1:8" x14ac:dyDescent="0.2">
      <c r="A14" t="s">
        <v>187</v>
      </c>
      <c r="B14" t="s">
        <v>188</v>
      </c>
      <c r="C14" t="s">
        <v>153</v>
      </c>
      <c r="D14" t="s">
        <v>143</v>
      </c>
      <c r="E14">
        <v>14387207</v>
      </c>
      <c r="F14" t="s">
        <v>154</v>
      </c>
      <c r="G14" t="s">
        <v>155</v>
      </c>
      <c r="H14" t="s">
        <v>139</v>
      </c>
    </row>
    <row r="15" spans="1:8" x14ac:dyDescent="0.2">
      <c r="A15" t="s">
        <v>189</v>
      </c>
      <c r="B15" t="s">
        <v>190</v>
      </c>
      <c r="C15" t="s">
        <v>158</v>
      </c>
      <c r="D15" t="s">
        <v>136</v>
      </c>
      <c r="E15">
        <v>101150000</v>
      </c>
      <c r="F15" t="s">
        <v>159</v>
      </c>
      <c r="G15" t="s">
        <v>159</v>
      </c>
      <c r="H15" t="s">
        <v>160</v>
      </c>
    </row>
    <row r="16" spans="1:8" x14ac:dyDescent="0.2">
      <c r="A16" t="s">
        <v>118</v>
      </c>
      <c r="B16" t="s">
        <v>191</v>
      </c>
      <c r="C16" t="s">
        <v>170</v>
      </c>
      <c r="D16" t="s">
        <v>143</v>
      </c>
      <c r="E16">
        <v>4466657912</v>
      </c>
      <c r="F16" t="s">
        <v>170</v>
      </c>
      <c r="G16" t="s">
        <v>170</v>
      </c>
      <c r="H16" t="s">
        <v>170</v>
      </c>
    </row>
    <row r="17" spans="1:8" x14ac:dyDescent="0.2">
      <c r="A17" t="s">
        <v>192</v>
      </c>
      <c r="B17" t="s">
        <v>193</v>
      </c>
      <c r="C17" t="s">
        <v>194</v>
      </c>
      <c r="D17" t="s">
        <v>143</v>
      </c>
      <c r="E17">
        <v>104999993</v>
      </c>
      <c r="F17" t="s">
        <v>195</v>
      </c>
      <c r="G17" t="s">
        <v>195</v>
      </c>
      <c r="H17" t="s">
        <v>184</v>
      </c>
    </row>
    <row r="18" spans="1:8" x14ac:dyDescent="0.2">
      <c r="A18" t="s">
        <v>196</v>
      </c>
      <c r="B18" t="s">
        <v>197</v>
      </c>
      <c r="C18" t="s">
        <v>194</v>
      </c>
      <c r="D18" t="s">
        <v>136</v>
      </c>
      <c r="E18">
        <v>3050781</v>
      </c>
      <c r="F18" t="s">
        <v>195</v>
      </c>
      <c r="G18" t="s">
        <v>195</v>
      </c>
      <c r="H18" t="s">
        <v>184</v>
      </c>
    </row>
    <row r="19" spans="1:8" x14ac:dyDescent="0.2">
      <c r="A19" t="s">
        <v>198</v>
      </c>
      <c r="B19" t="s">
        <v>199</v>
      </c>
      <c r="C19" t="s">
        <v>200</v>
      </c>
      <c r="D19" t="s">
        <v>143</v>
      </c>
      <c r="E19">
        <v>150787946</v>
      </c>
      <c r="F19" t="s">
        <v>201</v>
      </c>
      <c r="G19" t="s">
        <v>150</v>
      </c>
      <c r="H19" t="s">
        <v>145</v>
      </c>
    </row>
    <row r="20" spans="1:8" x14ac:dyDescent="0.2">
      <c r="A20" t="s">
        <v>202</v>
      </c>
      <c r="B20" t="s">
        <v>203</v>
      </c>
      <c r="C20" t="s">
        <v>153</v>
      </c>
      <c r="D20" t="s">
        <v>143</v>
      </c>
      <c r="E20">
        <v>50159019</v>
      </c>
      <c r="F20" t="s">
        <v>154</v>
      </c>
      <c r="G20" t="s">
        <v>155</v>
      </c>
      <c r="H20" t="s">
        <v>139</v>
      </c>
    </row>
    <row r="21" spans="1:8" x14ac:dyDescent="0.2">
      <c r="A21" t="s">
        <v>204</v>
      </c>
      <c r="B21" t="s">
        <v>205</v>
      </c>
      <c r="C21" t="s">
        <v>149</v>
      </c>
      <c r="D21" t="s">
        <v>136</v>
      </c>
      <c r="E21">
        <v>51000000</v>
      </c>
      <c r="F21" t="s">
        <v>149</v>
      </c>
      <c r="G21" t="s">
        <v>150</v>
      </c>
      <c r="H21" t="s">
        <v>145</v>
      </c>
    </row>
    <row r="22" spans="1:8" x14ac:dyDescent="0.2">
      <c r="A22" t="s">
        <v>206</v>
      </c>
      <c r="B22" t="s">
        <v>207</v>
      </c>
      <c r="C22" t="s">
        <v>208</v>
      </c>
      <c r="D22" t="s">
        <v>136</v>
      </c>
      <c r="E22">
        <v>4000000</v>
      </c>
      <c r="F22" t="s">
        <v>195</v>
      </c>
      <c r="G22" t="s">
        <v>195</v>
      </c>
      <c r="H22" t="s">
        <v>184</v>
      </c>
    </row>
    <row r="23" spans="1:8" x14ac:dyDescent="0.2">
      <c r="A23" t="s">
        <v>209</v>
      </c>
      <c r="B23" t="s">
        <v>210</v>
      </c>
      <c r="C23" t="s">
        <v>211</v>
      </c>
      <c r="D23" t="s">
        <v>136</v>
      </c>
      <c r="E23">
        <v>2177173236</v>
      </c>
      <c r="F23" t="s">
        <v>212</v>
      </c>
      <c r="G23" t="s">
        <v>183</v>
      </c>
      <c r="H23" t="s">
        <v>184</v>
      </c>
    </row>
    <row r="24" spans="1:8" x14ac:dyDescent="0.2">
      <c r="A24" t="s">
        <v>213</v>
      </c>
      <c r="B24" t="s">
        <v>214</v>
      </c>
      <c r="C24" t="s">
        <v>215</v>
      </c>
      <c r="D24" t="s">
        <v>167</v>
      </c>
      <c r="E24">
        <v>3977936</v>
      </c>
      <c r="F24" t="s">
        <v>216</v>
      </c>
      <c r="G24" t="s">
        <v>216</v>
      </c>
      <c r="H24" t="s">
        <v>217</v>
      </c>
    </row>
    <row r="25" spans="1:8" x14ac:dyDescent="0.2">
      <c r="A25" t="s">
        <v>218</v>
      </c>
      <c r="B25" t="s">
        <v>219</v>
      </c>
      <c r="C25" t="s">
        <v>220</v>
      </c>
      <c r="D25" t="s">
        <v>143</v>
      </c>
      <c r="E25">
        <v>21380521</v>
      </c>
      <c r="F25" t="s">
        <v>216</v>
      </c>
      <c r="G25" t="s">
        <v>216</v>
      </c>
      <c r="H25" t="s">
        <v>217</v>
      </c>
    </row>
    <row r="26" spans="1:8" x14ac:dyDescent="0.2">
      <c r="A26" t="s">
        <v>221</v>
      </c>
      <c r="B26" t="s">
        <v>222</v>
      </c>
      <c r="C26" t="s">
        <v>194</v>
      </c>
      <c r="D26" t="s">
        <v>143</v>
      </c>
      <c r="E26">
        <v>23039850</v>
      </c>
      <c r="F26" t="s">
        <v>195</v>
      </c>
      <c r="G26" t="s">
        <v>195</v>
      </c>
      <c r="H26" t="s">
        <v>184</v>
      </c>
    </row>
    <row r="27" spans="1:8" x14ac:dyDescent="0.2">
      <c r="A27" t="s">
        <v>223</v>
      </c>
      <c r="B27" t="s">
        <v>224</v>
      </c>
      <c r="C27" t="s">
        <v>163</v>
      </c>
      <c r="D27" t="s">
        <v>143</v>
      </c>
      <c r="E27">
        <v>76394727</v>
      </c>
      <c r="F27" t="s">
        <v>137</v>
      </c>
      <c r="G27" t="s">
        <v>138</v>
      </c>
      <c r="H27" t="s">
        <v>139</v>
      </c>
    </row>
    <row r="28" spans="1:8" x14ac:dyDescent="0.2">
      <c r="A28" t="s">
        <v>225</v>
      </c>
      <c r="B28" t="s">
        <v>226</v>
      </c>
      <c r="C28" t="s">
        <v>227</v>
      </c>
      <c r="D28" t="s">
        <v>136</v>
      </c>
      <c r="E28">
        <v>35000000</v>
      </c>
      <c r="F28" t="s">
        <v>228</v>
      </c>
      <c r="G28" t="s">
        <v>229</v>
      </c>
      <c r="H28" t="s">
        <v>217</v>
      </c>
    </row>
    <row r="29" spans="1:8" x14ac:dyDescent="0.2">
      <c r="A29" t="s">
        <v>230</v>
      </c>
      <c r="B29" t="s">
        <v>231</v>
      </c>
      <c r="C29" t="s">
        <v>163</v>
      </c>
      <c r="D29" t="s">
        <v>136</v>
      </c>
      <c r="E29">
        <v>4863386</v>
      </c>
      <c r="F29" t="s">
        <v>137</v>
      </c>
      <c r="G29" t="s">
        <v>138</v>
      </c>
      <c r="H29" t="s">
        <v>139</v>
      </c>
    </row>
    <row r="30" spans="1:8" x14ac:dyDescent="0.2">
      <c r="A30" t="s">
        <v>232</v>
      </c>
      <c r="B30" t="s">
        <v>233</v>
      </c>
      <c r="C30" t="s">
        <v>153</v>
      </c>
      <c r="D30" t="s">
        <v>136</v>
      </c>
      <c r="E30">
        <v>28109743</v>
      </c>
      <c r="F30" t="s">
        <v>154</v>
      </c>
      <c r="G30" t="s">
        <v>155</v>
      </c>
      <c r="H30" t="s">
        <v>139</v>
      </c>
    </row>
    <row r="31" spans="1:8" x14ac:dyDescent="0.2">
      <c r="A31" t="s">
        <v>121</v>
      </c>
      <c r="B31" t="s">
        <v>234</v>
      </c>
      <c r="C31" t="s">
        <v>166</v>
      </c>
      <c r="D31" t="s">
        <v>143</v>
      </c>
      <c r="E31">
        <v>156397281</v>
      </c>
      <c r="F31" t="s">
        <v>166</v>
      </c>
      <c r="G31" t="s">
        <v>166</v>
      </c>
      <c r="H31" t="s">
        <v>160</v>
      </c>
    </row>
    <row r="32" spans="1:8" x14ac:dyDescent="0.2">
      <c r="A32" t="s">
        <v>235</v>
      </c>
      <c r="B32" t="s">
        <v>236</v>
      </c>
      <c r="C32" t="s">
        <v>237</v>
      </c>
      <c r="D32" t="s">
        <v>143</v>
      </c>
      <c r="E32">
        <v>18200000</v>
      </c>
      <c r="F32" t="s">
        <v>154</v>
      </c>
      <c r="G32" t="s">
        <v>155</v>
      </c>
      <c r="H32" t="s">
        <v>139</v>
      </c>
    </row>
    <row r="33" spans="1:8" x14ac:dyDescent="0.2">
      <c r="A33" t="s">
        <v>238</v>
      </c>
      <c r="B33" t="s">
        <v>239</v>
      </c>
      <c r="C33" t="s">
        <v>240</v>
      </c>
      <c r="D33" t="s">
        <v>136</v>
      </c>
      <c r="E33">
        <v>23143941</v>
      </c>
      <c r="F33" t="s">
        <v>240</v>
      </c>
      <c r="G33" t="s">
        <v>241</v>
      </c>
      <c r="H33" t="s">
        <v>242</v>
      </c>
    </row>
    <row r="34" spans="1:8" x14ac:dyDescent="0.2">
      <c r="A34" t="s">
        <v>243</v>
      </c>
      <c r="B34" t="s">
        <v>244</v>
      </c>
      <c r="C34" t="s">
        <v>158</v>
      </c>
      <c r="D34" t="s">
        <v>143</v>
      </c>
      <c r="E34">
        <v>215391309</v>
      </c>
      <c r="F34" t="s">
        <v>159</v>
      </c>
      <c r="G34" t="s">
        <v>159</v>
      </c>
      <c r="H34" t="s">
        <v>160</v>
      </c>
    </row>
    <row r="35" spans="1:8" x14ac:dyDescent="0.2">
      <c r="A35" t="s">
        <v>245</v>
      </c>
      <c r="B35" t="s">
        <v>246</v>
      </c>
      <c r="C35" t="s">
        <v>227</v>
      </c>
      <c r="D35" t="s">
        <v>136</v>
      </c>
      <c r="E35">
        <v>10800000</v>
      </c>
      <c r="F35" t="s">
        <v>228</v>
      </c>
      <c r="G35" t="s">
        <v>229</v>
      </c>
      <c r="H35" t="s">
        <v>217</v>
      </c>
    </row>
    <row r="36" spans="1:8" x14ac:dyDescent="0.2">
      <c r="A36" t="s">
        <v>247</v>
      </c>
      <c r="B36" t="s">
        <v>248</v>
      </c>
      <c r="C36" t="s">
        <v>177</v>
      </c>
      <c r="D36" t="s">
        <v>136</v>
      </c>
      <c r="E36">
        <v>100000000</v>
      </c>
      <c r="F36" t="s">
        <v>177</v>
      </c>
      <c r="G36" t="s">
        <v>178</v>
      </c>
      <c r="H36" t="s">
        <v>160</v>
      </c>
    </row>
    <row r="37" spans="1:8" x14ac:dyDescent="0.2">
      <c r="A37" t="s">
        <v>249</v>
      </c>
      <c r="B37" t="s">
        <v>250</v>
      </c>
      <c r="C37" t="s">
        <v>215</v>
      </c>
      <c r="D37" t="s">
        <v>167</v>
      </c>
      <c r="E37">
        <v>6172523</v>
      </c>
      <c r="F37" t="s">
        <v>216</v>
      </c>
      <c r="G37" t="s">
        <v>216</v>
      </c>
      <c r="H37" t="s">
        <v>217</v>
      </c>
    </row>
    <row r="38" spans="1:8" x14ac:dyDescent="0.2">
      <c r="A38" t="s">
        <v>251</v>
      </c>
      <c r="B38" t="s">
        <v>252</v>
      </c>
      <c r="C38" t="s">
        <v>208</v>
      </c>
      <c r="D38" t="s">
        <v>136</v>
      </c>
      <c r="E38">
        <v>5657936</v>
      </c>
      <c r="F38" t="s">
        <v>195</v>
      </c>
      <c r="G38" t="s">
        <v>195</v>
      </c>
      <c r="H38" t="s">
        <v>184</v>
      </c>
    </row>
    <row r="39" spans="1:8" x14ac:dyDescent="0.2">
      <c r="A39" t="s">
        <v>253</v>
      </c>
      <c r="B39" t="s">
        <v>254</v>
      </c>
      <c r="C39" t="s">
        <v>149</v>
      </c>
      <c r="D39" t="s">
        <v>167</v>
      </c>
      <c r="E39">
        <v>2850000</v>
      </c>
      <c r="F39" t="s">
        <v>149</v>
      </c>
      <c r="G39" t="s">
        <v>150</v>
      </c>
      <c r="H39" t="s">
        <v>145</v>
      </c>
    </row>
    <row r="40" spans="1:8" x14ac:dyDescent="0.2">
      <c r="A40" t="s">
        <v>255</v>
      </c>
      <c r="B40" t="s">
        <v>256</v>
      </c>
      <c r="C40" t="s">
        <v>166</v>
      </c>
      <c r="D40" t="s">
        <v>136</v>
      </c>
      <c r="E40">
        <v>163504874</v>
      </c>
      <c r="F40" t="s">
        <v>166</v>
      </c>
      <c r="G40" t="s">
        <v>166</v>
      </c>
      <c r="H40" t="s">
        <v>160</v>
      </c>
    </row>
    <row r="41" spans="1:8" x14ac:dyDescent="0.2">
      <c r="A41" t="s">
        <v>257</v>
      </c>
      <c r="B41" t="s">
        <v>258</v>
      </c>
      <c r="C41" t="s">
        <v>259</v>
      </c>
      <c r="D41" t="s">
        <v>167</v>
      </c>
      <c r="E41">
        <v>65200000</v>
      </c>
      <c r="F41" t="s">
        <v>260</v>
      </c>
      <c r="G41" t="s">
        <v>183</v>
      </c>
      <c r="H41" t="s">
        <v>184</v>
      </c>
    </row>
    <row r="42" spans="1:8" x14ac:dyDescent="0.2">
      <c r="A42" t="s">
        <v>261</v>
      </c>
      <c r="B42" t="s">
        <v>262</v>
      </c>
      <c r="C42" t="s">
        <v>240</v>
      </c>
      <c r="D42" t="s">
        <v>136</v>
      </c>
      <c r="E42">
        <v>13000000</v>
      </c>
      <c r="F42" t="s">
        <v>240</v>
      </c>
      <c r="G42" t="s">
        <v>241</v>
      </c>
      <c r="H42" t="s">
        <v>242</v>
      </c>
    </row>
    <row r="43" spans="1:8" x14ac:dyDescent="0.2">
      <c r="A43" t="s">
        <v>263</v>
      </c>
      <c r="B43" t="s">
        <v>264</v>
      </c>
      <c r="C43" t="s">
        <v>265</v>
      </c>
      <c r="D43" t="s">
        <v>136</v>
      </c>
      <c r="E43">
        <v>60000000</v>
      </c>
      <c r="F43" t="s">
        <v>182</v>
      </c>
      <c r="G43" t="s">
        <v>183</v>
      </c>
      <c r="H43" t="s">
        <v>184</v>
      </c>
    </row>
    <row r="44" spans="1:8" x14ac:dyDescent="0.2">
      <c r="A44" t="s">
        <v>266</v>
      </c>
      <c r="B44" t="s">
        <v>267</v>
      </c>
      <c r="C44" t="s">
        <v>268</v>
      </c>
      <c r="D44" t="s">
        <v>167</v>
      </c>
      <c r="E44">
        <v>131105650</v>
      </c>
      <c r="F44" t="s">
        <v>269</v>
      </c>
      <c r="G44" t="s">
        <v>241</v>
      </c>
      <c r="H44" t="s">
        <v>242</v>
      </c>
    </row>
    <row r="45" spans="1:8" x14ac:dyDescent="0.2">
      <c r="A45" t="s">
        <v>270</v>
      </c>
      <c r="B45" t="s">
        <v>271</v>
      </c>
      <c r="C45" t="s">
        <v>237</v>
      </c>
      <c r="D45" t="s">
        <v>136</v>
      </c>
      <c r="E45">
        <v>18399823</v>
      </c>
      <c r="F45" t="s">
        <v>154</v>
      </c>
      <c r="G45" t="s">
        <v>155</v>
      </c>
      <c r="H45" t="s">
        <v>139</v>
      </c>
    </row>
    <row r="46" spans="1:8" x14ac:dyDescent="0.2">
      <c r="A46" t="s">
        <v>272</v>
      </c>
      <c r="B46" t="s">
        <v>273</v>
      </c>
      <c r="C46" t="s">
        <v>153</v>
      </c>
      <c r="D46" t="s">
        <v>143</v>
      </c>
      <c r="E46">
        <v>133539625</v>
      </c>
      <c r="F46" t="s">
        <v>154</v>
      </c>
      <c r="G46" t="s">
        <v>155</v>
      </c>
      <c r="H46" t="s">
        <v>139</v>
      </c>
    </row>
    <row r="47" spans="1:8" x14ac:dyDescent="0.2">
      <c r="A47" t="s">
        <v>274</v>
      </c>
      <c r="B47" t="s">
        <v>275</v>
      </c>
      <c r="C47" t="s">
        <v>276</v>
      </c>
      <c r="D47" t="s">
        <v>136</v>
      </c>
      <c r="E47">
        <v>20121395</v>
      </c>
      <c r="F47" t="s">
        <v>240</v>
      </c>
      <c r="G47" t="s">
        <v>241</v>
      </c>
      <c r="H47" t="s">
        <v>242</v>
      </c>
    </row>
    <row r="48" spans="1:8" x14ac:dyDescent="0.2">
      <c r="A48" t="s">
        <v>277</v>
      </c>
      <c r="B48" t="s">
        <v>278</v>
      </c>
      <c r="C48" t="s">
        <v>237</v>
      </c>
      <c r="D48" t="s">
        <v>136</v>
      </c>
      <c r="E48">
        <v>29770578</v>
      </c>
      <c r="F48" t="s">
        <v>154</v>
      </c>
      <c r="G48" t="s">
        <v>155</v>
      </c>
      <c r="H48" t="s">
        <v>139</v>
      </c>
    </row>
    <row r="49" spans="1:8" x14ac:dyDescent="0.2">
      <c r="A49" t="s">
        <v>279</v>
      </c>
      <c r="B49" t="s">
        <v>280</v>
      </c>
      <c r="C49" t="s">
        <v>158</v>
      </c>
      <c r="D49" t="s">
        <v>143</v>
      </c>
      <c r="E49">
        <v>223621942</v>
      </c>
      <c r="F49" t="s">
        <v>159</v>
      </c>
      <c r="G49" t="s">
        <v>159</v>
      </c>
      <c r="H49" t="s">
        <v>160</v>
      </c>
    </row>
    <row r="50" spans="1:8" x14ac:dyDescent="0.2">
      <c r="A50" t="s">
        <v>281</v>
      </c>
      <c r="B50" t="s">
        <v>282</v>
      </c>
      <c r="C50" t="s">
        <v>283</v>
      </c>
      <c r="D50" t="s">
        <v>143</v>
      </c>
      <c r="E50">
        <v>243884268</v>
      </c>
      <c r="F50" t="s">
        <v>284</v>
      </c>
      <c r="G50" t="s">
        <v>183</v>
      </c>
      <c r="H50" t="s">
        <v>184</v>
      </c>
    </row>
    <row r="51" spans="1:8" x14ac:dyDescent="0.2">
      <c r="A51" t="s">
        <v>285</v>
      </c>
      <c r="B51" t="s">
        <v>286</v>
      </c>
      <c r="C51" t="s">
        <v>166</v>
      </c>
      <c r="D51" t="s">
        <v>167</v>
      </c>
      <c r="E51">
        <v>84083976</v>
      </c>
      <c r="F51" t="s">
        <v>166</v>
      </c>
      <c r="G51" t="s">
        <v>166</v>
      </c>
      <c r="H51" t="s">
        <v>160</v>
      </c>
    </row>
    <row r="52" spans="1:8" x14ac:dyDescent="0.2">
      <c r="A52" t="s">
        <v>287</v>
      </c>
      <c r="B52" t="s">
        <v>288</v>
      </c>
      <c r="C52" t="s">
        <v>289</v>
      </c>
      <c r="D52" t="s">
        <v>136</v>
      </c>
      <c r="E52">
        <v>1200000</v>
      </c>
      <c r="F52" t="s">
        <v>290</v>
      </c>
      <c r="G52" t="s">
        <v>183</v>
      </c>
      <c r="H52" t="s">
        <v>184</v>
      </c>
    </row>
    <row r="53" spans="1:8" x14ac:dyDescent="0.2">
      <c r="A53" t="s">
        <v>291</v>
      </c>
      <c r="B53" t="s">
        <v>292</v>
      </c>
      <c r="C53" t="s">
        <v>293</v>
      </c>
      <c r="D53" t="s">
        <v>136</v>
      </c>
      <c r="E53">
        <v>4724632</v>
      </c>
      <c r="F53" t="s">
        <v>144</v>
      </c>
      <c r="G53" t="s">
        <v>144</v>
      </c>
      <c r="H53" t="s">
        <v>145</v>
      </c>
    </row>
    <row r="54" spans="1:8" x14ac:dyDescent="0.2">
      <c r="A54" t="s">
        <v>294</v>
      </c>
      <c r="B54" t="s">
        <v>295</v>
      </c>
      <c r="C54" t="s">
        <v>158</v>
      </c>
      <c r="D54" t="s">
        <v>167</v>
      </c>
      <c r="E54">
        <v>83000000</v>
      </c>
      <c r="F54" t="s">
        <v>159</v>
      </c>
      <c r="G54" t="s">
        <v>159</v>
      </c>
      <c r="H54" t="s">
        <v>160</v>
      </c>
    </row>
    <row r="55" spans="1:8" x14ac:dyDescent="0.2">
      <c r="A55" t="s">
        <v>296</v>
      </c>
      <c r="B55" t="s">
        <v>297</v>
      </c>
      <c r="C55" t="s">
        <v>153</v>
      </c>
      <c r="D55" t="s">
        <v>136</v>
      </c>
      <c r="E55">
        <v>8800000</v>
      </c>
      <c r="F55" t="s">
        <v>154</v>
      </c>
      <c r="G55" t="s">
        <v>155</v>
      </c>
      <c r="H55" t="s">
        <v>139</v>
      </c>
    </row>
    <row r="56" spans="1:8" x14ac:dyDescent="0.2">
      <c r="A56" t="s">
        <v>298</v>
      </c>
      <c r="B56" t="s">
        <v>299</v>
      </c>
      <c r="C56" t="s">
        <v>265</v>
      </c>
      <c r="D56" t="s">
        <v>167</v>
      </c>
      <c r="E56">
        <v>3111283</v>
      </c>
      <c r="F56" t="s">
        <v>182</v>
      </c>
      <c r="G56" t="s">
        <v>183</v>
      </c>
      <c r="H56" t="s">
        <v>184</v>
      </c>
    </row>
    <row r="57" spans="1:8" x14ac:dyDescent="0.2">
      <c r="A57" t="s">
        <v>300</v>
      </c>
      <c r="B57" t="s">
        <v>301</v>
      </c>
      <c r="C57" t="s">
        <v>158</v>
      </c>
      <c r="D57" t="s">
        <v>136</v>
      </c>
      <c r="E57">
        <v>96922509</v>
      </c>
      <c r="F57" t="s">
        <v>159</v>
      </c>
      <c r="G57" t="s">
        <v>159</v>
      </c>
      <c r="H57" t="s">
        <v>160</v>
      </c>
    </row>
    <row r="58" spans="1:8" x14ac:dyDescent="0.2">
      <c r="A58" t="s">
        <v>302</v>
      </c>
      <c r="B58" t="s">
        <v>303</v>
      </c>
      <c r="C58" t="s">
        <v>137</v>
      </c>
      <c r="D58" t="s">
        <v>136</v>
      </c>
      <c r="E58">
        <v>10000000</v>
      </c>
      <c r="F58" t="s">
        <v>137</v>
      </c>
      <c r="G58" t="s">
        <v>138</v>
      </c>
      <c r="H58" t="s">
        <v>139</v>
      </c>
    </row>
    <row r="59" spans="1:8" x14ac:dyDescent="0.2">
      <c r="A59" t="s">
        <v>304</v>
      </c>
      <c r="B59" t="s">
        <v>305</v>
      </c>
      <c r="C59" t="s">
        <v>211</v>
      </c>
      <c r="D59" t="s">
        <v>143</v>
      </c>
      <c r="E59">
        <v>90784669</v>
      </c>
      <c r="F59" t="s">
        <v>212</v>
      </c>
      <c r="G59" t="s">
        <v>183</v>
      </c>
      <c r="H59" t="s">
        <v>184</v>
      </c>
    </row>
    <row r="60" spans="1:8" x14ac:dyDescent="0.2">
      <c r="A60" t="s">
        <v>306</v>
      </c>
      <c r="B60" t="s">
        <v>307</v>
      </c>
      <c r="C60" t="s">
        <v>153</v>
      </c>
      <c r="D60" t="s">
        <v>143</v>
      </c>
      <c r="E60">
        <v>370178250</v>
      </c>
      <c r="F60" t="s">
        <v>154</v>
      </c>
      <c r="G60" t="s">
        <v>155</v>
      </c>
      <c r="H60" t="s">
        <v>139</v>
      </c>
    </row>
    <row r="61" spans="1:8" x14ac:dyDescent="0.2">
      <c r="A61" t="s">
        <v>308</v>
      </c>
      <c r="B61" t="s">
        <v>309</v>
      </c>
      <c r="C61" t="s">
        <v>310</v>
      </c>
      <c r="D61" t="s">
        <v>143</v>
      </c>
      <c r="E61">
        <v>37339929</v>
      </c>
      <c r="F61" t="s">
        <v>311</v>
      </c>
      <c r="G61" t="s">
        <v>312</v>
      </c>
      <c r="H61" t="s">
        <v>313</v>
      </c>
    </row>
    <row r="62" spans="1:8" x14ac:dyDescent="0.2">
      <c r="A62" t="s">
        <v>314</v>
      </c>
      <c r="B62" t="s">
        <v>315</v>
      </c>
      <c r="C62" t="s">
        <v>316</v>
      </c>
      <c r="D62" t="s">
        <v>143</v>
      </c>
      <c r="E62">
        <v>45000000</v>
      </c>
      <c r="F62" t="s">
        <v>229</v>
      </c>
      <c r="G62" t="s">
        <v>229</v>
      </c>
      <c r="H62" t="s">
        <v>217</v>
      </c>
    </row>
    <row r="63" spans="1:8" x14ac:dyDescent="0.2">
      <c r="A63" t="s">
        <v>317</v>
      </c>
      <c r="B63" t="s">
        <v>318</v>
      </c>
      <c r="C63" t="s">
        <v>153</v>
      </c>
      <c r="D63" t="s">
        <v>136</v>
      </c>
      <c r="E63">
        <v>11999998</v>
      </c>
      <c r="F63" t="s">
        <v>154</v>
      </c>
      <c r="G63" t="s">
        <v>155</v>
      </c>
      <c r="H63" t="s">
        <v>139</v>
      </c>
    </row>
    <row r="64" spans="1:8" x14ac:dyDescent="0.2">
      <c r="A64" t="s">
        <v>319</v>
      </c>
      <c r="B64" t="s">
        <v>320</v>
      </c>
      <c r="C64" t="s">
        <v>208</v>
      </c>
      <c r="D64" t="s">
        <v>136</v>
      </c>
      <c r="E64">
        <v>13884000</v>
      </c>
      <c r="F64" t="s">
        <v>195</v>
      </c>
      <c r="G64" t="s">
        <v>195</v>
      </c>
      <c r="H64" t="s">
        <v>184</v>
      </c>
    </row>
    <row r="65" spans="1:8" x14ac:dyDescent="0.2">
      <c r="A65" t="s">
        <v>321</v>
      </c>
      <c r="B65" t="s">
        <v>322</v>
      </c>
      <c r="C65" t="s">
        <v>149</v>
      </c>
      <c r="D65" t="s">
        <v>136</v>
      </c>
      <c r="E65">
        <v>15220000</v>
      </c>
      <c r="F65" t="s">
        <v>149</v>
      </c>
      <c r="G65" t="s">
        <v>150</v>
      </c>
      <c r="H65" t="s">
        <v>145</v>
      </c>
    </row>
    <row r="66" spans="1:8" x14ac:dyDescent="0.2">
      <c r="A66" t="s">
        <v>323</v>
      </c>
      <c r="B66" t="s">
        <v>324</v>
      </c>
      <c r="C66" t="s">
        <v>325</v>
      </c>
      <c r="D66" t="s">
        <v>167</v>
      </c>
      <c r="E66">
        <v>3500000</v>
      </c>
      <c r="F66" t="s">
        <v>326</v>
      </c>
      <c r="G66" t="s">
        <v>327</v>
      </c>
      <c r="H66" t="s">
        <v>217</v>
      </c>
    </row>
    <row r="67" spans="1:8" x14ac:dyDescent="0.2">
      <c r="A67" t="s">
        <v>328</v>
      </c>
      <c r="B67" t="s">
        <v>329</v>
      </c>
      <c r="C67" t="s">
        <v>330</v>
      </c>
      <c r="D67" t="s">
        <v>136</v>
      </c>
      <c r="E67">
        <v>75052052</v>
      </c>
      <c r="F67" t="s">
        <v>330</v>
      </c>
      <c r="G67" t="s">
        <v>312</v>
      </c>
      <c r="H67" t="s">
        <v>313</v>
      </c>
    </row>
    <row r="68" spans="1:8" x14ac:dyDescent="0.2">
      <c r="A68" t="s">
        <v>331</v>
      </c>
      <c r="B68" t="s">
        <v>332</v>
      </c>
      <c r="C68" t="s">
        <v>153</v>
      </c>
      <c r="D68" t="s">
        <v>136</v>
      </c>
      <c r="E68">
        <v>43338000</v>
      </c>
      <c r="F68" t="s">
        <v>154</v>
      </c>
      <c r="G68" t="s">
        <v>155</v>
      </c>
      <c r="H68" t="s">
        <v>139</v>
      </c>
    </row>
    <row r="69" spans="1:8" x14ac:dyDescent="0.2">
      <c r="A69" t="s">
        <v>3059</v>
      </c>
      <c r="B69" t="s">
        <v>3060</v>
      </c>
      <c r="C69" t="s">
        <v>293</v>
      </c>
      <c r="D69" t="s">
        <v>136</v>
      </c>
      <c r="E69">
        <v>13600000</v>
      </c>
      <c r="F69" t="s">
        <v>144</v>
      </c>
      <c r="G69" t="s">
        <v>144</v>
      </c>
      <c r="H69" t="s">
        <v>145</v>
      </c>
    </row>
    <row r="70" spans="1:8" x14ac:dyDescent="0.2">
      <c r="A70" t="s">
        <v>333</v>
      </c>
      <c r="B70" t="s">
        <v>334</v>
      </c>
      <c r="C70" t="s">
        <v>170</v>
      </c>
      <c r="D70" t="s">
        <v>167</v>
      </c>
      <c r="E70">
        <v>895933642</v>
      </c>
      <c r="F70" t="s">
        <v>170</v>
      </c>
      <c r="G70" t="s">
        <v>170</v>
      </c>
      <c r="H70" t="s">
        <v>170</v>
      </c>
    </row>
    <row r="71" spans="1:8" x14ac:dyDescent="0.2">
      <c r="A71" t="s">
        <v>335</v>
      </c>
      <c r="B71" t="s">
        <v>336</v>
      </c>
      <c r="C71" t="s">
        <v>153</v>
      </c>
      <c r="D71" t="s">
        <v>143</v>
      </c>
      <c r="E71">
        <v>239021642</v>
      </c>
      <c r="F71" t="s">
        <v>154</v>
      </c>
      <c r="G71" t="s">
        <v>155</v>
      </c>
      <c r="H71" t="s">
        <v>139</v>
      </c>
    </row>
    <row r="72" spans="1:8" x14ac:dyDescent="0.2">
      <c r="A72" t="s">
        <v>337</v>
      </c>
      <c r="B72" t="s">
        <v>338</v>
      </c>
      <c r="C72" t="s">
        <v>283</v>
      </c>
      <c r="D72" t="s">
        <v>136</v>
      </c>
      <c r="E72">
        <v>2000000</v>
      </c>
      <c r="F72" t="s">
        <v>284</v>
      </c>
      <c r="G72" t="s">
        <v>183</v>
      </c>
      <c r="H72" t="s">
        <v>184</v>
      </c>
    </row>
    <row r="73" spans="1:8" x14ac:dyDescent="0.2">
      <c r="A73" t="s">
        <v>339</v>
      </c>
      <c r="B73" t="s">
        <v>340</v>
      </c>
      <c r="C73" t="s">
        <v>208</v>
      </c>
      <c r="D73" t="s">
        <v>167</v>
      </c>
      <c r="E73">
        <v>8200000</v>
      </c>
      <c r="F73" t="s">
        <v>195</v>
      </c>
      <c r="G73" t="s">
        <v>195</v>
      </c>
      <c r="H73" t="s">
        <v>184</v>
      </c>
    </row>
    <row r="74" spans="1:8" x14ac:dyDescent="0.2">
      <c r="A74" t="s">
        <v>341</v>
      </c>
      <c r="B74" t="s">
        <v>342</v>
      </c>
      <c r="C74" t="s">
        <v>237</v>
      </c>
      <c r="D74" t="s">
        <v>143</v>
      </c>
      <c r="E74">
        <v>18752687</v>
      </c>
      <c r="F74" t="s">
        <v>154</v>
      </c>
      <c r="G74" t="s">
        <v>155</v>
      </c>
      <c r="H74" t="s">
        <v>139</v>
      </c>
    </row>
    <row r="75" spans="1:8" x14ac:dyDescent="0.2">
      <c r="A75" t="s">
        <v>343</v>
      </c>
      <c r="B75" t="s">
        <v>344</v>
      </c>
      <c r="C75" t="s">
        <v>283</v>
      </c>
      <c r="D75" t="s">
        <v>136</v>
      </c>
      <c r="E75">
        <v>2047932</v>
      </c>
      <c r="F75" t="s">
        <v>284</v>
      </c>
      <c r="G75" t="s">
        <v>183</v>
      </c>
      <c r="H75" t="s">
        <v>184</v>
      </c>
    </row>
    <row r="76" spans="1:8" x14ac:dyDescent="0.2">
      <c r="A76" t="s">
        <v>345</v>
      </c>
      <c r="B76" t="s">
        <v>346</v>
      </c>
      <c r="C76" t="s">
        <v>347</v>
      </c>
      <c r="D76" t="s">
        <v>136</v>
      </c>
      <c r="E76">
        <v>2000000</v>
      </c>
      <c r="F76" t="s">
        <v>348</v>
      </c>
      <c r="G76" t="s">
        <v>155</v>
      </c>
      <c r="H76" t="s">
        <v>139</v>
      </c>
    </row>
    <row r="77" spans="1:8" x14ac:dyDescent="0.2">
      <c r="A77" t="s">
        <v>349</v>
      </c>
      <c r="B77" t="s">
        <v>350</v>
      </c>
      <c r="C77" t="s">
        <v>283</v>
      </c>
      <c r="D77" t="s">
        <v>167</v>
      </c>
      <c r="E77">
        <v>6000000</v>
      </c>
      <c r="F77" t="s">
        <v>284</v>
      </c>
      <c r="G77" t="s">
        <v>183</v>
      </c>
      <c r="H77" t="s">
        <v>184</v>
      </c>
    </row>
    <row r="78" spans="1:8" x14ac:dyDescent="0.2">
      <c r="A78" t="s">
        <v>351</v>
      </c>
      <c r="B78" t="s">
        <v>352</v>
      </c>
      <c r="C78" t="s">
        <v>137</v>
      </c>
      <c r="D78" t="s">
        <v>136</v>
      </c>
      <c r="E78">
        <v>9800000</v>
      </c>
      <c r="F78" t="s">
        <v>137</v>
      </c>
      <c r="G78" t="s">
        <v>138</v>
      </c>
      <c r="H78" t="s">
        <v>139</v>
      </c>
    </row>
    <row r="79" spans="1:8" x14ac:dyDescent="0.2">
      <c r="A79" t="s">
        <v>353</v>
      </c>
      <c r="B79" t="s">
        <v>354</v>
      </c>
      <c r="C79" t="s">
        <v>355</v>
      </c>
      <c r="D79" t="s">
        <v>136</v>
      </c>
      <c r="E79">
        <v>19000000</v>
      </c>
      <c r="F79" t="s">
        <v>356</v>
      </c>
      <c r="G79" t="s">
        <v>150</v>
      </c>
      <c r="H79" t="s">
        <v>145</v>
      </c>
    </row>
    <row r="80" spans="1:8" x14ac:dyDescent="0.2">
      <c r="A80" t="s">
        <v>357</v>
      </c>
      <c r="B80" t="s">
        <v>358</v>
      </c>
      <c r="C80" t="s">
        <v>148</v>
      </c>
      <c r="D80" t="s">
        <v>136</v>
      </c>
      <c r="E80">
        <v>5700000</v>
      </c>
      <c r="F80" t="s">
        <v>149</v>
      </c>
      <c r="G80" t="s">
        <v>150</v>
      </c>
      <c r="H80" t="s">
        <v>145</v>
      </c>
    </row>
    <row r="81" spans="1:8" x14ac:dyDescent="0.2">
      <c r="A81" t="s">
        <v>359</v>
      </c>
      <c r="B81" t="s">
        <v>360</v>
      </c>
      <c r="C81" t="s">
        <v>194</v>
      </c>
      <c r="D81" t="s">
        <v>167</v>
      </c>
      <c r="E81">
        <v>123209812</v>
      </c>
      <c r="F81" t="s">
        <v>195</v>
      </c>
      <c r="G81" t="s">
        <v>195</v>
      </c>
      <c r="H81" t="s">
        <v>184</v>
      </c>
    </row>
    <row r="82" spans="1:8" x14ac:dyDescent="0.2">
      <c r="A82" t="s">
        <v>361</v>
      </c>
      <c r="B82" t="s">
        <v>362</v>
      </c>
      <c r="C82" t="s">
        <v>208</v>
      </c>
      <c r="D82" t="s">
        <v>143</v>
      </c>
      <c r="E82">
        <v>35000000</v>
      </c>
      <c r="F82" t="s">
        <v>195</v>
      </c>
      <c r="G82" t="s">
        <v>195</v>
      </c>
      <c r="H82" t="s">
        <v>184</v>
      </c>
    </row>
    <row r="83" spans="1:8" x14ac:dyDescent="0.2">
      <c r="A83" t="s">
        <v>363</v>
      </c>
      <c r="B83" t="s">
        <v>364</v>
      </c>
      <c r="C83" t="s">
        <v>237</v>
      </c>
      <c r="D83" t="s">
        <v>167</v>
      </c>
      <c r="E83">
        <v>33897213</v>
      </c>
      <c r="F83" t="s">
        <v>154</v>
      </c>
      <c r="G83" t="s">
        <v>155</v>
      </c>
      <c r="H83" t="s">
        <v>139</v>
      </c>
    </row>
    <row r="84" spans="1:8" x14ac:dyDescent="0.2">
      <c r="A84" t="s">
        <v>365</v>
      </c>
      <c r="B84" t="s">
        <v>366</v>
      </c>
      <c r="C84" t="s">
        <v>367</v>
      </c>
      <c r="D84" t="s">
        <v>143</v>
      </c>
      <c r="E84">
        <v>880210644</v>
      </c>
      <c r="F84" t="s">
        <v>159</v>
      </c>
      <c r="G84" t="s">
        <v>159</v>
      </c>
      <c r="H84" t="s">
        <v>160</v>
      </c>
    </row>
    <row r="85" spans="1:8" x14ac:dyDescent="0.2">
      <c r="A85" t="s">
        <v>368</v>
      </c>
      <c r="B85" t="s">
        <v>369</v>
      </c>
      <c r="C85" t="s">
        <v>166</v>
      </c>
      <c r="D85" t="s">
        <v>143</v>
      </c>
      <c r="E85">
        <v>1035000000</v>
      </c>
      <c r="F85" t="s">
        <v>166</v>
      </c>
      <c r="G85" t="s">
        <v>166</v>
      </c>
      <c r="H85" t="s">
        <v>160</v>
      </c>
    </row>
    <row r="86" spans="1:8" x14ac:dyDescent="0.2">
      <c r="A86" t="s">
        <v>370</v>
      </c>
      <c r="B86" t="s">
        <v>371</v>
      </c>
      <c r="C86" t="s">
        <v>208</v>
      </c>
      <c r="D86" t="s">
        <v>136</v>
      </c>
      <c r="E86">
        <v>5631895</v>
      </c>
      <c r="F86" t="s">
        <v>195</v>
      </c>
      <c r="G86" t="s">
        <v>195</v>
      </c>
      <c r="H86" t="s">
        <v>184</v>
      </c>
    </row>
    <row r="87" spans="1:8" x14ac:dyDescent="0.2">
      <c r="A87" t="s">
        <v>372</v>
      </c>
      <c r="B87" t="s">
        <v>373</v>
      </c>
      <c r="C87" t="s">
        <v>240</v>
      </c>
      <c r="D87" t="s">
        <v>136</v>
      </c>
      <c r="E87">
        <v>6000000</v>
      </c>
      <c r="F87" t="s">
        <v>240</v>
      </c>
      <c r="G87" t="s">
        <v>241</v>
      </c>
      <c r="H87" t="s">
        <v>242</v>
      </c>
    </row>
    <row r="88" spans="1:8" x14ac:dyDescent="0.2">
      <c r="A88" t="s">
        <v>374</v>
      </c>
      <c r="B88" t="s">
        <v>375</v>
      </c>
      <c r="C88" t="s">
        <v>208</v>
      </c>
      <c r="D88" t="s">
        <v>136</v>
      </c>
      <c r="E88">
        <v>473799913</v>
      </c>
      <c r="F88" t="s">
        <v>195</v>
      </c>
      <c r="G88" t="s">
        <v>195</v>
      </c>
      <c r="H88" t="s">
        <v>184</v>
      </c>
    </row>
    <row r="89" spans="1:8" x14ac:dyDescent="0.2">
      <c r="A89" t="s">
        <v>376</v>
      </c>
      <c r="B89" t="s">
        <v>377</v>
      </c>
      <c r="C89" t="s">
        <v>378</v>
      </c>
      <c r="D89" t="s">
        <v>136</v>
      </c>
      <c r="E89">
        <v>1800000</v>
      </c>
      <c r="F89" t="s">
        <v>326</v>
      </c>
      <c r="G89" t="s">
        <v>327</v>
      </c>
      <c r="H89" t="s">
        <v>217</v>
      </c>
    </row>
    <row r="90" spans="1:8" x14ac:dyDescent="0.2">
      <c r="A90" t="s">
        <v>379</v>
      </c>
      <c r="B90" t="s">
        <v>380</v>
      </c>
      <c r="C90" t="s">
        <v>215</v>
      </c>
      <c r="D90" t="s">
        <v>167</v>
      </c>
      <c r="E90">
        <v>1126474</v>
      </c>
      <c r="F90" t="s">
        <v>216</v>
      </c>
      <c r="G90" t="s">
        <v>216</v>
      </c>
      <c r="H90" t="s">
        <v>217</v>
      </c>
    </row>
    <row r="91" spans="1:8" x14ac:dyDescent="0.2">
      <c r="A91" t="s">
        <v>381</v>
      </c>
      <c r="B91" t="s">
        <v>382</v>
      </c>
      <c r="C91" t="s">
        <v>163</v>
      </c>
      <c r="D91" t="s">
        <v>136</v>
      </c>
      <c r="E91">
        <v>24799920</v>
      </c>
      <c r="F91" t="s">
        <v>137</v>
      </c>
      <c r="G91" t="s">
        <v>138</v>
      </c>
      <c r="H91" t="s">
        <v>139</v>
      </c>
    </row>
    <row r="92" spans="1:8" x14ac:dyDescent="0.2">
      <c r="A92" t="s">
        <v>383</v>
      </c>
      <c r="B92" t="s">
        <v>384</v>
      </c>
      <c r="C92" t="s">
        <v>194</v>
      </c>
      <c r="D92" t="s">
        <v>136</v>
      </c>
      <c r="E92">
        <v>38600000</v>
      </c>
      <c r="F92" t="s">
        <v>195</v>
      </c>
      <c r="G92" t="s">
        <v>195</v>
      </c>
      <c r="H92" t="s">
        <v>184</v>
      </c>
    </row>
    <row r="93" spans="1:8" x14ac:dyDescent="0.2">
      <c r="A93" t="s">
        <v>385</v>
      </c>
      <c r="B93" t="s">
        <v>386</v>
      </c>
      <c r="C93" t="s">
        <v>387</v>
      </c>
      <c r="D93" t="s">
        <v>136</v>
      </c>
      <c r="E93">
        <v>12410800</v>
      </c>
      <c r="F93" t="s">
        <v>311</v>
      </c>
      <c r="G93" t="s">
        <v>312</v>
      </c>
      <c r="H93" t="s">
        <v>313</v>
      </c>
    </row>
    <row r="94" spans="1:8" x14ac:dyDescent="0.2">
      <c r="A94" t="s">
        <v>388</v>
      </c>
      <c r="B94" t="s">
        <v>389</v>
      </c>
      <c r="C94" t="s">
        <v>215</v>
      </c>
      <c r="D94" t="s">
        <v>167</v>
      </c>
      <c r="E94">
        <v>3000000</v>
      </c>
      <c r="F94" t="s">
        <v>216</v>
      </c>
      <c r="G94" t="s">
        <v>216</v>
      </c>
      <c r="H94" t="s">
        <v>217</v>
      </c>
    </row>
    <row r="95" spans="1:8" x14ac:dyDescent="0.2">
      <c r="A95" t="s">
        <v>390</v>
      </c>
      <c r="B95" t="s">
        <v>391</v>
      </c>
      <c r="C95" t="s">
        <v>392</v>
      </c>
      <c r="D95" t="s">
        <v>136</v>
      </c>
      <c r="E95">
        <v>6000000</v>
      </c>
      <c r="F95" t="s">
        <v>393</v>
      </c>
      <c r="G95" t="s">
        <v>138</v>
      </c>
      <c r="H95" t="s">
        <v>139</v>
      </c>
    </row>
    <row r="96" spans="1:8" x14ac:dyDescent="0.2">
      <c r="A96" t="s">
        <v>394</v>
      </c>
      <c r="B96" t="s">
        <v>395</v>
      </c>
      <c r="C96" t="s">
        <v>293</v>
      </c>
      <c r="D96" t="s">
        <v>143</v>
      </c>
      <c r="E96">
        <v>57167993</v>
      </c>
      <c r="F96" t="s">
        <v>144</v>
      </c>
      <c r="G96" t="s">
        <v>144</v>
      </c>
      <c r="H96" t="s">
        <v>145</v>
      </c>
    </row>
    <row r="97" spans="1:8" x14ac:dyDescent="0.2">
      <c r="A97" t="s">
        <v>3061</v>
      </c>
      <c r="B97" t="s">
        <v>3062</v>
      </c>
      <c r="C97" t="s">
        <v>330</v>
      </c>
      <c r="D97" t="s">
        <v>136</v>
      </c>
      <c r="E97">
        <v>730000000</v>
      </c>
      <c r="F97" t="s">
        <v>330</v>
      </c>
      <c r="G97" t="s">
        <v>312</v>
      </c>
      <c r="H97" t="s">
        <v>313</v>
      </c>
    </row>
    <row r="98" spans="1:8" x14ac:dyDescent="0.2">
      <c r="A98" t="s">
        <v>396</v>
      </c>
      <c r="B98" t="s">
        <v>397</v>
      </c>
      <c r="C98" t="s">
        <v>387</v>
      </c>
      <c r="D98" t="s">
        <v>136</v>
      </c>
      <c r="E98">
        <v>18149446</v>
      </c>
      <c r="F98" t="s">
        <v>311</v>
      </c>
      <c r="G98" t="s">
        <v>312</v>
      </c>
      <c r="H98" t="s">
        <v>313</v>
      </c>
    </row>
    <row r="99" spans="1:8" x14ac:dyDescent="0.2">
      <c r="A99" t="s">
        <v>398</v>
      </c>
      <c r="B99" t="s">
        <v>399</v>
      </c>
      <c r="C99" t="s">
        <v>330</v>
      </c>
      <c r="D99" t="s">
        <v>136</v>
      </c>
      <c r="E99">
        <v>66000000</v>
      </c>
      <c r="F99" t="s">
        <v>330</v>
      </c>
      <c r="G99" t="s">
        <v>312</v>
      </c>
      <c r="H99" t="s">
        <v>313</v>
      </c>
    </row>
    <row r="100" spans="1:8" x14ac:dyDescent="0.2">
      <c r="A100" t="s">
        <v>400</v>
      </c>
      <c r="B100" t="s">
        <v>401</v>
      </c>
      <c r="C100" t="s">
        <v>194</v>
      </c>
      <c r="D100" t="s">
        <v>136</v>
      </c>
      <c r="E100">
        <v>4500000</v>
      </c>
      <c r="F100" t="s">
        <v>195</v>
      </c>
      <c r="G100" t="s">
        <v>195</v>
      </c>
      <c r="H100" t="s">
        <v>184</v>
      </c>
    </row>
    <row r="101" spans="1:8" x14ac:dyDescent="0.2">
      <c r="A101" t="s">
        <v>402</v>
      </c>
      <c r="B101" t="s">
        <v>403</v>
      </c>
      <c r="C101" t="s">
        <v>404</v>
      </c>
      <c r="D101" t="s">
        <v>136</v>
      </c>
      <c r="E101">
        <v>8935643</v>
      </c>
      <c r="F101" t="s">
        <v>348</v>
      </c>
      <c r="G101" t="s">
        <v>155</v>
      </c>
      <c r="H101" t="s">
        <v>139</v>
      </c>
    </row>
    <row r="102" spans="1:8" x14ac:dyDescent="0.2">
      <c r="A102" t="s">
        <v>405</v>
      </c>
      <c r="B102" t="s">
        <v>406</v>
      </c>
      <c r="C102" t="s">
        <v>177</v>
      </c>
      <c r="D102" t="s">
        <v>136</v>
      </c>
      <c r="E102">
        <v>100000000</v>
      </c>
      <c r="F102" t="s">
        <v>177</v>
      </c>
      <c r="G102" t="s">
        <v>178</v>
      </c>
      <c r="H102" t="s">
        <v>160</v>
      </c>
    </row>
    <row r="103" spans="1:8" x14ac:dyDescent="0.2">
      <c r="A103" t="s">
        <v>407</v>
      </c>
      <c r="B103" t="s">
        <v>408</v>
      </c>
      <c r="C103" t="s">
        <v>347</v>
      </c>
      <c r="D103" t="s">
        <v>136</v>
      </c>
      <c r="E103">
        <v>3986000</v>
      </c>
      <c r="F103" t="s">
        <v>348</v>
      </c>
      <c r="G103" t="s">
        <v>155</v>
      </c>
      <c r="H103" t="s">
        <v>139</v>
      </c>
    </row>
    <row r="104" spans="1:8" x14ac:dyDescent="0.2">
      <c r="A104" t="s">
        <v>409</v>
      </c>
      <c r="B104" t="s">
        <v>410</v>
      </c>
      <c r="C104" t="s">
        <v>347</v>
      </c>
      <c r="D104" t="s">
        <v>143</v>
      </c>
      <c r="E104">
        <v>231800000</v>
      </c>
      <c r="F104" t="s">
        <v>348</v>
      </c>
      <c r="G104" t="s">
        <v>155</v>
      </c>
      <c r="H104" t="s">
        <v>139</v>
      </c>
    </row>
    <row r="105" spans="1:8" x14ac:dyDescent="0.2">
      <c r="A105" t="s">
        <v>411</v>
      </c>
      <c r="B105" t="s">
        <v>412</v>
      </c>
      <c r="C105" t="s">
        <v>347</v>
      </c>
      <c r="D105" t="s">
        <v>136</v>
      </c>
      <c r="E105">
        <v>9179290</v>
      </c>
      <c r="F105" t="s">
        <v>348</v>
      </c>
      <c r="G105" t="s">
        <v>155</v>
      </c>
      <c r="H105" t="s">
        <v>139</v>
      </c>
    </row>
    <row r="106" spans="1:8" x14ac:dyDescent="0.2">
      <c r="A106" t="s">
        <v>413</v>
      </c>
      <c r="B106" t="s">
        <v>414</v>
      </c>
      <c r="C106" t="s">
        <v>177</v>
      </c>
      <c r="D106" t="s">
        <v>143</v>
      </c>
      <c r="E106">
        <v>117276895</v>
      </c>
      <c r="F106" t="s">
        <v>177</v>
      </c>
      <c r="G106" t="s">
        <v>178</v>
      </c>
      <c r="H106" t="s">
        <v>160</v>
      </c>
    </row>
    <row r="107" spans="1:8" x14ac:dyDescent="0.2">
      <c r="A107" t="s">
        <v>415</v>
      </c>
      <c r="B107" t="s">
        <v>416</v>
      </c>
      <c r="C107" t="s">
        <v>170</v>
      </c>
      <c r="D107" t="s">
        <v>143</v>
      </c>
      <c r="E107">
        <v>5700435900</v>
      </c>
      <c r="F107" t="s">
        <v>170</v>
      </c>
      <c r="G107" t="s">
        <v>170</v>
      </c>
      <c r="H107" t="s">
        <v>170</v>
      </c>
    </row>
    <row r="108" spans="1:8" x14ac:dyDescent="0.2">
      <c r="A108" t="s">
        <v>417</v>
      </c>
      <c r="B108" t="s">
        <v>418</v>
      </c>
      <c r="C108" t="s">
        <v>419</v>
      </c>
      <c r="D108" t="s">
        <v>136</v>
      </c>
      <c r="E108">
        <v>5000000</v>
      </c>
      <c r="F108" t="s">
        <v>166</v>
      </c>
      <c r="G108" t="s">
        <v>166</v>
      </c>
      <c r="H108" t="s">
        <v>160</v>
      </c>
    </row>
    <row r="109" spans="1:8" x14ac:dyDescent="0.2">
      <c r="A109" t="s">
        <v>420</v>
      </c>
      <c r="B109" t="s">
        <v>421</v>
      </c>
      <c r="C109" t="s">
        <v>166</v>
      </c>
      <c r="D109" t="s">
        <v>136</v>
      </c>
      <c r="E109">
        <v>57680000</v>
      </c>
      <c r="F109" t="s">
        <v>166</v>
      </c>
      <c r="G109" t="s">
        <v>166</v>
      </c>
      <c r="H109" t="s">
        <v>160</v>
      </c>
    </row>
    <row r="110" spans="1:8" x14ac:dyDescent="0.2">
      <c r="A110" t="s">
        <v>422</v>
      </c>
      <c r="B110" t="s">
        <v>423</v>
      </c>
      <c r="C110" t="s">
        <v>240</v>
      </c>
      <c r="D110" t="s">
        <v>136</v>
      </c>
      <c r="E110">
        <v>8562000</v>
      </c>
      <c r="F110" t="s">
        <v>240</v>
      </c>
      <c r="G110" t="s">
        <v>241</v>
      </c>
      <c r="H110" t="s">
        <v>242</v>
      </c>
    </row>
    <row r="111" spans="1:8" x14ac:dyDescent="0.2">
      <c r="A111" t="s">
        <v>424</v>
      </c>
      <c r="B111" t="s">
        <v>425</v>
      </c>
      <c r="C111" t="s">
        <v>149</v>
      </c>
      <c r="D111" t="s">
        <v>167</v>
      </c>
      <c r="E111">
        <v>11737728</v>
      </c>
      <c r="F111" t="s">
        <v>149</v>
      </c>
      <c r="G111" t="s">
        <v>150</v>
      </c>
      <c r="H111" t="s">
        <v>145</v>
      </c>
    </row>
    <row r="112" spans="1:8" x14ac:dyDescent="0.2">
      <c r="A112" t="s">
        <v>426</v>
      </c>
      <c r="B112" t="s">
        <v>427</v>
      </c>
      <c r="C112" t="s">
        <v>819</v>
      </c>
      <c r="D112" t="s">
        <v>143</v>
      </c>
      <c r="E112">
        <v>71609020</v>
      </c>
      <c r="F112" t="s">
        <v>820</v>
      </c>
      <c r="G112" t="s">
        <v>138</v>
      </c>
      <c r="H112" t="s">
        <v>139</v>
      </c>
    </row>
    <row r="113" spans="1:8" x14ac:dyDescent="0.2">
      <c r="A113" t="s">
        <v>428</v>
      </c>
      <c r="B113" t="s">
        <v>429</v>
      </c>
      <c r="C113" t="s">
        <v>153</v>
      </c>
      <c r="D113" t="s">
        <v>136</v>
      </c>
      <c r="E113">
        <v>11500000</v>
      </c>
      <c r="F113" t="s">
        <v>154</v>
      </c>
      <c r="G113" t="s">
        <v>155</v>
      </c>
      <c r="H113" t="s">
        <v>139</v>
      </c>
    </row>
    <row r="114" spans="1:8" x14ac:dyDescent="0.2">
      <c r="A114" t="s">
        <v>430</v>
      </c>
      <c r="B114" t="s">
        <v>431</v>
      </c>
      <c r="C114" t="s">
        <v>177</v>
      </c>
      <c r="D114" t="s">
        <v>136</v>
      </c>
      <c r="E114">
        <v>60000000</v>
      </c>
      <c r="F114" t="s">
        <v>177</v>
      </c>
      <c r="G114" t="s">
        <v>178</v>
      </c>
      <c r="H114" t="s">
        <v>160</v>
      </c>
    </row>
    <row r="115" spans="1:8" x14ac:dyDescent="0.2">
      <c r="A115" t="s">
        <v>432</v>
      </c>
      <c r="B115" t="s">
        <v>433</v>
      </c>
      <c r="C115" t="s">
        <v>434</v>
      </c>
      <c r="D115" t="s">
        <v>136</v>
      </c>
      <c r="E115">
        <v>5000000</v>
      </c>
      <c r="F115" t="s">
        <v>326</v>
      </c>
      <c r="G115" t="s">
        <v>327</v>
      </c>
      <c r="H115" t="s">
        <v>217</v>
      </c>
    </row>
    <row r="116" spans="1:8" x14ac:dyDescent="0.2">
      <c r="A116" t="s">
        <v>435</v>
      </c>
      <c r="B116" t="s">
        <v>436</v>
      </c>
      <c r="C116" t="s">
        <v>237</v>
      </c>
      <c r="D116" t="s">
        <v>136</v>
      </c>
      <c r="E116">
        <v>4000000</v>
      </c>
      <c r="F116" t="s">
        <v>154</v>
      </c>
      <c r="G116" t="s">
        <v>155</v>
      </c>
      <c r="H116" t="s">
        <v>139</v>
      </c>
    </row>
    <row r="117" spans="1:8" x14ac:dyDescent="0.2">
      <c r="A117" t="s">
        <v>437</v>
      </c>
      <c r="B117" t="s">
        <v>438</v>
      </c>
      <c r="C117" t="s">
        <v>149</v>
      </c>
      <c r="D117" t="s">
        <v>143</v>
      </c>
      <c r="E117">
        <v>12392630</v>
      </c>
      <c r="F117" t="s">
        <v>149</v>
      </c>
      <c r="G117" t="s">
        <v>150</v>
      </c>
      <c r="H117" t="s">
        <v>145</v>
      </c>
    </row>
    <row r="118" spans="1:8" x14ac:dyDescent="0.2">
      <c r="A118" t="s">
        <v>439</v>
      </c>
      <c r="B118" t="s">
        <v>440</v>
      </c>
      <c r="C118" t="s">
        <v>441</v>
      </c>
      <c r="D118" t="s">
        <v>136</v>
      </c>
      <c r="E118">
        <v>2753280</v>
      </c>
      <c r="F118" t="s">
        <v>182</v>
      </c>
      <c r="G118" t="s">
        <v>183</v>
      </c>
      <c r="H118" t="s">
        <v>184</v>
      </c>
    </row>
    <row r="119" spans="1:8" x14ac:dyDescent="0.2">
      <c r="A119" t="s">
        <v>442</v>
      </c>
      <c r="B119" t="s">
        <v>443</v>
      </c>
      <c r="C119" t="s">
        <v>310</v>
      </c>
      <c r="D119" t="s">
        <v>136</v>
      </c>
      <c r="E119">
        <v>15848063</v>
      </c>
      <c r="F119" t="s">
        <v>311</v>
      </c>
      <c r="G119" t="s">
        <v>312</v>
      </c>
      <c r="H119" t="s">
        <v>313</v>
      </c>
    </row>
    <row r="120" spans="1:8" x14ac:dyDescent="0.2">
      <c r="A120" t="s">
        <v>444</v>
      </c>
      <c r="B120" t="s">
        <v>445</v>
      </c>
      <c r="C120" t="s">
        <v>163</v>
      </c>
      <c r="D120" t="s">
        <v>136</v>
      </c>
      <c r="E120">
        <v>5292000</v>
      </c>
      <c r="F120" t="s">
        <v>137</v>
      </c>
      <c r="G120" t="s">
        <v>138</v>
      </c>
      <c r="H120" t="s">
        <v>139</v>
      </c>
    </row>
    <row r="121" spans="1:8" x14ac:dyDescent="0.2">
      <c r="A121" t="s">
        <v>446</v>
      </c>
      <c r="B121" t="s">
        <v>447</v>
      </c>
      <c r="C121" t="s">
        <v>177</v>
      </c>
      <c r="D121" t="s">
        <v>143</v>
      </c>
      <c r="E121">
        <v>120585408</v>
      </c>
      <c r="F121" t="s">
        <v>177</v>
      </c>
      <c r="G121" t="s">
        <v>178</v>
      </c>
      <c r="H121" t="s">
        <v>160</v>
      </c>
    </row>
    <row r="122" spans="1:8" x14ac:dyDescent="0.2">
      <c r="A122" t="s">
        <v>448</v>
      </c>
      <c r="B122" t="s">
        <v>449</v>
      </c>
      <c r="C122" t="s">
        <v>149</v>
      </c>
      <c r="D122" t="s">
        <v>136</v>
      </c>
      <c r="E122">
        <v>104999978</v>
      </c>
      <c r="F122" t="s">
        <v>149</v>
      </c>
      <c r="G122" t="s">
        <v>150</v>
      </c>
      <c r="H122" t="s">
        <v>145</v>
      </c>
    </row>
    <row r="123" spans="1:8" x14ac:dyDescent="0.2">
      <c r="A123" t="s">
        <v>450</v>
      </c>
      <c r="B123" t="s">
        <v>451</v>
      </c>
      <c r="C123" t="s">
        <v>208</v>
      </c>
      <c r="D123" t="s">
        <v>136</v>
      </c>
      <c r="E123">
        <v>2750000</v>
      </c>
      <c r="F123" t="s">
        <v>195</v>
      </c>
      <c r="G123" t="s">
        <v>195</v>
      </c>
      <c r="H123" t="s">
        <v>184</v>
      </c>
    </row>
    <row r="124" spans="1:8" x14ac:dyDescent="0.2">
      <c r="A124" t="s">
        <v>452</v>
      </c>
      <c r="B124" t="s">
        <v>453</v>
      </c>
      <c r="C124" t="s">
        <v>194</v>
      </c>
      <c r="D124" t="s">
        <v>143</v>
      </c>
      <c r="E124">
        <v>81860938</v>
      </c>
      <c r="F124" t="s">
        <v>195</v>
      </c>
      <c r="G124" t="s">
        <v>195</v>
      </c>
      <c r="H124" t="s">
        <v>184</v>
      </c>
    </row>
    <row r="125" spans="1:8" x14ac:dyDescent="0.2">
      <c r="A125" t="s">
        <v>454</v>
      </c>
      <c r="B125" t="s">
        <v>455</v>
      </c>
      <c r="C125" t="s">
        <v>158</v>
      </c>
      <c r="D125" t="s">
        <v>136</v>
      </c>
      <c r="E125">
        <v>71111425</v>
      </c>
      <c r="F125" t="s">
        <v>159</v>
      </c>
      <c r="G125" t="s">
        <v>159</v>
      </c>
      <c r="H125" t="s">
        <v>160</v>
      </c>
    </row>
    <row r="126" spans="1:8" x14ac:dyDescent="0.2">
      <c r="A126" t="s">
        <v>456</v>
      </c>
      <c r="B126" t="s">
        <v>457</v>
      </c>
      <c r="C126" t="s">
        <v>237</v>
      </c>
      <c r="D126" t="s">
        <v>136</v>
      </c>
      <c r="E126">
        <v>24200000</v>
      </c>
      <c r="F126" t="s">
        <v>154</v>
      </c>
      <c r="G126" t="s">
        <v>155</v>
      </c>
      <c r="H126" t="s">
        <v>139</v>
      </c>
    </row>
    <row r="127" spans="1:8" x14ac:dyDescent="0.2">
      <c r="A127" t="s">
        <v>458</v>
      </c>
      <c r="B127" t="s">
        <v>459</v>
      </c>
      <c r="C127" t="s">
        <v>237</v>
      </c>
      <c r="D127" t="s">
        <v>167</v>
      </c>
      <c r="E127">
        <v>24999855</v>
      </c>
      <c r="F127" t="s">
        <v>154</v>
      </c>
      <c r="G127" t="s">
        <v>155</v>
      </c>
      <c r="H127" t="s">
        <v>139</v>
      </c>
    </row>
    <row r="128" spans="1:8" x14ac:dyDescent="0.2">
      <c r="A128" t="s">
        <v>460</v>
      </c>
      <c r="B128" t="s">
        <v>461</v>
      </c>
      <c r="C128" t="s">
        <v>387</v>
      </c>
      <c r="D128" t="s">
        <v>136</v>
      </c>
      <c r="E128">
        <v>37549391</v>
      </c>
      <c r="F128" t="s">
        <v>311</v>
      </c>
      <c r="G128" t="s">
        <v>312</v>
      </c>
      <c r="H128" t="s">
        <v>313</v>
      </c>
    </row>
    <row r="129" spans="1:8" x14ac:dyDescent="0.2">
      <c r="A129" t="s">
        <v>462</v>
      </c>
      <c r="B129" t="s">
        <v>463</v>
      </c>
      <c r="C129" t="s">
        <v>208</v>
      </c>
      <c r="D129" t="s">
        <v>136</v>
      </c>
      <c r="E129">
        <v>59246800</v>
      </c>
      <c r="F129" t="s">
        <v>195</v>
      </c>
      <c r="G129" t="s">
        <v>195</v>
      </c>
      <c r="H129" t="s">
        <v>184</v>
      </c>
    </row>
    <row r="130" spans="1:8" x14ac:dyDescent="0.2">
      <c r="A130" t="s">
        <v>464</v>
      </c>
      <c r="B130" t="s">
        <v>465</v>
      </c>
      <c r="C130" t="s">
        <v>283</v>
      </c>
      <c r="D130" t="s">
        <v>167</v>
      </c>
      <c r="E130">
        <v>3800000</v>
      </c>
      <c r="F130" t="s">
        <v>284</v>
      </c>
      <c r="G130" t="s">
        <v>183</v>
      </c>
      <c r="H130" t="s">
        <v>184</v>
      </c>
    </row>
    <row r="131" spans="1:8" x14ac:dyDescent="0.2">
      <c r="A131" t="s">
        <v>466</v>
      </c>
      <c r="B131" t="s">
        <v>467</v>
      </c>
      <c r="C131" t="s">
        <v>347</v>
      </c>
      <c r="D131" t="s">
        <v>136</v>
      </c>
      <c r="E131">
        <v>5800000</v>
      </c>
      <c r="F131" t="s">
        <v>348</v>
      </c>
      <c r="G131" t="s">
        <v>155</v>
      </c>
      <c r="H131" t="s">
        <v>139</v>
      </c>
    </row>
    <row r="132" spans="1:8" x14ac:dyDescent="0.2">
      <c r="A132" t="s">
        <v>468</v>
      </c>
      <c r="B132" t="s">
        <v>469</v>
      </c>
      <c r="C132" t="s">
        <v>142</v>
      </c>
      <c r="D132" t="s">
        <v>143</v>
      </c>
      <c r="E132">
        <v>12374997</v>
      </c>
      <c r="F132" t="s">
        <v>144</v>
      </c>
      <c r="G132" t="s">
        <v>144</v>
      </c>
      <c r="H132" t="s">
        <v>145</v>
      </c>
    </row>
    <row r="133" spans="1:8" x14ac:dyDescent="0.2">
      <c r="A133" t="s">
        <v>470</v>
      </c>
      <c r="B133" t="s">
        <v>471</v>
      </c>
      <c r="C133" t="s">
        <v>142</v>
      </c>
      <c r="D133" t="s">
        <v>136</v>
      </c>
      <c r="E133">
        <v>112500000</v>
      </c>
      <c r="F133" t="s">
        <v>144</v>
      </c>
      <c r="G133" t="s">
        <v>144</v>
      </c>
      <c r="H133" t="s">
        <v>145</v>
      </c>
    </row>
    <row r="134" spans="1:8" x14ac:dyDescent="0.2">
      <c r="A134" t="s">
        <v>472</v>
      </c>
      <c r="B134" t="s">
        <v>473</v>
      </c>
      <c r="C134" t="s">
        <v>441</v>
      </c>
      <c r="D134" t="s">
        <v>136</v>
      </c>
      <c r="E134">
        <v>4541950</v>
      </c>
      <c r="F134" t="s">
        <v>182</v>
      </c>
      <c r="G134" t="s">
        <v>183</v>
      </c>
      <c r="H134" t="s">
        <v>184</v>
      </c>
    </row>
    <row r="135" spans="1:8" x14ac:dyDescent="0.2">
      <c r="A135" t="s">
        <v>474</v>
      </c>
      <c r="B135" t="s">
        <v>475</v>
      </c>
      <c r="C135" t="s">
        <v>330</v>
      </c>
      <c r="D135" t="s">
        <v>136</v>
      </c>
      <c r="E135">
        <v>66850975</v>
      </c>
      <c r="F135" t="s">
        <v>330</v>
      </c>
      <c r="G135" t="s">
        <v>312</v>
      </c>
      <c r="H135" t="s">
        <v>313</v>
      </c>
    </row>
    <row r="136" spans="1:8" x14ac:dyDescent="0.2">
      <c r="A136" t="s">
        <v>476</v>
      </c>
      <c r="B136" t="s">
        <v>477</v>
      </c>
      <c r="C136" t="s">
        <v>316</v>
      </c>
      <c r="D136" t="s">
        <v>167</v>
      </c>
      <c r="E136">
        <v>3150747</v>
      </c>
      <c r="F136" t="s">
        <v>229</v>
      </c>
      <c r="G136" t="s">
        <v>229</v>
      </c>
      <c r="H136" t="s">
        <v>217</v>
      </c>
    </row>
    <row r="137" spans="1:8" x14ac:dyDescent="0.2">
      <c r="A137" t="s">
        <v>478</v>
      </c>
      <c r="B137" t="s">
        <v>479</v>
      </c>
      <c r="C137" t="s">
        <v>347</v>
      </c>
      <c r="D137" t="s">
        <v>136</v>
      </c>
      <c r="E137">
        <v>3000000</v>
      </c>
      <c r="F137" t="s">
        <v>348</v>
      </c>
      <c r="G137" t="s">
        <v>155</v>
      </c>
      <c r="H137" t="s">
        <v>139</v>
      </c>
    </row>
    <row r="138" spans="1:8" x14ac:dyDescent="0.2">
      <c r="A138" t="s">
        <v>480</v>
      </c>
      <c r="B138" t="s">
        <v>481</v>
      </c>
      <c r="C138" t="s">
        <v>434</v>
      </c>
      <c r="D138" t="s">
        <v>136</v>
      </c>
      <c r="E138">
        <v>60000000</v>
      </c>
      <c r="F138" t="s">
        <v>326</v>
      </c>
      <c r="G138" t="s">
        <v>327</v>
      </c>
      <c r="H138" t="s">
        <v>217</v>
      </c>
    </row>
    <row r="139" spans="1:8" x14ac:dyDescent="0.2">
      <c r="A139" t="s">
        <v>482</v>
      </c>
      <c r="B139" t="s">
        <v>483</v>
      </c>
      <c r="C139" t="s">
        <v>347</v>
      </c>
      <c r="D139" t="s">
        <v>136</v>
      </c>
      <c r="E139">
        <v>18000000</v>
      </c>
      <c r="F139" t="s">
        <v>348</v>
      </c>
      <c r="G139" t="s">
        <v>155</v>
      </c>
      <c r="H139" t="s">
        <v>139</v>
      </c>
    </row>
    <row r="140" spans="1:8" x14ac:dyDescent="0.2">
      <c r="A140" t="s">
        <v>484</v>
      </c>
      <c r="B140" t="s">
        <v>485</v>
      </c>
      <c r="C140" t="s">
        <v>158</v>
      </c>
      <c r="D140" t="s">
        <v>143</v>
      </c>
      <c r="E140">
        <v>223060701</v>
      </c>
      <c r="F140" t="s">
        <v>159</v>
      </c>
      <c r="G140" t="s">
        <v>159</v>
      </c>
      <c r="H140" t="s">
        <v>160</v>
      </c>
    </row>
    <row r="141" spans="1:8" x14ac:dyDescent="0.2">
      <c r="A141" t="s">
        <v>486</v>
      </c>
      <c r="B141" t="s">
        <v>487</v>
      </c>
      <c r="C141" t="s">
        <v>347</v>
      </c>
      <c r="D141" t="s">
        <v>136</v>
      </c>
      <c r="E141">
        <v>45000000</v>
      </c>
      <c r="F141" t="s">
        <v>348</v>
      </c>
      <c r="G141" t="s">
        <v>155</v>
      </c>
      <c r="H141" t="s">
        <v>139</v>
      </c>
    </row>
    <row r="142" spans="1:8" x14ac:dyDescent="0.2">
      <c r="A142" t="s">
        <v>488</v>
      </c>
      <c r="B142" t="s">
        <v>489</v>
      </c>
      <c r="C142" t="s">
        <v>347</v>
      </c>
      <c r="D142" t="s">
        <v>136</v>
      </c>
      <c r="E142">
        <v>12500000</v>
      </c>
      <c r="F142" t="s">
        <v>348</v>
      </c>
      <c r="G142" t="s">
        <v>155</v>
      </c>
      <c r="H142" t="s">
        <v>139</v>
      </c>
    </row>
    <row r="143" spans="1:8" x14ac:dyDescent="0.2">
      <c r="A143" t="s">
        <v>490</v>
      </c>
      <c r="B143" t="s">
        <v>491</v>
      </c>
      <c r="C143" t="s">
        <v>347</v>
      </c>
      <c r="D143" t="s">
        <v>136</v>
      </c>
      <c r="E143">
        <v>45000000</v>
      </c>
      <c r="F143" t="s">
        <v>348</v>
      </c>
      <c r="G143" t="s">
        <v>155</v>
      </c>
      <c r="H143" t="s">
        <v>139</v>
      </c>
    </row>
    <row r="144" spans="1:8" x14ac:dyDescent="0.2">
      <c r="A144" t="s">
        <v>492</v>
      </c>
      <c r="B144" t="s">
        <v>493</v>
      </c>
      <c r="C144" t="s">
        <v>494</v>
      </c>
      <c r="D144" t="s">
        <v>136</v>
      </c>
      <c r="E144">
        <v>244119369</v>
      </c>
      <c r="F144" t="s">
        <v>495</v>
      </c>
      <c r="G144" t="s">
        <v>496</v>
      </c>
      <c r="H144" t="s">
        <v>496</v>
      </c>
    </row>
    <row r="145" spans="1:8" x14ac:dyDescent="0.2">
      <c r="A145" t="s">
        <v>497</v>
      </c>
      <c r="B145" t="s">
        <v>498</v>
      </c>
      <c r="C145" t="s">
        <v>215</v>
      </c>
      <c r="D145" t="s">
        <v>167</v>
      </c>
      <c r="E145">
        <v>1100000</v>
      </c>
      <c r="F145" t="s">
        <v>216</v>
      </c>
      <c r="G145" t="s">
        <v>216</v>
      </c>
      <c r="H145" t="s">
        <v>217</v>
      </c>
    </row>
    <row r="146" spans="1:8" x14ac:dyDescent="0.2">
      <c r="A146" t="s">
        <v>499</v>
      </c>
      <c r="B146" t="s">
        <v>500</v>
      </c>
      <c r="C146" t="s">
        <v>293</v>
      </c>
      <c r="D146" t="s">
        <v>136</v>
      </c>
      <c r="E146">
        <v>5669959</v>
      </c>
      <c r="F146" t="s">
        <v>144</v>
      </c>
      <c r="G146" t="s">
        <v>144</v>
      </c>
      <c r="H146" t="s">
        <v>145</v>
      </c>
    </row>
    <row r="147" spans="1:8" x14ac:dyDescent="0.2">
      <c r="A147" t="s">
        <v>501</v>
      </c>
      <c r="B147" t="s">
        <v>502</v>
      </c>
      <c r="C147" t="s">
        <v>194</v>
      </c>
      <c r="D147" t="s">
        <v>136</v>
      </c>
      <c r="E147">
        <v>32993550</v>
      </c>
      <c r="F147" t="s">
        <v>195</v>
      </c>
      <c r="G147" t="s">
        <v>195</v>
      </c>
      <c r="H147" t="s">
        <v>184</v>
      </c>
    </row>
    <row r="148" spans="1:8" x14ac:dyDescent="0.2">
      <c r="A148" t="s">
        <v>503</v>
      </c>
      <c r="B148" t="s">
        <v>504</v>
      </c>
      <c r="C148" t="s">
        <v>347</v>
      </c>
      <c r="D148" t="s">
        <v>136</v>
      </c>
      <c r="E148">
        <v>7691226</v>
      </c>
      <c r="F148" t="s">
        <v>348</v>
      </c>
      <c r="G148" t="s">
        <v>155</v>
      </c>
      <c r="H148" t="s">
        <v>139</v>
      </c>
    </row>
    <row r="149" spans="1:8" x14ac:dyDescent="0.2">
      <c r="A149" t="s">
        <v>505</v>
      </c>
      <c r="B149" t="s">
        <v>506</v>
      </c>
      <c r="C149" t="s">
        <v>194</v>
      </c>
      <c r="D149" t="s">
        <v>136</v>
      </c>
      <c r="E149">
        <v>6414100</v>
      </c>
      <c r="F149" t="s">
        <v>195</v>
      </c>
      <c r="G149" t="s">
        <v>195</v>
      </c>
      <c r="H149" t="s">
        <v>184</v>
      </c>
    </row>
    <row r="150" spans="1:8" x14ac:dyDescent="0.2">
      <c r="A150" t="s">
        <v>507</v>
      </c>
      <c r="B150" t="s">
        <v>508</v>
      </c>
      <c r="C150" t="s">
        <v>283</v>
      </c>
      <c r="D150" t="s">
        <v>136</v>
      </c>
      <c r="E150">
        <v>1190000</v>
      </c>
      <c r="F150" t="s">
        <v>284</v>
      </c>
      <c r="G150" t="s">
        <v>183</v>
      </c>
      <c r="H150" t="s">
        <v>184</v>
      </c>
    </row>
    <row r="151" spans="1:8" x14ac:dyDescent="0.2">
      <c r="A151" t="s">
        <v>509</v>
      </c>
      <c r="B151" t="s">
        <v>510</v>
      </c>
      <c r="C151" t="s">
        <v>259</v>
      </c>
      <c r="D151" t="s">
        <v>136</v>
      </c>
      <c r="E151">
        <v>25000000</v>
      </c>
      <c r="F151" t="s">
        <v>260</v>
      </c>
      <c r="G151" t="s">
        <v>183</v>
      </c>
      <c r="H151" t="s">
        <v>184</v>
      </c>
    </row>
    <row r="152" spans="1:8" x14ac:dyDescent="0.2">
      <c r="A152" t="s">
        <v>511</v>
      </c>
      <c r="B152" t="s">
        <v>512</v>
      </c>
      <c r="C152" t="s">
        <v>194</v>
      </c>
      <c r="D152" t="s">
        <v>136</v>
      </c>
      <c r="E152">
        <v>4465570</v>
      </c>
      <c r="F152" t="s">
        <v>195</v>
      </c>
      <c r="G152" t="s">
        <v>195</v>
      </c>
      <c r="H152" t="s">
        <v>184</v>
      </c>
    </row>
    <row r="153" spans="1:8" x14ac:dyDescent="0.2">
      <c r="A153" t="s">
        <v>513</v>
      </c>
      <c r="B153" t="s">
        <v>514</v>
      </c>
      <c r="C153" t="s">
        <v>330</v>
      </c>
      <c r="D153" t="s">
        <v>143</v>
      </c>
      <c r="E153">
        <v>60485600</v>
      </c>
      <c r="F153" t="s">
        <v>330</v>
      </c>
      <c r="G153" t="s">
        <v>312</v>
      </c>
      <c r="H153" t="s">
        <v>313</v>
      </c>
    </row>
    <row r="154" spans="1:8" x14ac:dyDescent="0.2">
      <c r="A154" t="s">
        <v>515</v>
      </c>
      <c r="B154" t="s">
        <v>516</v>
      </c>
      <c r="C154" t="s">
        <v>194</v>
      </c>
      <c r="D154" t="s">
        <v>167</v>
      </c>
      <c r="E154">
        <v>123559858</v>
      </c>
      <c r="F154" t="s">
        <v>195</v>
      </c>
      <c r="G154" t="s">
        <v>195</v>
      </c>
      <c r="H154" t="s">
        <v>184</v>
      </c>
    </row>
    <row r="155" spans="1:8" x14ac:dyDescent="0.2">
      <c r="A155" t="s">
        <v>517</v>
      </c>
      <c r="B155" t="s">
        <v>518</v>
      </c>
      <c r="C155" t="s">
        <v>519</v>
      </c>
      <c r="D155" t="s">
        <v>143</v>
      </c>
      <c r="E155">
        <v>13500000</v>
      </c>
      <c r="F155" t="s">
        <v>229</v>
      </c>
      <c r="G155" t="s">
        <v>229</v>
      </c>
      <c r="H155" t="s">
        <v>217</v>
      </c>
    </row>
    <row r="156" spans="1:8" x14ac:dyDescent="0.2">
      <c r="A156" t="s">
        <v>520</v>
      </c>
      <c r="B156" t="s">
        <v>521</v>
      </c>
      <c r="C156" t="s">
        <v>441</v>
      </c>
      <c r="D156" t="s">
        <v>136</v>
      </c>
      <c r="E156">
        <v>3600000</v>
      </c>
      <c r="F156" t="s">
        <v>182</v>
      </c>
      <c r="G156" t="s">
        <v>183</v>
      </c>
      <c r="H156" t="s">
        <v>184</v>
      </c>
    </row>
    <row r="157" spans="1:8" x14ac:dyDescent="0.2">
      <c r="A157" t="s">
        <v>522</v>
      </c>
      <c r="B157" t="s">
        <v>523</v>
      </c>
      <c r="C157" t="s">
        <v>434</v>
      </c>
      <c r="D157" t="s">
        <v>136</v>
      </c>
      <c r="E157">
        <v>25000000</v>
      </c>
      <c r="F157" t="s">
        <v>326</v>
      </c>
      <c r="G157" t="s">
        <v>327</v>
      </c>
      <c r="H157" t="s">
        <v>217</v>
      </c>
    </row>
    <row r="158" spans="1:8" x14ac:dyDescent="0.2">
      <c r="A158" t="s">
        <v>524</v>
      </c>
      <c r="B158" t="s">
        <v>525</v>
      </c>
      <c r="C158" t="s">
        <v>387</v>
      </c>
      <c r="D158" t="s">
        <v>167</v>
      </c>
      <c r="E158">
        <v>9360000</v>
      </c>
      <c r="F158" t="s">
        <v>311</v>
      </c>
      <c r="G158" t="s">
        <v>312</v>
      </c>
      <c r="H158" t="s">
        <v>313</v>
      </c>
    </row>
    <row r="159" spans="1:8" x14ac:dyDescent="0.2">
      <c r="A159" t="s">
        <v>526</v>
      </c>
      <c r="B159" t="s">
        <v>527</v>
      </c>
      <c r="C159" t="s">
        <v>170</v>
      </c>
      <c r="D159" t="s">
        <v>136</v>
      </c>
      <c r="E159">
        <v>551846215</v>
      </c>
      <c r="F159" t="s">
        <v>170</v>
      </c>
      <c r="G159" t="s">
        <v>170</v>
      </c>
      <c r="H159" t="s">
        <v>170</v>
      </c>
    </row>
    <row r="160" spans="1:8" x14ac:dyDescent="0.2">
      <c r="A160" t="s">
        <v>528</v>
      </c>
      <c r="B160" t="s">
        <v>529</v>
      </c>
      <c r="C160" t="s">
        <v>355</v>
      </c>
      <c r="D160" t="s">
        <v>136</v>
      </c>
      <c r="E160">
        <v>9750948</v>
      </c>
      <c r="F160" t="s">
        <v>356</v>
      </c>
      <c r="G160" t="s">
        <v>150</v>
      </c>
      <c r="H160" t="s">
        <v>145</v>
      </c>
    </row>
    <row r="161" spans="1:8" x14ac:dyDescent="0.2">
      <c r="A161" t="s">
        <v>530</v>
      </c>
      <c r="B161" t="s">
        <v>3137</v>
      </c>
      <c r="C161" t="s">
        <v>3138</v>
      </c>
      <c r="D161" t="s">
        <v>143</v>
      </c>
      <c r="E161">
        <v>742322764</v>
      </c>
      <c r="F161" t="s">
        <v>3138</v>
      </c>
      <c r="G161" t="s">
        <v>178</v>
      </c>
      <c r="H161" t="s">
        <v>160</v>
      </c>
    </row>
    <row r="162" spans="1:8" x14ac:dyDescent="0.2">
      <c r="A162" t="s">
        <v>531</v>
      </c>
      <c r="B162" t="s">
        <v>532</v>
      </c>
      <c r="C162" t="s">
        <v>419</v>
      </c>
      <c r="D162" t="s">
        <v>136</v>
      </c>
      <c r="E162">
        <v>82788300</v>
      </c>
      <c r="F162" t="s">
        <v>166</v>
      </c>
      <c r="G162" t="s">
        <v>166</v>
      </c>
      <c r="H162" t="s">
        <v>160</v>
      </c>
    </row>
    <row r="163" spans="1:8" x14ac:dyDescent="0.2">
      <c r="A163" t="s">
        <v>533</v>
      </c>
      <c r="B163" t="s">
        <v>534</v>
      </c>
      <c r="C163" t="s">
        <v>137</v>
      </c>
      <c r="D163" t="s">
        <v>136</v>
      </c>
      <c r="E163">
        <v>5000000</v>
      </c>
      <c r="F163" t="s">
        <v>137</v>
      </c>
      <c r="G163" t="s">
        <v>138</v>
      </c>
      <c r="H163" t="s">
        <v>139</v>
      </c>
    </row>
    <row r="164" spans="1:8" x14ac:dyDescent="0.2">
      <c r="A164" t="s">
        <v>535</v>
      </c>
      <c r="B164" t="s">
        <v>536</v>
      </c>
      <c r="C164" t="s">
        <v>158</v>
      </c>
      <c r="D164" t="s">
        <v>167</v>
      </c>
      <c r="E164">
        <v>72233937</v>
      </c>
      <c r="F164" t="s">
        <v>159</v>
      </c>
      <c r="G164" t="s">
        <v>159</v>
      </c>
      <c r="H164" t="s">
        <v>160</v>
      </c>
    </row>
    <row r="165" spans="1:8" x14ac:dyDescent="0.2">
      <c r="A165" t="s">
        <v>537</v>
      </c>
      <c r="B165" t="s">
        <v>538</v>
      </c>
      <c r="C165" t="s">
        <v>387</v>
      </c>
      <c r="D165" t="s">
        <v>136</v>
      </c>
      <c r="E165">
        <v>2700000</v>
      </c>
      <c r="F165" t="s">
        <v>311</v>
      </c>
      <c r="G165" t="s">
        <v>312</v>
      </c>
      <c r="H165" t="s">
        <v>313</v>
      </c>
    </row>
    <row r="166" spans="1:8" x14ac:dyDescent="0.2">
      <c r="A166" t="s">
        <v>539</v>
      </c>
      <c r="B166" t="s">
        <v>540</v>
      </c>
      <c r="C166" t="s">
        <v>387</v>
      </c>
      <c r="D166" t="s">
        <v>143</v>
      </c>
      <c r="E166">
        <v>219928644</v>
      </c>
      <c r="F166" t="s">
        <v>311</v>
      </c>
      <c r="G166" t="s">
        <v>312</v>
      </c>
      <c r="H166" t="s">
        <v>313</v>
      </c>
    </row>
    <row r="167" spans="1:8" x14ac:dyDescent="0.2">
      <c r="A167" t="s">
        <v>541</v>
      </c>
      <c r="B167" t="s">
        <v>542</v>
      </c>
      <c r="C167" t="s">
        <v>387</v>
      </c>
      <c r="D167" t="s">
        <v>136</v>
      </c>
      <c r="E167">
        <v>100007569</v>
      </c>
      <c r="F167" t="s">
        <v>311</v>
      </c>
      <c r="G167" t="s">
        <v>312</v>
      </c>
      <c r="H167" t="s">
        <v>313</v>
      </c>
    </row>
    <row r="168" spans="1:8" x14ac:dyDescent="0.2">
      <c r="A168" t="s">
        <v>543</v>
      </c>
      <c r="B168" t="s">
        <v>544</v>
      </c>
      <c r="C168" t="s">
        <v>283</v>
      </c>
      <c r="D168" t="s">
        <v>167</v>
      </c>
      <c r="E168">
        <v>3012040</v>
      </c>
      <c r="F168" t="s">
        <v>284</v>
      </c>
      <c r="G168" t="s">
        <v>183</v>
      </c>
      <c r="H168" t="s">
        <v>184</v>
      </c>
    </row>
    <row r="169" spans="1:8" x14ac:dyDescent="0.2">
      <c r="A169" t="s">
        <v>545</v>
      </c>
      <c r="B169" t="s">
        <v>546</v>
      </c>
      <c r="C169" t="s">
        <v>208</v>
      </c>
      <c r="D169" t="s">
        <v>136</v>
      </c>
      <c r="E169">
        <v>4850000</v>
      </c>
      <c r="F169" t="s">
        <v>195</v>
      </c>
      <c r="G169" t="s">
        <v>195</v>
      </c>
      <c r="H169" t="s">
        <v>184</v>
      </c>
    </row>
    <row r="170" spans="1:8" x14ac:dyDescent="0.2">
      <c r="A170" t="s">
        <v>547</v>
      </c>
      <c r="B170" t="s">
        <v>548</v>
      </c>
      <c r="C170" t="s">
        <v>166</v>
      </c>
      <c r="D170" t="s">
        <v>136</v>
      </c>
      <c r="E170">
        <v>19336371</v>
      </c>
      <c r="F170" t="s">
        <v>166</v>
      </c>
      <c r="G170" t="s">
        <v>166</v>
      </c>
      <c r="H170" t="s">
        <v>160</v>
      </c>
    </row>
    <row r="171" spans="1:8" x14ac:dyDescent="0.2">
      <c r="A171" t="s">
        <v>549</v>
      </c>
      <c r="B171" t="s">
        <v>550</v>
      </c>
      <c r="C171" t="s">
        <v>237</v>
      </c>
      <c r="D171" t="s">
        <v>136</v>
      </c>
      <c r="E171">
        <v>3550000</v>
      </c>
      <c r="F171" t="s">
        <v>154</v>
      </c>
      <c r="G171" t="s">
        <v>155</v>
      </c>
      <c r="H171" t="s">
        <v>139</v>
      </c>
    </row>
    <row r="172" spans="1:8" x14ac:dyDescent="0.2">
      <c r="A172" t="s">
        <v>551</v>
      </c>
      <c r="B172" t="s">
        <v>552</v>
      </c>
      <c r="C172" t="s">
        <v>194</v>
      </c>
      <c r="D172" t="s">
        <v>143</v>
      </c>
      <c r="E172">
        <v>15030145</v>
      </c>
      <c r="F172" t="s">
        <v>195</v>
      </c>
      <c r="G172" t="s">
        <v>195</v>
      </c>
      <c r="H172" t="s">
        <v>184</v>
      </c>
    </row>
    <row r="173" spans="1:8" x14ac:dyDescent="0.2">
      <c r="A173" t="s">
        <v>553</v>
      </c>
      <c r="B173" t="s">
        <v>554</v>
      </c>
      <c r="C173" t="s">
        <v>208</v>
      </c>
      <c r="D173" t="s">
        <v>143</v>
      </c>
      <c r="E173">
        <v>36342269</v>
      </c>
      <c r="F173" t="s">
        <v>195</v>
      </c>
      <c r="G173" t="s">
        <v>195</v>
      </c>
      <c r="H173" t="s">
        <v>184</v>
      </c>
    </row>
    <row r="174" spans="1:8" x14ac:dyDescent="0.2">
      <c r="A174" t="s">
        <v>555</v>
      </c>
      <c r="B174" t="s">
        <v>556</v>
      </c>
      <c r="C174" t="s">
        <v>208</v>
      </c>
      <c r="D174" t="s">
        <v>136</v>
      </c>
      <c r="E174">
        <v>357300754</v>
      </c>
      <c r="F174" t="s">
        <v>195</v>
      </c>
      <c r="G174" t="s">
        <v>195</v>
      </c>
      <c r="H174" t="s">
        <v>184</v>
      </c>
    </row>
    <row r="175" spans="1:8" x14ac:dyDescent="0.2">
      <c r="A175" t="s">
        <v>557</v>
      </c>
      <c r="B175" t="s">
        <v>558</v>
      </c>
      <c r="C175" t="s">
        <v>208</v>
      </c>
      <c r="D175" t="s">
        <v>167</v>
      </c>
      <c r="E175">
        <v>61799972</v>
      </c>
      <c r="F175" t="s">
        <v>195</v>
      </c>
      <c r="G175" t="s">
        <v>195</v>
      </c>
      <c r="H175" t="s">
        <v>184</v>
      </c>
    </row>
    <row r="176" spans="1:8" x14ac:dyDescent="0.2">
      <c r="A176" t="s">
        <v>559</v>
      </c>
      <c r="B176" t="s">
        <v>560</v>
      </c>
      <c r="C176" t="s">
        <v>208</v>
      </c>
      <c r="D176" t="s">
        <v>136</v>
      </c>
      <c r="E176">
        <v>5312920</v>
      </c>
      <c r="F176" t="s">
        <v>195</v>
      </c>
      <c r="G176" t="s">
        <v>195</v>
      </c>
      <c r="H176" t="s">
        <v>184</v>
      </c>
    </row>
    <row r="177" spans="1:8" x14ac:dyDescent="0.2">
      <c r="A177" t="s">
        <v>561</v>
      </c>
      <c r="B177" t="s">
        <v>562</v>
      </c>
      <c r="C177" t="s">
        <v>563</v>
      </c>
      <c r="D177" t="s">
        <v>136</v>
      </c>
      <c r="E177">
        <v>45745876</v>
      </c>
      <c r="F177" t="s">
        <v>216</v>
      </c>
      <c r="G177" t="s">
        <v>216</v>
      </c>
      <c r="H177" t="s">
        <v>217</v>
      </c>
    </row>
    <row r="178" spans="1:8" x14ac:dyDescent="0.2">
      <c r="A178" t="s">
        <v>564</v>
      </c>
      <c r="B178" t="s">
        <v>565</v>
      </c>
      <c r="C178" t="s">
        <v>153</v>
      </c>
      <c r="D178" t="s">
        <v>136</v>
      </c>
      <c r="E178">
        <v>8799927</v>
      </c>
      <c r="F178" t="s">
        <v>154</v>
      </c>
      <c r="G178" t="s">
        <v>155</v>
      </c>
      <c r="H178" t="s">
        <v>139</v>
      </c>
    </row>
    <row r="179" spans="1:8" x14ac:dyDescent="0.2">
      <c r="A179" t="s">
        <v>566</v>
      </c>
      <c r="B179" t="s">
        <v>567</v>
      </c>
      <c r="C179" t="s">
        <v>211</v>
      </c>
      <c r="D179" t="s">
        <v>167</v>
      </c>
      <c r="E179">
        <v>13800000</v>
      </c>
      <c r="F179" t="s">
        <v>212</v>
      </c>
      <c r="G179" t="s">
        <v>183</v>
      </c>
      <c r="H179" t="s">
        <v>184</v>
      </c>
    </row>
    <row r="180" spans="1:8" x14ac:dyDescent="0.2">
      <c r="A180" t="s">
        <v>568</v>
      </c>
      <c r="B180" t="s">
        <v>569</v>
      </c>
      <c r="C180" t="s">
        <v>237</v>
      </c>
      <c r="D180" t="s">
        <v>167</v>
      </c>
      <c r="E180">
        <v>5000000</v>
      </c>
      <c r="F180" t="s">
        <v>154</v>
      </c>
      <c r="G180" t="s">
        <v>155</v>
      </c>
      <c r="H180" t="s">
        <v>139</v>
      </c>
    </row>
    <row r="181" spans="1:8" x14ac:dyDescent="0.2">
      <c r="A181" t="s">
        <v>570</v>
      </c>
      <c r="B181" t="s">
        <v>571</v>
      </c>
      <c r="C181" t="s">
        <v>572</v>
      </c>
      <c r="D181" t="s">
        <v>167</v>
      </c>
      <c r="E181">
        <v>15269965</v>
      </c>
      <c r="F181" t="s">
        <v>201</v>
      </c>
      <c r="G181" t="s">
        <v>150</v>
      </c>
      <c r="H181" t="s">
        <v>145</v>
      </c>
    </row>
    <row r="182" spans="1:8" x14ac:dyDescent="0.2">
      <c r="A182" t="s">
        <v>573</v>
      </c>
      <c r="B182" t="s">
        <v>574</v>
      </c>
      <c r="C182" t="s">
        <v>575</v>
      </c>
      <c r="D182" t="s">
        <v>136</v>
      </c>
      <c r="E182">
        <v>5059098</v>
      </c>
      <c r="F182" t="s">
        <v>182</v>
      </c>
      <c r="G182" t="s">
        <v>183</v>
      </c>
      <c r="H182" t="s">
        <v>184</v>
      </c>
    </row>
    <row r="183" spans="1:8" x14ac:dyDescent="0.2">
      <c r="A183" t="s">
        <v>576</v>
      </c>
      <c r="B183" t="s">
        <v>577</v>
      </c>
      <c r="C183" t="s">
        <v>153</v>
      </c>
      <c r="D183" t="s">
        <v>136</v>
      </c>
      <c r="E183">
        <v>9748579</v>
      </c>
      <c r="F183" t="s">
        <v>154</v>
      </c>
      <c r="G183" t="s">
        <v>155</v>
      </c>
      <c r="H183" t="s">
        <v>139</v>
      </c>
    </row>
    <row r="184" spans="1:8" x14ac:dyDescent="0.2">
      <c r="A184" t="s">
        <v>579</v>
      </c>
      <c r="B184" t="s">
        <v>580</v>
      </c>
      <c r="C184" t="s">
        <v>355</v>
      </c>
      <c r="D184" t="s">
        <v>136</v>
      </c>
      <c r="E184">
        <v>43006366</v>
      </c>
      <c r="F184" t="s">
        <v>356</v>
      </c>
      <c r="G184" t="s">
        <v>150</v>
      </c>
      <c r="H184" t="s">
        <v>145</v>
      </c>
    </row>
    <row r="185" spans="1:8" x14ac:dyDescent="0.2">
      <c r="A185" t="s">
        <v>581</v>
      </c>
      <c r="B185" t="s">
        <v>582</v>
      </c>
      <c r="C185" t="s">
        <v>237</v>
      </c>
      <c r="D185" t="s">
        <v>136</v>
      </c>
      <c r="E185">
        <v>5291868</v>
      </c>
      <c r="F185" t="s">
        <v>154</v>
      </c>
      <c r="G185" t="s">
        <v>155</v>
      </c>
      <c r="H185" t="s">
        <v>139</v>
      </c>
    </row>
    <row r="186" spans="1:8" x14ac:dyDescent="0.2">
      <c r="A186" t="s">
        <v>583</v>
      </c>
      <c r="B186" t="s">
        <v>584</v>
      </c>
      <c r="C186" t="s">
        <v>208</v>
      </c>
      <c r="D186" t="s">
        <v>136</v>
      </c>
      <c r="E186">
        <v>358507825</v>
      </c>
      <c r="F186" t="s">
        <v>195</v>
      </c>
      <c r="G186" t="s">
        <v>195</v>
      </c>
      <c r="H186" t="s">
        <v>184</v>
      </c>
    </row>
    <row r="187" spans="1:8" x14ac:dyDescent="0.2">
      <c r="A187" t="s">
        <v>585</v>
      </c>
      <c r="B187" t="s">
        <v>586</v>
      </c>
      <c r="C187" t="s">
        <v>208</v>
      </c>
      <c r="D187" t="s">
        <v>136</v>
      </c>
      <c r="E187">
        <v>64000000</v>
      </c>
      <c r="F187" t="s">
        <v>195</v>
      </c>
      <c r="G187" t="s">
        <v>195</v>
      </c>
      <c r="H187" t="s">
        <v>184</v>
      </c>
    </row>
    <row r="188" spans="1:8" x14ac:dyDescent="0.2">
      <c r="A188" t="s">
        <v>587</v>
      </c>
      <c r="B188" t="s">
        <v>588</v>
      </c>
      <c r="C188" t="s">
        <v>153</v>
      </c>
      <c r="D188" t="s">
        <v>136</v>
      </c>
      <c r="E188">
        <v>15092326</v>
      </c>
      <c r="F188" t="s">
        <v>154</v>
      </c>
      <c r="G188" t="s">
        <v>155</v>
      </c>
      <c r="H188" t="s">
        <v>139</v>
      </c>
    </row>
    <row r="189" spans="1:8" x14ac:dyDescent="0.2">
      <c r="A189" t="s">
        <v>3063</v>
      </c>
      <c r="B189" t="s">
        <v>3064</v>
      </c>
      <c r="C189" t="s">
        <v>208</v>
      </c>
      <c r="D189" t="s">
        <v>136</v>
      </c>
      <c r="E189">
        <v>40250000</v>
      </c>
      <c r="F189" t="s">
        <v>195</v>
      </c>
      <c r="G189" t="s">
        <v>195</v>
      </c>
      <c r="H189" t="s">
        <v>184</v>
      </c>
    </row>
    <row r="190" spans="1:8" x14ac:dyDescent="0.2">
      <c r="A190" t="s">
        <v>589</v>
      </c>
      <c r="B190" t="s">
        <v>590</v>
      </c>
      <c r="C190" t="s">
        <v>310</v>
      </c>
      <c r="D190" t="s">
        <v>143</v>
      </c>
      <c r="E190">
        <v>17743865</v>
      </c>
      <c r="F190" t="s">
        <v>311</v>
      </c>
      <c r="G190" t="s">
        <v>312</v>
      </c>
      <c r="H190" t="s">
        <v>313</v>
      </c>
    </row>
    <row r="191" spans="1:8" x14ac:dyDescent="0.2">
      <c r="A191" t="s">
        <v>591</v>
      </c>
      <c r="B191" t="s">
        <v>592</v>
      </c>
      <c r="C191" t="s">
        <v>166</v>
      </c>
      <c r="D191" t="s">
        <v>143</v>
      </c>
      <c r="E191">
        <v>59581418</v>
      </c>
      <c r="F191" t="s">
        <v>166</v>
      </c>
      <c r="G191" t="s">
        <v>166</v>
      </c>
      <c r="H191" t="s">
        <v>160</v>
      </c>
    </row>
    <row r="192" spans="1:8" x14ac:dyDescent="0.2">
      <c r="A192" t="s">
        <v>593</v>
      </c>
      <c r="B192" t="s">
        <v>594</v>
      </c>
      <c r="C192" t="s">
        <v>194</v>
      </c>
      <c r="D192" t="s">
        <v>136</v>
      </c>
      <c r="E192">
        <v>6199900</v>
      </c>
      <c r="F192" t="s">
        <v>195</v>
      </c>
      <c r="G192" t="s">
        <v>195</v>
      </c>
      <c r="H192" t="s">
        <v>184</v>
      </c>
    </row>
    <row r="193" spans="1:8" x14ac:dyDescent="0.2">
      <c r="A193" t="s">
        <v>595</v>
      </c>
      <c r="B193" t="s">
        <v>596</v>
      </c>
      <c r="C193" t="s">
        <v>211</v>
      </c>
      <c r="D193" t="s">
        <v>136</v>
      </c>
      <c r="E193">
        <v>2400000</v>
      </c>
      <c r="F193" t="s">
        <v>212</v>
      </c>
      <c r="G193" t="s">
        <v>183</v>
      </c>
      <c r="H193" t="s">
        <v>184</v>
      </c>
    </row>
    <row r="194" spans="1:8" x14ac:dyDescent="0.2">
      <c r="A194" t="s">
        <v>597</v>
      </c>
      <c r="B194" t="s">
        <v>598</v>
      </c>
      <c r="C194" t="s">
        <v>211</v>
      </c>
      <c r="D194" t="s">
        <v>167</v>
      </c>
      <c r="E194">
        <v>24501817</v>
      </c>
      <c r="F194" t="s">
        <v>212</v>
      </c>
      <c r="G194" t="s">
        <v>183</v>
      </c>
      <c r="H194" t="s">
        <v>184</v>
      </c>
    </row>
    <row r="195" spans="1:8" x14ac:dyDescent="0.2">
      <c r="A195" t="s">
        <v>599</v>
      </c>
      <c r="B195" t="s">
        <v>600</v>
      </c>
      <c r="C195" t="s">
        <v>211</v>
      </c>
      <c r="D195" t="s">
        <v>136</v>
      </c>
      <c r="E195">
        <v>28480000</v>
      </c>
      <c r="F195" t="s">
        <v>212</v>
      </c>
      <c r="G195" t="s">
        <v>183</v>
      </c>
      <c r="H195" t="s">
        <v>184</v>
      </c>
    </row>
    <row r="196" spans="1:8" x14ac:dyDescent="0.2">
      <c r="A196" t="s">
        <v>601</v>
      </c>
      <c r="B196" t="s">
        <v>602</v>
      </c>
      <c r="C196" t="s">
        <v>208</v>
      </c>
      <c r="D196" t="s">
        <v>136</v>
      </c>
      <c r="E196">
        <v>1800000</v>
      </c>
      <c r="F196" t="s">
        <v>195</v>
      </c>
      <c r="G196" t="s">
        <v>195</v>
      </c>
      <c r="H196" t="s">
        <v>184</v>
      </c>
    </row>
    <row r="197" spans="1:8" x14ac:dyDescent="0.2">
      <c r="A197" t="s">
        <v>603</v>
      </c>
      <c r="B197" t="s">
        <v>604</v>
      </c>
      <c r="C197" t="s">
        <v>208</v>
      </c>
      <c r="D197" t="s">
        <v>143</v>
      </c>
      <c r="E197">
        <v>21988716</v>
      </c>
      <c r="F197" t="s">
        <v>195</v>
      </c>
      <c r="G197" t="s">
        <v>195</v>
      </c>
      <c r="H197" t="s">
        <v>184</v>
      </c>
    </row>
    <row r="198" spans="1:8" x14ac:dyDescent="0.2">
      <c r="A198" t="s">
        <v>605</v>
      </c>
      <c r="B198" t="s">
        <v>606</v>
      </c>
      <c r="C198" t="s">
        <v>194</v>
      </c>
      <c r="D198" t="s">
        <v>136</v>
      </c>
      <c r="E198">
        <v>3464995</v>
      </c>
      <c r="F198" t="s">
        <v>195</v>
      </c>
      <c r="G198" t="s">
        <v>195</v>
      </c>
      <c r="H198" t="s">
        <v>184</v>
      </c>
    </row>
    <row r="199" spans="1:8" x14ac:dyDescent="0.2">
      <c r="A199" t="s">
        <v>607</v>
      </c>
      <c r="B199" t="s">
        <v>608</v>
      </c>
      <c r="C199" t="s">
        <v>441</v>
      </c>
      <c r="D199" t="s">
        <v>136</v>
      </c>
      <c r="E199">
        <v>2000000</v>
      </c>
      <c r="F199" t="s">
        <v>182</v>
      </c>
      <c r="G199" t="s">
        <v>183</v>
      </c>
      <c r="H199" t="s">
        <v>184</v>
      </c>
    </row>
    <row r="200" spans="1:8" x14ac:dyDescent="0.2">
      <c r="A200" t="s">
        <v>609</v>
      </c>
      <c r="B200" t="s">
        <v>610</v>
      </c>
      <c r="C200" t="s">
        <v>211</v>
      </c>
      <c r="D200" t="s">
        <v>167</v>
      </c>
      <c r="E200">
        <v>99000000</v>
      </c>
      <c r="F200" t="s">
        <v>212</v>
      </c>
      <c r="G200" t="s">
        <v>183</v>
      </c>
      <c r="H200" t="s">
        <v>184</v>
      </c>
    </row>
    <row r="201" spans="1:8" x14ac:dyDescent="0.2">
      <c r="A201" t="s">
        <v>611</v>
      </c>
      <c r="B201" t="s">
        <v>612</v>
      </c>
      <c r="C201" t="s">
        <v>208</v>
      </c>
      <c r="D201" t="s">
        <v>136</v>
      </c>
      <c r="E201">
        <v>31504975</v>
      </c>
      <c r="F201" t="s">
        <v>195</v>
      </c>
      <c r="G201" t="s">
        <v>195</v>
      </c>
      <c r="H201" t="s">
        <v>184</v>
      </c>
    </row>
    <row r="202" spans="1:8" x14ac:dyDescent="0.2">
      <c r="A202" t="s">
        <v>613</v>
      </c>
      <c r="B202" t="s">
        <v>614</v>
      </c>
      <c r="C202" t="s">
        <v>240</v>
      </c>
      <c r="D202" t="s">
        <v>136</v>
      </c>
      <c r="E202">
        <v>18270000</v>
      </c>
      <c r="F202" t="s">
        <v>240</v>
      </c>
      <c r="G202" t="s">
        <v>241</v>
      </c>
      <c r="H202" t="s">
        <v>242</v>
      </c>
    </row>
    <row r="203" spans="1:8" x14ac:dyDescent="0.2">
      <c r="A203" t="s">
        <v>615</v>
      </c>
      <c r="B203" t="s">
        <v>616</v>
      </c>
      <c r="C203" t="s">
        <v>208</v>
      </c>
      <c r="D203" t="s">
        <v>136</v>
      </c>
      <c r="E203">
        <v>2133271</v>
      </c>
      <c r="F203" t="s">
        <v>195</v>
      </c>
      <c r="G203" t="s">
        <v>195</v>
      </c>
      <c r="H203" t="s">
        <v>184</v>
      </c>
    </row>
    <row r="204" spans="1:8" x14ac:dyDescent="0.2">
      <c r="A204" t="s">
        <v>617</v>
      </c>
      <c r="B204" t="s">
        <v>618</v>
      </c>
      <c r="C204" t="s">
        <v>289</v>
      </c>
      <c r="D204" t="s">
        <v>136</v>
      </c>
      <c r="E204">
        <v>6000000</v>
      </c>
      <c r="F204" t="s">
        <v>290</v>
      </c>
      <c r="G204" t="s">
        <v>183</v>
      </c>
      <c r="H204" t="s">
        <v>184</v>
      </c>
    </row>
    <row r="205" spans="1:8" x14ac:dyDescent="0.2">
      <c r="A205" t="s">
        <v>619</v>
      </c>
      <c r="B205" t="s">
        <v>620</v>
      </c>
      <c r="C205" t="s">
        <v>208</v>
      </c>
      <c r="D205" t="s">
        <v>136</v>
      </c>
      <c r="E205">
        <v>3800000</v>
      </c>
      <c r="F205" t="s">
        <v>195</v>
      </c>
      <c r="G205" t="s">
        <v>195</v>
      </c>
      <c r="H205" t="s">
        <v>184</v>
      </c>
    </row>
    <row r="206" spans="1:8" x14ac:dyDescent="0.2">
      <c r="A206" t="s">
        <v>621</v>
      </c>
      <c r="B206" t="s">
        <v>622</v>
      </c>
      <c r="C206" t="s">
        <v>519</v>
      </c>
      <c r="D206" t="s">
        <v>136</v>
      </c>
      <c r="E206">
        <v>21712440</v>
      </c>
      <c r="F206" t="s">
        <v>229</v>
      </c>
      <c r="G206" t="s">
        <v>229</v>
      </c>
      <c r="H206" t="s">
        <v>217</v>
      </c>
    </row>
    <row r="207" spans="1:8" x14ac:dyDescent="0.2">
      <c r="A207" t="s">
        <v>623</v>
      </c>
      <c r="B207" t="s">
        <v>624</v>
      </c>
      <c r="C207" t="s">
        <v>166</v>
      </c>
      <c r="D207" t="s">
        <v>167</v>
      </c>
      <c r="E207">
        <v>540406432</v>
      </c>
      <c r="F207" t="s">
        <v>166</v>
      </c>
      <c r="G207" t="s">
        <v>166</v>
      </c>
      <c r="H207" t="s">
        <v>160</v>
      </c>
    </row>
    <row r="208" spans="1:8" x14ac:dyDescent="0.2">
      <c r="A208" t="s">
        <v>625</v>
      </c>
      <c r="B208" t="s">
        <v>626</v>
      </c>
      <c r="C208" t="s">
        <v>137</v>
      </c>
      <c r="D208" t="s">
        <v>167</v>
      </c>
      <c r="E208">
        <v>6050000</v>
      </c>
      <c r="F208" t="s">
        <v>137</v>
      </c>
      <c r="G208" t="s">
        <v>138</v>
      </c>
      <c r="H208" t="s">
        <v>139</v>
      </c>
    </row>
    <row r="209" spans="1:8" x14ac:dyDescent="0.2">
      <c r="A209" t="s">
        <v>627</v>
      </c>
      <c r="B209" t="s">
        <v>628</v>
      </c>
      <c r="C209" t="s">
        <v>575</v>
      </c>
      <c r="D209" t="s">
        <v>136</v>
      </c>
      <c r="E209">
        <v>2000000</v>
      </c>
      <c r="F209" t="s">
        <v>182</v>
      </c>
      <c r="G209" t="s">
        <v>183</v>
      </c>
      <c r="H209" t="s">
        <v>184</v>
      </c>
    </row>
    <row r="210" spans="1:8" x14ac:dyDescent="0.2">
      <c r="A210" t="s">
        <v>629</v>
      </c>
      <c r="B210" t="s">
        <v>630</v>
      </c>
      <c r="C210" t="s">
        <v>404</v>
      </c>
      <c r="D210" t="s">
        <v>136</v>
      </c>
      <c r="E210">
        <v>8096000</v>
      </c>
      <c r="F210" t="s">
        <v>348</v>
      </c>
      <c r="G210" t="s">
        <v>155</v>
      </c>
      <c r="H210" t="s">
        <v>139</v>
      </c>
    </row>
    <row r="211" spans="1:8" x14ac:dyDescent="0.2">
      <c r="A211" t="s">
        <v>631</v>
      </c>
      <c r="B211" t="s">
        <v>632</v>
      </c>
      <c r="C211" t="s">
        <v>194</v>
      </c>
      <c r="D211" t="s">
        <v>136</v>
      </c>
      <c r="E211">
        <v>9499956</v>
      </c>
      <c r="F211" t="s">
        <v>195</v>
      </c>
      <c r="G211" t="s">
        <v>195</v>
      </c>
      <c r="H211" t="s">
        <v>184</v>
      </c>
    </row>
    <row r="212" spans="1:8" x14ac:dyDescent="0.2">
      <c r="A212" t="s">
        <v>633</v>
      </c>
      <c r="B212" t="s">
        <v>634</v>
      </c>
      <c r="C212" t="s">
        <v>208</v>
      </c>
      <c r="D212" t="s">
        <v>136</v>
      </c>
      <c r="E212">
        <v>3732450</v>
      </c>
      <c r="F212" t="s">
        <v>195</v>
      </c>
      <c r="G212" t="s">
        <v>195</v>
      </c>
      <c r="H212" t="s">
        <v>184</v>
      </c>
    </row>
    <row r="213" spans="1:8" x14ac:dyDescent="0.2">
      <c r="A213" t="s">
        <v>635</v>
      </c>
      <c r="B213" t="s">
        <v>636</v>
      </c>
      <c r="C213" t="s">
        <v>194</v>
      </c>
      <c r="D213" t="s">
        <v>136</v>
      </c>
      <c r="E213">
        <v>6731596</v>
      </c>
      <c r="F213" t="s">
        <v>195</v>
      </c>
      <c r="G213" t="s">
        <v>195</v>
      </c>
      <c r="H213" t="s">
        <v>184</v>
      </c>
    </row>
    <row r="214" spans="1:8" x14ac:dyDescent="0.2">
      <c r="A214" t="s">
        <v>637</v>
      </c>
      <c r="B214" t="s">
        <v>638</v>
      </c>
      <c r="C214" t="s">
        <v>330</v>
      </c>
      <c r="D214" t="s">
        <v>143</v>
      </c>
      <c r="E214">
        <v>146912668</v>
      </c>
      <c r="F214" t="s">
        <v>330</v>
      </c>
      <c r="G214" t="s">
        <v>312</v>
      </c>
      <c r="H214" t="s">
        <v>313</v>
      </c>
    </row>
    <row r="215" spans="1:8" x14ac:dyDescent="0.2">
      <c r="A215" t="s">
        <v>639</v>
      </c>
      <c r="B215" t="s">
        <v>640</v>
      </c>
      <c r="C215" t="s">
        <v>641</v>
      </c>
      <c r="D215" t="s">
        <v>136</v>
      </c>
      <c r="E215">
        <v>28400000</v>
      </c>
      <c r="F215" t="s">
        <v>311</v>
      </c>
      <c r="G215" t="s">
        <v>312</v>
      </c>
      <c r="H215" t="s">
        <v>313</v>
      </c>
    </row>
    <row r="216" spans="1:8" x14ac:dyDescent="0.2">
      <c r="A216" t="s">
        <v>642</v>
      </c>
      <c r="B216" t="s">
        <v>643</v>
      </c>
      <c r="C216" t="s">
        <v>208</v>
      </c>
      <c r="D216" t="s">
        <v>136</v>
      </c>
      <c r="E216">
        <v>2700000</v>
      </c>
      <c r="F216" t="s">
        <v>195</v>
      </c>
      <c r="G216" t="s">
        <v>195</v>
      </c>
      <c r="H216" t="s">
        <v>184</v>
      </c>
    </row>
    <row r="217" spans="1:8" x14ac:dyDescent="0.2">
      <c r="A217" t="s">
        <v>644</v>
      </c>
      <c r="B217" t="s">
        <v>645</v>
      </c>
      <c r="C217" t="s">
        <v>211</v>
      </c>
      <c r="D217" t="s">
        <v>167</v>
      </c>
      <c r="E217">
        <v>19709904</v>
      </c>
      <c r="F217" t="s">
        <v>212</v>
      </c>
      <c r="G217" t="s">
        <v>183</v>
      </c>
      <c r="H217" t="s">
        <v>184</v>
      </c>
    </row>
    <row r="218" spans="1:8" x14ac:dyDescent="0.2">
      <c r="A218" t="s">
        <v>646</v>
      </c>
      <c r="B218" t="s">
        <v>647</v>
      </c>
      <c r="C218" t="s">
        <v>208</v>
      </c>
      <c r="D218" t="s">
        <v>136</v>
      </c>
      <c r="E218">
        <v>1082000</v>
      </c>
      <c r="F218" t="s">
        <v>195</v>
      </c>
      <c r="G218" t="s">
        <v>195</v>
      </c>
      <c r="H218" t="s">
        <v>184</v>
      </c>
    </row>
    <row r="219" spans="1:8" x14ac:dyDescent="0.2">
      <c r="A219" t="s">
        <v>648</v>
      </c>
      <c r="B219" t="s">
        <v>649</v>
      </c>
      <c r="C219" t="s">
        <v>208</v>
      </c>
      <c r="D219" t="s">
        <v>143</v>
      </c>
      <c r="E219">
        <v>31539947</v>
      </c>
      <c r="F219" t="s">
        <v>195</v>
      </c>
      <c r="G219" t="s">
        <v>195</v>
      </c>
      <c r="H219" t="s">
        <v>184</v>
      </c>
    </row>
    <row r="220" spans="1:8" x14ac:dyDescent="0.2">
      <c r="A220" t="s">
        <v>650</v>
      </c>
      <c r="B220" t="s">
        <v>651</v>
      </c>
      <c r="C220" t="s">
        <v>208</v>
      </c>
      <c r="D220" t="s">
        <v>143</v>
      </c>
      <c r="E220">
        <v>318778113</v>
      </c>
      <c r="F220" t="s">
        <v>195</v>
      </c>
      <c r="G220" t="s">
        <v>195</v>
      </c>
      <c r="H220" t="s">
        <v>184</v>
      </c>
    </row>
    <row r="221" spans="1:8" x14ac:dyDescent="0.2">
      <c r="A221" t="s">
        <v>652</v>
      </c>
      <c r="B221" t="s">
        <v>653</v>
      </c>
      <c r="C221" t="s">
        <v>208</v>
      </c>
      <c r="D221" t="s">
        <v>136</v>
      </c>
      <c r="E221">
        <v>4545000</v>
      </c>
      <c r="F221" t="s">
        <v>195</v>
      </c>
      <c r="G221" t="s">
        <v>195</v>
      </c>
      <c r="H221" t="s">
        <v>184</v>
      </c>
    </row>
    <row r="222" spans="1:8" x14ac:dyDescent="0.2">
      <c r="A222" t="s">
        <v>654</v>
      </c>
      <c r="B222" t="s">
        <v>655</v>
      </c>
      <c r="C222" t="s">
        <v>259</v>
      </c>
      <c r="D222" t="s">
        <v>167</v>
      </c>
      <c r="E222">
        <v>8000000</v>
      </c>
      <c r="F222" t="s">
        <v>260</v>
      </c>
      <c r="G222" t="s">
        <v>183</v>
      </c>
      <c r="H222" t="s">
        <v>184</v>
      </c>
    </row>
    <row r="223" spans="1:8" x14ac:dyDescent="0.2">
      <c r="A223" t="s">
        <v>656</v>
      </c>
      <c r="B223" t="s">
        <v>657</v>
      </c>
      <c r="C223" t="s">
        <v>166</v>
      </c>
      <c r="D223" t="s">
        <v>136</v>
      </c>
      <c r="E223">
        <v>3000000</v>
      </c>
      <c r="F223" t="s">
        <v>166</v>
      </c>
      <c r="G223" t="s">
        <v>166</v>
      </c>
      <c r="H223" t="s">
        <v>160</v>
      </c>
    </row>
    <row r="224" spans="1:8" x14ac:dyDescent="0.2">
      <c r="A224" t="s">
        <v>658</v>
      </c>
      <c r="B224" t="s">
        <v>659</v>
      </c>
      <c r="C224" t="s">
        <v>289</v>
      </c>
      <c r="D224" t="s">
        <v>136</v>
      </c>
      <c r="E224">
        <v>3286404</v>
      </c>
      <c r="F224" t="s">
        <v>290</v>
      </c>
      <c r="G224" t="s">
        <v>183</v>
      </c>
      <c r="H224" t="s">
        <v>184</v>
      </c>
    </row>
    <row r="225" spans="1:8" x14ac:dyDescent="0.2">
      <c r="A225" t="s">
        <v>660</v>
      </c>
      <c r="B225" t="s">
        <v>661</v>
      </c>
      <c r="C225" t="s">
        <v>289</v>
      </c>
      <c r="D225" t="s">
        <v>136</v>
      </c>
      <c r="E225">
        <v>31000000</v>
      </c>
      <c r="F225" t="s">
        <v>290</v>
      </c>
      <c r="G225" t="s">
        <v>183</v>
      </c>
      <c r="H225" t="s">
        <v>184</v>
      </c>
    </row>
    <row r="226" spans="1:8" x14ac:dyDescent="0.2">
      <c r="A226" t="s">
        <v>662</v>
      </c>
      <c r="B226" t="s">
        <v>663</v>
      </c>
      <c r="C226" t="s">
        <v>166</v>
      </c>
      <c r="D226" t="s">
        <v>143</v>
      </c>
      <c r="E226">
        <v>95259361</v>
      </c>
      <c r="F226" t="s">
        <v>166</v>
      </c>
      <c r="G226" t="s">
        <v>166</v>
      </c>
      <c r="H226" t="s">
        <v>160</v>
      </c>
    </row>
    <row r="227" spans="1:8" x14ac:dyDescent="0.2">
      <c r="A227" t="s">
        <v>664</v>
      </c>
      <c r="B227" t="s">
        <v>665</v>
      </c>
      <c r="C227" t="s">
        <v>666</v>
      </c>
      <c r="D227" t="s">
        <v>167</v>
      </c>
      <c r="E227">
        <v>4050000</v>
      </c>
      <c r="F227" t="s">
        <v>667</v>
      </c>
      <c r="G227" t="s">
        <v>668</v>
      </c>
      <c r="H227" t="s">
        <v>668</v>
      </c>
    </row>
    <row r="228" spans="1:8" x14ac:dyDescent="0.2">
      <c r="A228" t="s">
        <v>669</v>
      </c>
      <c r="B228" t="s">
        <v>670</v>
      </c>
      <c r="C228" t="s">
        <v>671</v>
      </c>
      <c r="D228" t="s">
        <v>143</v>
      </c>
      <c r="E228">
        <v>26207583</v>
      </c>
      <c r="F228" t="s">
        <v>671</v>
      </c>
      <c r="G228" t="s">
        <v>138</v>
      </c>
      <c r="H228" t="s">
        <v>139</v>
      </c>
    </row>
    <row r="229" spans="1:8" x14ac:dyDescent="0.2">
      <c r="A229" t="s">
        <v>672</v>
      </c>
      <c r="B229" t="s">
        <v>673</v>
      </c>
      <c r="C229" t="s">
        <v>166</v>
      </c>
      <c r="D229" t="s">
        <v>136</v>
      </c>
      <c r="E229">
        <v>21150000</v>
      </c>
      <c r="F229" t="s">
        <v>166</v>
      </c>
      <c r="G229" t="s">
        <v>166</v>
      </c>
      <c r="H229" t="s">
        <v>160</v>
      </c>
    </row>
    <row r="230" spans="1:8" x14ac:dyDescent="0.2">
      <c r="A230" t="s">
        <v>674</v>
      </c>
      <c r="B230" t="s">
        <v>675</v>
      </c>
      <c r="C230" t="s">
        <v>194</v>
      </c>
      <c r="D230" t="s">
        <v>167</v>
      </c>
      <c r="E230">
        <v>12000000</v>
      </c>
      <c r="F230" t="s">
        <v>195</v>
      </c>
      <c r="G230" t="s">
        <v>195</v>
      </c>
      <c r="H230" t="s">
        <v>184</v>
      </c>
    </row>
    <row r="231" spans="1:8" x14ac:dyDescent="0.2">
      <c r="A231" t="s">
        <v>674</v>
      </c>
      <c r="B231" t="s">
        <v>676</v>
      </c>
      <c r="C231" t="s">
        <v>211</v>
      </c>
      <c r="D231" t="s">
        <v>143</v>
      </c>
      <c r="E231">
        <v>34000000</v>
      </c>
      <c r="F231" t="s">
        <v>212</v>
      </c>
      <c r="G231" t="s">
        <v>183</v>
      </c>
      <c r="H231" t="s">
        <v>184</v>
      </c>
    </row>
    <row r="232" spans="1:8" x14ac:dyDescent="0.2">
      <c r="A232" t="s">
        <v>677</v>
      </c>
      <c r="B232" t="s">
        <v>678</v>
      </c>
      <c r="C232" t="s">
        <v>148</v>
      </c>
      <c r="D232" t="s">
        <v>167</v>
      </c>
      <c r="E232">
        <v>11000000</v>
      </c>
      <c r="F232" t="s">
        <v>149</v>
      </c>
      <c r="G232" t="s">
        <v>150</v>
      </c>
      <c r="H232" t="s">
        <v>145</v>
      </c>
    </row>
    <row r="233" spans="1:8" x14ac:dyDescent="0.2">
      <c r="A233" t="s">
        <v>679</v>
      </c>
      <c r="B233" t="s">
        <v>680</v>
      </c>
      <c r="C233" t="s">
        <v>387</v>
      </c>
      <c r="D233" t="s">
        <v>143</v>
      </c>
      <c r="E233">
        <v>13000000</v>
      </c>
      <c r="F233" t="s">
        <v>311</v>
      </c>
      <c r="G233" t="s">
        <v>312</v>
      </c>
      <c r="H233" t="s">
        <v>313</v>
      </c>
    </row>
    <row r="234" spans="1:8" x14ac:dyDescent="0.2">
      <c r="A234" t="s">
        <v>681</v>
      </c>
      <c r="B234" t="s">
        <v>682</v>
      </c>
      <c r="C234" t="s">
        <v>237</v>
      </c>
      <c r="D234" t="s">
        <v>136</v>
      </c>
      <c r="E234">
        <v>86600000</v>
      </c>
      <c r="F234" t="s">
        <v>154</v>
      </c>
      <c r="G234" t="s">
        <v>155</v>
      </c>
      <c r="H234" t="s">
        <v>139</v>
      </c>
    </row>
    <row r="235" spans="1:8" x14ac:dyDescent="0.2">
      <c r="A235" t="s">
        <v>683</v>
      </c>
      <c r="B235" t="s">
        <v>684</v>
      </c>
      <c r="C235" t="s">
        <v>685</v>
      </c>
      <c r="D235" t="s">
        <v>167</v>
      </c>
      <c r="E235">
        <v>4561050</v>
      </c>
      <c r="F235" t="s">
        <v>686</v>
      </c>
      <c r="G235" t="s">
        <v>686</v>
      </c>
      <c r="H235" t="s">
        <v>139</v>
      </c>
    </row>
    <row r="236" spans="1:8" x14ac:dyDescent="0.2">
      <c r="A236" t="s">
        <v>674</v>
      </c>
      <c r="B236" t="s">
        <v>687</v>
      </c>
      <c r="C236" t="s">
        <v>194</v>
      </c>
      <c r="D236" t="s">
        <v>136</v>
      </c>
      <c r="E236">
        <v>15000000</v>
      </c>
      <c r="F236" t="s">
        <v>195</v>
      </c>
      <c r="G236" t="s">
        <v>195</v>
      </c>
      <c r="H236" t="s">
        <v>184</v>
      </c>
    </row>
    <row r="237" spans="1:8" x14ac:dyDescent="0.2">
      <c r="A237" t="s">
        <v>688</v>
      </c>
      <c r="B237" t="s">
        <v>689</v>
      </c>
      <c r="C237" t="s">
        <v>237</v>
      </c>
      <c r="D237" t="s">
        <v>136</v>
      </c>
      <c r="E237">
        <v>8100000</v>
      </c>
      <c r="F237" t="s">
        <v>154</v>
      </c>
      <c r="G237" t="s">
        <v>155</v>
      </c>
      <c r="H237" t="s">
        <v>139</v>
      </c>
    </row>
    <row r="238" spans="1:8" x14ac:dyDescent="0.2">
      <c r="A238" t="s">
        <v>690</v>
      </c>
      <c r="B238" t="s">
        <v>691</v>
      </c>
      <c r="C238" t="s">
        <v>692</v>
      </c>
      <c r="D238" t="s">
        <v>143</v>
      </c>
      <c r="E238">
        <v>190439296</v>
      </c>
      <c r="F238" t="s">
        <v>693</v>
      </c>
      <c r="G238" t="s">
        <v>668</v>
      </c>
      <c r="H238" t="s">
        <v>668</v>
      </c>
    </row>
    <row r="239" spans="1:8" x14ac:dyDescent="0.2">
      <c r="A239" t="s">
        <v>674</v>
      </c>
      <c r="B239" t="s">
        <v>694</v>
      </c>
      <c r="C239" t="s">
        <v>194</v>
      </c>
      <c r="D239" t="s">
        <v>136</v>
      </c>
      <c r="E239">
        <v>15002500</v>
      </c>
      <c r="F239" t="s">
        <v>195</v>
      </c>
      <c r="G239" t="s">
        <v>195</v>
      </c>
      <c r="H239" t="s">
        <v>184</v>
      </c>
    </row>
    <row r="240" spans="1:8" x14ac:dyDescent="0.2">
      <c r="A240" t="s">
        <v>674</v>
      </c>
      <c r="B240" t="s">
        <v>695</v>
      </c>
      <c r="C240" t="s">
        <v>289</v>
      </c>
      <c r="D240" t="s">
        <v>136</v>
      </c>
      <c r="E240">
        <v>1432578</v>
      </c>
      <c r="F240" t="s">
        <v>290</v>
      </c>
      <c r="G240" t="s">
        <v>183</v>
      </c>
      <c r="H240" t="s">
        <v>184</v>
      </c>
    </row>
    <row r="241" spans="1:8" x14ac:dyDescent="0.2">
      <c r="A241" t="s">
        <v>696</v>
      </c>
      <c r="B241" t="s">
        <v>697</v>
      </c>
      <c r="C241" t="s">
        <v>237</v>
      </c>
      <c r="D241" t="s">
        <v>136</v>
      </c>
      <c r="E241">
        <v>91849998</v>
      </c>
      <c r="F241" t="s">
        <v>154</v>
      </c>
      <c r="G241" t="s">
        <v>155</v>
      </c>
      <c r="H241" t="s">
        <v>139</v>
      </c>
    </row>
    <row r="242" spans="1:8" x14ac:dyDescent="0.2">
      <c r="A242" t="s">
        <v>698</v>
      </c>
      <c r="B242" t="s">
        <v>699</v>
      </c>
      <c r="C242" t="s">
        <v>237</v>
      </c>
      <c r="D242" t="s">
        <v>136</v>
      </c>
      <c r="E242">
        <v>4800000</v>
      </c>
      <c r="F242" t="s">
        <v>154</v>
      </c>
      <c r="G242" t="s">
        <v>155</v>
      </c>
      <c r="H242" t="s">
        <v>139</v>
      </c>
    </row>
    <row r="243" spans="1:8" x14ac:dyDescent="0.2">
      <c r="A243" t="s">
        <v>674</v>
      </c>
      <c r="B243" t="s">
        <v>700</v>
      </c>
      <c r="C243" t="s">
        <v>211</v>
      </c>
      <c r="D243" t="s">
        <v>136</v>
      </c>
      <c r="E243">
        <v>32405415</v>
      </c>
      <c r="F243" t="s">
        <v>212</v>
      </c>
      <c r="G243" t="s">
        <v>183</v>
      </c>
      <c r="H243" t="s">
        <v>184</v>
      </c>
    </row>
    <row r="244" spans="1:8" x14ac:dyDescent="0.2">
      <c r="A244" t="s">
        <v>674</v>
      </c>
      <c r="B244" t="s">
        <v>701</v>
      </c>
      <c r="C244" t="s">
        <v>208</v>
      </c>
      <c r="D244" t="s">
        <v>167</v>
      </c>
      <c r="E244">
        <v>25452500</v>
      </c>
      <c r="F244" t="s">
        <v>195</v>
      </c>
      <c r="G244" t="s">
        <v>195</v>
      </c>
      <c r="H244" t="s">
        <v>184</v>
      </c>
    </row>
    <row r="245" spans="1:8" x14ac:dyDescent="0.2">
      <c r="A245" t="s">
        <v>702</v>
      </c>
      <c r="B245" t="s">
        <v>703</v>
      </c>
      <c r="C245" t="s">
        <v>704</v>
      </c>
      <c r="D245" t="s">
        <v>136</v>
      </c>
      <c r="E245">
        <v>8000000</v>
      </c>
      <c r="F245" t="s">
        <v>693</v>
      </c>
      <c r="G245" t="s">
        <v>668</v>
      </c>
      <c r="H245" t="s">
        <v>668</v>
      </c>
    </row>
    <row r="246" spans="1:8" x14ac:dyDescent="0.2">
      <c r="A246" t="s">
        <v>705</v>
      </c>
      <c r="B246" t="s">
        <v>706</v>
      </c>
      <c r="C246" t="s">
        <v>519</v>
      </c>
      <c r="D246" t="s">
        <v>143</v>
      </c>
      <c r="E246">
        <v>18155868</v>
      </c>
      <c r="F246" t="s">
        <v>229</v>
      </c>
      <c r="G246" t="s">
        <v>229</v>
      </c>
      <c r="H246" t="s">
        <v>217</v>
      </c>
    </row>
    <row r="247" spans="1:8" x14ac:dyDescent="0.2">
      <c r="A247" t="s">
        <v>707</v>
      </c>
      <c r="B247" t="s">
        <v>708</v>
      </c>
      <c r="C247" t="s">
        <v>387</v>
      </c>
      <c r="D247" t="s">
        <v>136</v>
      </c>
      <c r="E247">
        <v>15534900</v>
      </c>
      <c r="F247" t="s">
        <v>311</v>
      </c>
      <c r="G247" t="s">
        <v>312</v>
      </c>
      <c r="H247" t="s">
        <v>313</v>
      </c>
    </row>
    <row r="248" spans="1:8" x14ac:dyDescent="0.2">
      <c r="A248" t="s">
        <v>709</v>
      </c>
      <c r="B248" t="s">
        <v>710</v>
      </c>
      <c r="C248" t="s">
        <v>153</v>
      </c>
      <c r="D248" t="s">
        <v>143</v>
      </c>
      <c r="E248">
        <v>101898990</v>
      </c>
      <c r="F248" t="s">
        <v>154</v>
      </c>
      <c r="G248" t="s">
        <v>155</v>
      </c>
      <c r="H248" t="s">
        <v>139</v>
      </c>
    </row>
    <row r="249" spans="1:8" x14ac:dyDescent="0.2">
      <c r="A249" t="s">
        <v>711</v>
      </c>
      <c r="B249" t="s">
        <v>712</v>
      </c>
      <c r="C249" t="s">
        <v>153</v>
      </c>
      <c r="D249" t="s">
        <v>136</v>
      </c>
      <c r="E249">
        <v>793917</v>
      </c>
      <c r="F249" t="s">
        <v>154</v>
      </c>
      <c r="G249" t="s">
        <v>155</v>
      </c>
      <c r="H249" t="s">
        <v>139</v>
      </c>
    </row>
    <row r="250" spans="1:8" x14ac:dyDescent="0.2">
      <c r="A250" t="s">
        <v>713</v>
      </c>
      <c r="B250" t="s">
        <v>714</v>
      </c>
      <c r="C250" t="s">
        <v>240</v>
      </c>
      <c r="D250" t="s">
        <v>136</v>
      </c>
      <c r="E250">
        <v>11364325</v>
      </c>
      <c r="F250" t="s">
        <v>240</v>
      </c>
      <c r="G250" t="s">
        <v>241</v>
      </c>
      <c r="H250" t="s">
        <v>242</v>
      </c>
    </row>
    <row r="251" spans="1:8" x14ac:dyDescent="0.2">
      <c r="A251" t="s">
        <v>715</v>
      </c>
      <c r="B251" t="s">
        <v>716</v>
      </c>
      <c r="C251" t="s">
        <v>310</v>
      </c>
      <c r="D251" t="s">
        <v>143</v>
      </c>
      <c r="E251">
        <v>35099625</v>
      </c>
      <c r="F251" t="s">
        <v>311</v>
      </c>
      <c r="G251" t="s">
        <v>312</v>
      </c>
      <c r="H251" t="s">
        <v>313</v>
      </c>
    </row>
    <row r="252" spans="1:8" x14ac:dyDescent="0.2">
      <c r="A252" t="s">
        <v>674</v>
      </c>
      <c r="B252" t="s">
        <v>717</v>
      </c>
      <c r="C252" t="s">
        <v>208</v>
      </c>
      <c r="D252" t="s">
        <v>136</v>
      </c>
      <c r="E252">
        <v>8800000</v>
      </c>
      <c r="F252" t="s">
        <v>195</v>
      </c>
      <c r="G252" t="s">
        <v>195</v>
      </c>
      <c r="H252" t="s">
        <v>184</v>
      </c>
    </row>
    <row r="253" spans="1:8" x14ac:dyDescent="0.2">
      <c r="A253" t="s">
        <v>674</v>
      </c>
      <c r="B253" t="s">
        <v>718</v>
      </c>
      <c r="C253" t="s">
        <v>208</v>
      </c>
      <c r="D253" t="s">
        <v>136</v>
      </c>
      <c r="E253">
        <v>40015069</v>
      </c>
      <c r="F253" t="s">
        <v>195</v>
      </c>
      <c r="G253" t="s">
        <v>195</v>
      </c>
      <c r="H253" t="s">
        <v>184</v>
      </c>
    </row>
    <row r="254" spans="1:8" x14ac:dyDescent="0.2">
      <c r="A254" t="s">
        <v>719</v>
      </c>
      <c r="B254" t="s">
        <v>720</v>
      </c>
      <c r="C254" t="s">
        <v>316</v>
      </c>
      <c r="D254" t="s">
        <v>143</v>
      </c>
      <c r="E254">
        <v>14120628</v>
      </c>
      <c r="F254" t="s">
        <v>229</v>
      </c>
      <c r="G254" t="s">
        <v>229</v>
      </c>
      <c r="H254" t="s">
        <v>217</v>
      </c>
    </row>
    <row r="255" spans="1:8" x14ac:dyDescent="0.2">
      <c r="A255" t="s">
        <v>721</v>
      </c>
      <c r="B255" t="s">
        <v>722</v>
      </c>
      <c r="C255" t="s">
        <v>404</v>
      </c>
      <c r="D255" t="s">
        <v>136</v>
      </c>
      <c r="E255">
        <v>23627990</v>
      </c>
      <c r="F255" t="s">
        <v>348</v>
      </c>
      <c r="G255" t="s">
        <v>155</v>
      </c>
      <c r="H255" t="s">
        <v>139</v>
      </c>
    </row>
    <row r="256" spans="1:8" x14ac:dyDescent="0.2">
      <c r="A256" t="s">
        <v>723</v>
      </c>
      <c r="B256" t="s">
        <v>724</v>
      </c>
      <c r="C256" t="s">
        <v>293</v>
      </c>
      <c r="D256" t="s">
        <v>167</v>
      </c>
      <c r="E256">
        <v>4303050</v>
      </c>
      <c r="F256" t="s">
        <v>144</v>
      </c>
      <c r="G256" t="s">
        <v>144</v>
      </c>
      <c r="H256" t="s">
        <v>145</v>
      </c>
    </row>
    <row r="257" spans="1:8" x14ac:dyDescent="0.2">
      <c r="A257" t="s">
        <v>725</v>
      </c>
      <c r="B257" t="s">
        <v>726</v>
      </c>
      <c r="C257" t="s">
        <v>727</v>
      </c>
      <c r="D257" t="s">
        <v>136</v>
      </c>
      <c r="E257">
        <v>4400000</v>
      </c>
      <c r="F257" t="s">
        <v>229</v>
      </c>
      <c r="G257" t="s">
        <v>229</v>
      </c>
      <c r="H257" t="s">
        <v>217</v>
      </c>
    </row>
    <row r="258" spans="1:8" x14ac:dyDescent="0.2">
      <c r="A258" t="s">
        <v>674</v>
      </c>
      <c r="B258" t="s">
        <v>728</v>
      </c>
      <c r="C258" t="s">
        <v>211</v>
      </c>
      <c r="D258" t="s">
        <v>136</v>
      </c>
      <c r="E258">
        <v>36505000</v>
      </c>
      <c r="F258" t="s">
        <v>212</v>
      </c>
      <c r="G258" t="s">
        <v>183</v>
      </c>
      <c r="H258" t="s">
        <v>184</v>
      </c>
    </row>
    <row r="259" spans="1:8" x14ac:dyDescent="0.2">
      <c r="A259" t="s">
        <v>674</v>
      </c>
      <c r="B259" t="s">
        <v>3144</v>
      </c>
      <c r="C259" t="s">
        <v>211</v>
      </c>
      <c r="D259" t="s">
        <v>136</v>
      </c>
      <c r="E259">
        <v>75049936</v>
      </c>
      <c r="F259" t="s">
        <v>212</v>
      </c>
      <c r="G259" t="s">
        <v>183</v>
      </c>
      <c r="H259" t="s">
        <v>184</v>
      </c>
    </row>
    <row r="260" spans="1:8" x14ac:dyDescent="0.2">
      <c r="A260" t="s">
        <v>674</v>
      </c>
      <c r="B260" t="s">
        <v>729</v>
      </c>
      <c r="C260" t="s">
        <v>194</v>
      </c>
      <c r="D260" t="s">
        <v>136</v>
      </c>
      <c r="E260">
        <v>25000000</v>
      </c>
      <c r="F260" t="s">
        <v>195</v>
      </c>
      <c r="G260" t="s">
        <v>195</v>
      </c>
      <c r="H260" t="s">
        <v>184</v>
      </c>
    </row>
    <row r="261" spans="1:8" x14ac:dyDescent="0.2">
      <c r="A261" t="s">
        <v>674</v>
      </c>
      <c r="B261" t="s">
        <v>731</v>
      </c>
      <c r="C261" t="s">
        <v>194</v>
      </c>
      <c r="D261" t="s">
        <v>143</v>
      </c>
      <c r="E261">
        <v>60000000</v>
      </c>
      <c r="F261" t="s">
        <v>195</v>
      </c>
      <c r="G261" t="s">
        <v>195</v>
      </c>
      <c r="H261" t="s">
        <v>184</v>
      </c>
    </row>
    <row r="262" spans="1:8" x14ac:dyDescent="0.2">
      <c r="A262" t="s">
        <v>732</v>
      </c>
      <c r="B262" t="s">
        <v>733</v>
      </c>
      <c r="C262" t="s">
        <v>166</v>
      </c>
      <c r="D262" t="s">
        <v>143</v>
      </c>
      <c r="E262">
        <v>463678534</v>
      </c>
      <c r="F262" t="s">
        <v>166</v>
      </c>
      <c r="G262" t="s">
        <v>166</v>
      </c>
      <c r="H262" t="s">
        <v>160</v>
      </c>
    </row>
    <row r="263" spans="1:8" x14ac:dyDescent="0.2">
      <c r="A263" t="s">
        <v>674</v>
      </c>
      <c r="B263" t="s">
        <v>734</v>
      </c>
      <c r="C263" t="s">
        <v>208</v>
      </c>
      <c r="D263" t="s">
        <v>167</v>
      </c>
      <c r="E263">
        <v>37408982</v>
      </c>
      <c r="F263" t="s">
        <v>195</v>
      </c>
      <c r="G263" t="s">
        <v>195</v>
      </c>
      <c r="H263" t="s">
        <v>184</v>
      </c>
    </row>
    <row r="264" spans="1:8" x14ac:dyDescent="0.2">
      <c r="A264" t="s">
        <v>735</v>
      </c>
      <c r="B264" t="s">
        <v>736</v>
      </c>
      <c r="C264" t="s">
        <v>158</v>
      </c>
      <c r="D264" t="s">
        <v>136</v>
      </c>
      <c r="E264">
        <v>16800000</v>
      </c>
      <c r="F264" t="s">
        <v>159</v>
      </c>
      <c r="G264" t="s">
        <v>159</v>
      </c>
      <c r="H264" t="s">
        <v>160</v>
      </c>
    </row>
    <row r="265" spans="1:8" x14ac:dyDescent="0.2">
      <c r="A265" t="s">
        <v>737</v>
      </c>
      <c r="B265" t="s">
        <v>738</v>
      </c>
      <c r="C265" t="s">
        <v>739</v>
      </c>
      <c r="D265" t="s">
        <v>143</v>
      </c>
      <c r="E265">
        <v>103626467</v>
      </c>
      <c r="F265" t="s">
        <v>686</v>
      </c>
      <c r="G265" t="s">
        <v>686</v>
      </c>
      <c r="H265" t="s">
        <v>139</v>
      </c>
    </row>
    <row r="266" spans="1:8" x14ac:dyDescent="0.2">
      <c r="A266" t="s">
        <v>740</v>
      </c>
      <c r="B266" t="s">
        <v>741</v>
      </c>
      <c r="C266" t="s">
        <v>148</v>
      </c>
      <c r="D266" t="s">
        <v>136</v>
      </c>
      <c r="E266">
        <v>42846773</v>
      </c>
      <c r="F266" t="s">
        <v>149</v>
      </c>
      <c r="G266" t="s">
        <v>150</v>
      </c>
      <c r="H266" t="s">
        <v>145</v>
      </c>
    </row>
    <row r="267" spans="1:8" x14ac:dyDescent="0.2">
      <c r="A267" t="s">
        <v>742</v>
      </c>
      <c r="B267" t="s">
        <v>743</v>
      </c>
      <c r="C267" t="s">
        <v>293</v>
      </c>
      <c r="D267" t="s">
        <v>143</v>
      </c>
      <c r="E267">
        <v>110499910</v>
      </c>
      <c r="F267" t="s">
        <v>144</v>
      </c>
      <c r="G267" t="s">
        <v>144</v>
      </c>
      <c r="H267" t="s">
        <v>145</v>
      </c>
    </row>
    <row r="268" spans="1:8" x14ac:dyDescent="0.2">
      <c r="A268" t="s">
        <v>674</v>
      </c>
      <c r="B268" t="s">
        <v>744</v>
      </c>
      <c r="C268" t="s">
        <v>208</v>
      </c>
      <c r="D268" t="s">
        <v>136</v>
      </c>
      <c r="E268">
        <v>8799756</v>
      </c>
      <c r="F268" t="s">
        <v>195</v>
      </c>
      <c r="G268" t="s">
        <v>195</v>
      </c>
      <c r="H268" t="s">
        <v>184</v>
      </c>
    </row>
    <row r="269" spans="1:8" x14ac:dyDescent="0.2">
      <c r="A269" t="s">
        <v>674</v>
      </c>
      <c r="B269" t="s">
        <v>745</v>
      </c>
      <c r="C269" t="s">
        <v>208</v>
      </c>
      <c r="D269" t="s">
        <v>136</v>
      </c>
      <c r="E269">
        <v>6108078</v>
      </c>
      <c r="F269" t="s">
        <v>195</v>
      </c>
      <c r="G269" t="s">
        <v>195</v>
      </c>
      <c r="H269" t="s">
        <v>184</v>
      </c>
    </row>
    <row r="270" spans="1:8" x14ac:dyDescent="0.2">
      <c r="A270" t="s">
        <v>674</v>
      </c>
      <c r="B270" t="s">
        <v>746</v>
      </c>
      <c r="C270" t="s">
        <v>208</v>
      </c>
      <c r="D270" t="s">
        <v>136</v>
      </c>
      <c r="E270">
        <v>8454381</v>
      </c>
      <c r="F270" t="s">
        <v>195</v>
      </c>
      <c r="G270" t="s">
        <v>195</v>
      </c>
      <c r="H270" t="s">
        <v>184</v>
      </c>
    </row>
    <row r="271" spans="1:8" x14ac:dyDescent="0.2">
      <c r="A271" t="s">
        <v>674</v>
      </c>
      <c r="B271" t="s">
        <v>747</v>
      </c>
      <c r="C271" t="s">
        <v>289</v>
      </c>
      <c r="D271" t="s">
        <v>167</v>
      </c>
      <c r="E271">
        <v>13680000</v>
      </c>
      <c r="F271" t="s">
        <v>290</v>
      </c>
      <c r="G271" t="s">
        <v>183</v>
      </c>
      <c r="H271" t="s">
        <v>184</v>
      </c>
    </row>
    <row r="272" spans="1:8" x14ac:dyDescent="0.2">
      <c r="A272" t="s">
        <v>748</v>
      </c>
      <c r="B272" t="s">
        <v>749</v>
      </c>
      <c r="C272" t="s">
        <v>434</v>
      </c>
      <c r="D272" t="s">
        <v>167</v>
      </c>
      <c r="E272">
        <v>15799926</v>
      </c>
      <c r="F272" t="s">
        <v>326</v>
      </c>
      <c r="G272" t="s">
        <v>327</v>
      </c>
      <c r="H272" t="s">
        <v>217</v>
      </c>
    </row>
    <row r="273" spans="1:8" x14ac:dyDescent="0.2">
      <c r="A273" t="s">
        <v>674</v>
      </c>
      <c r="B273" t="s">
        <v>751</v>
      </c>
      <c r="C273" t="s">
        <v>208</v>
      </c>
      <c r="D273" t="s">
        <v>143</v>
      </c>
      <c r="E273">
        <v>103633261</v>
      </c>
      <c r="F273" t="s">
        <v>195</v>
      </c>
      <c r="G273" t="s">
        <v>195</v>
      </c>
      <c r="H273" t="s">
        <v>184</v>
      </c>
    </row>
    <row r="274" spans="1:8" x14ac:dyDescent="0.2">
      <c r="A274" t="s">
        <v>752</v>
      </c>
      <c r="B274" t="s">
        <v>753</v>
      </c>
      <c r="C274" t="s">
        <v>685</v>
      </c>
      <c r="D274" t="s">
        <v>143</v>
      </c>
      <c r="E274">
        <v>89396463</v>
      </c>
      <c r="F274" t="s">
        <v>686</v>
      </c>
      <c r="G274" t="s">
        <v>686</v>
      </c>
      <c r="H274" t="s">
        <v>139</v>
      </c>
    </row>
    <row r="275" spans="1:8" x14ac:dyDescent="0.2">
      <c r="A275" t="s">
        <v>754</v>
      </c>
      <c r="B275" t="s">
        <v>755</v>
      </c>
      <c r="C275" t="s">
        <v>170</v>
      </c>
      <c r="D275" t="s">
        <v>143</v>
      </c>
      <c r="E275">
        <v>5369991748</v>
      </c>
      <c r="F275" t="s">
        <v>170</v>
      </c>
      <c r="G275" t="s">
        <v>170</v>
      </c>
      <c r="H275" t="s">
        <v>170</v>
      </c>
    </row>
    <row r="276" spans="1:8" x14ac:dyDescent="0.2">
      <c r="A276" t="s">
        <v>674</v>
      </c>
      <c r="B276" t="s">
        <v>757</v>
      </c>
      <c r="C276" t="s">
        <v>208</v>
      </c>
      <c r="D276" t="s">
        <v>143</v>
      </c>
      <c r="E276">
        <v>62999997</v>
      </c>
      <c r="F276" t="s">
        <v>195</v>
      </c>
      <c r="G276" t="s">
        <v>195</v>
      </c>
      <c r="H276" t="s">
        <v>184</v>
      </c>
    </row>
    <row r="277" spans="1:8" x14ac:dyDescent="0.2">
      <c r="A277" t="s">
        <v>674</v>
      </c>
      <c r="B277" t="s">
        <v>758</v>
      </c>
      <c r="C277" t="s">
        <v>208</v>
      </c>
      <c r="D277" t="s">
        <v>136</v>
      </c>
      <c r="E277">
        <v>6958345</v>
      </c>
      <c r="F277" t="s">
        <v>195</v>
      </c>
      <c r="G277" t="s">
        <v>195</v>
      </c>
      <c r="H277" t="s">
        <v>184</v>
      </c>
    </row>
    <row r="278" spans="1:8" x14ac:dyDescent="0.2">
      <c r="A278" t="s">
        <v>759</v>
      </c>
      <c r="B278" t="s">
        <v>760</v>
      </c>
      <c r="C278" t="s">
        <v>404</v>
      </c>
      <c r="D278" t="s">
        <v>167</v>
      </c>
      <c r="E278">
        <v>12099992</v>
      </c>
      <c r="F278" t="s">
        <v>348</v>
      </c>
      <c r="G278" t="s">
        <v>155</v>
      </c>
      <c r="H278" t="s">
        <v>139</v>
      </c>
    </row>
    <row r="279" spans="1:8" x14ac:dyDescent="0.2">
      <c r="A279" t="s">
        <v>674</v>
      </c>
      <c r="B279" t="s">
        <v>762</v>
      </c>
      <c r="C279" t="s">
        <v>208</v>
      </c>
      <c r="D279" t="s">
        <v>143</v>
      </c>
      <c r="E279">
        <v>114385879</v>
      </c>
      <c r="F279" t="s">
        <v>195</v>
      </c>
      <c r="G279" t="s">
        <v>195</v>
      </c>
      <c r="H279" t="s">
        <v>184</v>
      </c>
    </row>
    <row r="280" spans="1:8" x14ac:dyDescent="0.2">
      <c r="A280" t="s">
        <v>763</v>
      </c>
      <c r="B280" t="s">
        <v>764</v>
      </c>
      <c r="C280" t="s">
        <v>158</v>
      </c>
      <c r="D280" t="s">
        <v>143</v>
      </c>
      <c r="E280">
        <v>148738311</v>
      </c>
      <c r="F280" t="s">
        <v>159</v>
      </c>
      <c r="G280" t="s">
        <v>159</v>
      </c>
      <c r="H280" t="s">
        <v>160</v>
      </c>
    </row>
    <row r="281" spans="1:8" x14ac:dyDescent="0.2">
      <c r="A281" t="s">
        <v>674</v>
      </c>
      <c r="B281" t="s">
        <v>765</v>
      </c>
      <c r="C281" t="s">
        <v>289</v>
      </c>
      <c r="D281" t="s">
        <v>167</v>
      </c>
      <c r="E281">
        <v>4697351</v>
      </c>
      <c r="F281" t="s">
        <v>290</v>
      </c>
      <c r="G281" t="s">
        <v>183</v>
      </c>
      <c r="H281" t="s">
        <v>184</v>
      </c>
    </row>
    <row r="282" spans="1:8" x14ac:dyDescent="0.2">
      <c r="A282" t="s">
        <v>766</v>
      </c>
      <c r="B282" t="s">
        <v>767</v>
      </c>
      <c r="C282" t="s">
        <v>387</v>
      </c>
      <c r="D282" t="s">
        <v>136</v>
      </c>
      <c r="E282">
        <v>28000000</v>
      </c>
      <c r="F282" t="s">
        <v>311</v>
      </c>
      <c r="G282" t="s">
        <v>312</v>
      </c>
      <c r="H282" t="s">
        <v>313</v>
      </c>
    </row>
    <row r="283" spans="1:8" x14ac:dyDescent="0.2">
      <c r="A283" t="s">
        <v>674</v>
      </c>
      <c r="B283" t="s">
        <v>768</v>
      </c>
      <c r="C283" t="s">
        <v>208</v>
      </c>
      <c r="D283" t="s">
        <v>136</v>
      </c>
      <c r="E283">
        <v>78907276</v>
      </c>
      <c r="F283" t="s">
        <v>195</v>
      </c>
      <c r="G283" t="s">
        <v>195</v>
      </c>
      <c r="H283" t="s">
        <v>184</v>
      </c>
    </row>
    <row r="284" spans="1:8" x14ac:dyDescent="0.2">
      <c r="A284" t="s">
        <v>769</v>
      </c>
      <c r="B284" t="s">
        <v>770</v>
      </c>
      <c r="C284" t="s">
        <v>268</v>
      </c>
      <c r="D284" t="s">
        <v>167</v>
      </c>
      <c r="E284">
        <v>29699991</v>
      </c>
      <c r="F284" t="s">
        <v>269</v>
      </c>
      <c r="G284" t="s">
        <v>241</v>
      </c>
      <c r="H284" t="s">
        <v>242</v>
      </c>
    </row>
    <row r="285" spans="1:8" x14ac:dyDescent="0.2">
      <c r="A285" t="s">
        <v>674</v>
      </c>
      <c r="B285" t="s">
        <v>771</v>
      </c>
      <c r="C285" t="s">
        <v>194</v>
      </c>
      <c r="D285" t="s">
        <v>143</v>
      </c>
      <c r="E285">
        <v>36690887</v>
      </c>
      <c r="F285" t="s">
        <v>195</v>
      </c>
      <c r="G285" t="s">
        <v>195</v>
      </c>
      <c r="H285" t="s">
        <v>184</v>
      </c>
    </row>
    <row r="286" spans="1:8" x14ac:dyDescent="0.2">
      <c r="A286" t="s">
        <v>674</v>
      </c>
      <c r="B286" t="s">
        <v>772</v>
      </c>
      <c r="C286" t="s">
        <v>208</v>
      </c>
      <c r="D286" t="s">
        <v>167</v>
      </c>
      <c r="E286">
        <v>2553771</v>
      </c>
      <c r="F286" t="s">
        <v>195</v>
      </c>
      <c r="G286" t="s">
        <v>195</v>
      </c>
      <c r="H286" t="s">
        <v>184</v>
      </c>
    </row>
    <row r="287" spans="1:8" x14ac:dyDescent="0.2">
      <c r="A287" t="s">
        <v>674</v>
      </c>
      <c r="B287" t="s">
        <v>773</v>
      </c>
      <c r="C287" t="s">
        <v>194</v>
      </c>
      <c r="D287" t="s">
        <v>136</v>
      </c>
      <c r="E287">
        <v>1990530</v>
      </c>
      <c r="F287" t="s">
        <v>195</v>
      </c>
      <c r="G287" t="s">
        <v>195</v>
      </c>
      <c r="H287" t="s">
        <v>184</v>
      </c>
    </row>
    <row r="288" spans="1:8" x14ac:dyDescent="0.2">
      <c r="A288" t="s">
        <v>774</v>
      </c>
      <c r="B288" t="s">
        <v>775</v>
      </c>
      <c r="C288" t="s">
        <v>166</v>
      </c>
      <c r="D288" t="s">
        <v>167</v>
      </c>
      <c r="E288">
        <v>6551965</v>
      </c>
      <c r="F288" t="s">
        <v>166</v>
      </c>
      <c r="G288" t="s">
        <v>166</v>
      </c>
      <c r="H288" t="s">
        <v>160</v>
      </c>
    </row>
    <row r="289" spans="1:8" x14ac:dyDescent="0.2">
      <c r="A289" t="s">
        <v>776</v>
      </c>
      <c r="B289" t="s">
        <v>777</v>
      </c>
      <c r="C289" t="s">
        <v>149</v>
      </c>
      <c r="D289" t="s">
        <v>136</v>
      </c>
      <c r="E289">
        <v>5259700</v>
      </c>
      <c r="F289" t="s">
        <v>149</v>
      </c>
      <c r="G289" t="s">
        <v>150</v>
      </c>
      <c r="H289" t="s">
        <v>145</v>
      </c>
    </row>
    <row r="290" spans="1:8" x14ac:dyDescent="0.2">
      <c r="A290" t="s">
        <v>778</v>
      </c>
      <c r="B290" t="s">
        <v>779</v>
      </c>
      <c r="C290" t="s">
        <v>166</v>
      </c>
      <c r="D290" t="s">
        <v>143</v>
      </c>
      <c r="E290">
        <v>30304758</v>
      </c>
      <c r="F290" t="s">
        <v>166</v>
      </c>
      <c r="G290" t="s">
        <v>166</v>
      </c>
      <c r="H290" t="s">
        <v>160</v>
      </c>
    </row>
    <row r="291" spans="1:8" x14ac:dyDescent="0.2">
      <c r="A291" t="s">
        <v>674</v>
      </c>
      <c r="B291" t="s">
        <v>780</v>
      </c>
      <c r="C291" t="s">
        <v>194</v>
      </c>
      <c r="D291" t="s">
        <v>136</v>
      </c>
      <c r="E291">
        <v>1004974</v>
      </c>
      <c r="F291" t="s">
        <v>195</v>
      </c>
      <c r="G291" t="s">
        <v>195</v>
      </c>
      <c r="H291" t="s">
        <v>184</v>
      </c>
    </row>
    <row r="292" spans="1:8" x14ac:dyDescent="0.2">
      <c r="A292" t="s">
        <v>781</v>
      </c>
      <c r="B292" t="s">
        <v>782</v>
      </c>
      <c r="C292" t="s">
        <v>215</v>
      </c>
      <c r="D292" t="s">
        <v>167</v>
      </c>
      <c r="E292">
        <v>5000000</v>
      </c>
      <c r="F292" t="s">
        <v>216</v>
      </c>
      <c r="G292" t="s">
        <v>216</v>
      </c>
      <c r="H292" t="s">
        <v>217</v>
      </c>
    </row>
    <row r="293" spans="1:8" x14ac:dyDescent="0.2">
      <c r="A293" t="s">
        <v>783</v>
      </c>
      <c r="B293" t="s">
        <v>784</v>
      </c>
      <c r="C293" t="s">
        <v>215</v>
      </c>
      <c r="D293" t="s">
        <v>167</v>
      </c>
      <c r="E293">
        <v>1925658</v>
      </c>
      <c r="F293" t="s">
        <v>216</v>
      </c>
      <c r="G293" t="s">
        <v>216</v>
      </c>
      <c r="H293" t="s">
        <v>217</v>
      </c>
    </row>
    <row r="294" spans="1:8" x14ac:dyDescent="0.2">
      <c r="A294" t="s">
        <v>785</v>
      </c>
      <c r="B294" t="s">
        <v>786</v>
      </c>
      <c r="C294" t="s">
        <v>142</v>
      </c>
      <c r="D294" t="s">
        <v>143</v>
      </c>
      <c r="E294">
        <v>60314112</v>
      </c>
      <c r="F294" t="s">
        <v>144</v>
      </c>
      <c r="G294" t="s">
        <v>144</v>
      </c>
      <c r="H294" t="s">
        <v>145</v>
      </c>
    </row>
    <row r="295" spans="1:8" x14ac:dyDescent="0.2">
      <c r="A295" t="s">
        <v>787</v>
      </c>
      <c r="B295" t="s">
        <v>788</v>
      </c>
      <c r="C295" t="s">
        <v>378</v>
      </c>
      <c r="D295" t="s">
        <v>143</v>
      </c>
      <c r="E295">
        <v>84200000</v>
      </c>
      <c r="F295" t="s">
        <v>326</v>
      </c>
      <c r="G295" t="s">
        <v>327</v>
      </c>
      <c r="H295" t="s">
        <v>217</v>
      </c>
    </row>
    <row r="296" spans="1:8" x14ac:dyDescent="0.2">
      <c r="A296" t="s">
        <v>789</v>
      </c>
      <c r="B296" t="s">
        <v>790</v>
      </c>
      <c r="C296" t="s">
        <v>240</v>
      </c>
      <c r="D296" t="s">
        <v>136</v>
      </c>
      <c r="E296">
        <v>20938000</v>
      </c>
      <c r="F296" t="s">
        <v>240</v>
      </c>
      <c r="G296" t="s">
        <v>241</v>
      </c>
      <c r="H296" t="s">
        <v>242</v>
      </c>
    </row>
    <row r="297" spans="1:8" x14ac:dyDescent="0.2">
      <c r="A297" t="s">
        <v>674</v>
      </c>
      <c r="B297" t="s">
        <v>791</v>
      </c>
      <c r="C297" t="s">
        <v>792</v>
      </c>
      <c r="D297" t="s">
        <v>136</v>
      </c>
      <c r="E297">
        <v>4200000</v>
      </c>
      <c r="F297" t="s">
        <v>290</v>
      </c>
      <c r="G297" t="s">
        <v>183</v>
      </c>
      <c r="H297" t="s">
        <v>184</v>
      </c>
    </row>
    <row r="298" spans="1:8" x14ac:dyDescent="0.2">
      <c r="A298" t="s">
        <v>793</v>
      </c>
      <c r="B298" t="s">
        <v>794</v>
      </c>
      <c r="C298" t="s">
        <v>153</v>
      </c>
      <c r="D298" t="s">
        <v>143</v>
      </c>
      <c r="E298">
        <v>69228341</v>
      </c>
      <c r="F298" t="s">
        <v>154</v>
      </c>
      <c r="G298" t="s">
        <v>155</v>
      </c>
      <c r="H298" t="s">
        <v>139</v>
      </c>
    </row>
    <row r="299" spans="1:8" x14ac:dyDescent="0.2">
      <c r="A299" t="s">
        <v>795</v>
      </c>
      <c r="B299" t="s">
        <v>796</v>
      </c>
      <c r="C299" t="s">
        <v>153</v>
      </c>
      <c r="D299" t="s">
        <v>143</v>
      </c>
      <c r="E299">
        <v>242001859</v>
      </c>
      <c r="F299" t="s">
        <v>154</v>
      </c>
      <c r="G299" t="s">
        <v>155</v>
      </c>
      <c r="H299" t="s">
        <v>139</v>
      </c>
    </row>
    <row r="300" spans="1:8" x14ac:dyDescent="0.2">
      <c r="A300" t="s">
        <v>797</v>
      </c>
      <c r="B300" t="s">
        <v>798</v>
      </c>
      <c r="C300" t="s">
        <v>240</v>
      </c>
      <c r="D300" t="s">
        <v>143</v>
      </c>
      <c r="E300">
        <v>93593847</v>
      </c>
      <c r="F300" t="s">
        <v>240</v>
      </c>
      <c r="G300" t="s">
        <v>241</v>
      </c>
      <c r="H300" t="s">
        <v>242</v>
      </c>
    </row>
    <row r="301" spans="1:8" x14ac:dyDescent="0.2">
      <c r="A301" t="s">
        <v>799</v>
      </c>
      <c r="B301" t="s">
        <v>800</v>
      </c>
      <c r="C301" t="s">
        <v>240</v>
      </c>
      <c r="D301" t="s">
        <v>136</v>
      </c>
      <c r="E301">
        <v>1941588</v>
      </c>
      <c r="F301" t="s">
        <v>240</v>
      </c>
      <c r="G301" t="s">
        <v>241</v>
      </c>
      <c r="H301" t="s">
        <v>242</v>
      </c>
    </row>
    <row r="302" spans="1:8" x14ac:dyDescent="0.2">
      <c r="A302" t="s">
        <v>801</v>
      </c>
      <c r="B302" t="s">
        <v>802</v>
      </c>
      <c r="C302" t="s">
        <v>240</v>
      </c>
      <c r="D302" t="s">
        <v>143</v>
      </c>
      <c r="E302">
        <v>18610650</v>
      </c>
      <c r="F302" t="s">
        <v>240</v>
      </c>
      <c r="G302" t="s">
        <v>241</v>
      </c>
      <c r="H302" t="s">
        <v>242</v>
      </c>
    </row>
    <row r="303" spans="1:8" x14ac:dyDescent="0.2">
      <c r="A303" t="s">
        <v>674</v>
      </c>
      <c r="B303" t="s">
        <v>803</v>
      </c>
      <c r="C303" t="s">
        <v>208</v>
      </c>
      <c r="D303" t="s">
        <v>136</v>
      </c>
      <c r="E303">
        <v>4504337</v>
      </c>
      <c r="F303" t="s">
        <v>195</v>
      </c>
      <c r="G303" t="s">
        <v>195</v>
      </c>
      <c r="H303" t="s">
        <v>184</v>
      </c>
    </row>
    <row r="304" spans="1:8" x14ac:dyDescent="0.2">
      <c r="A304" t="s">
        <v>674</v>
      </c>
      <c r="B304" t="s">
        <v>804</v>
      </c>
      <c r="C304" t="s">
        <v>208</v>
      </c>
      <c r="D304" t="s">
        <v>167</v>
      </c>
      <c r="E304">
        <v>7556341</v>
      </c>
      <c r="F304" t="s">
        <v>195</v>
      </c>
      <c r="G304" t="s">
        <v>195</v>
      </c>
      <c r="H304" t="s">
        <v>184</v>
      </c>
    </row>
    <row r="305" spans="1:8" x14ac:dyDescent="0.2">
      <c r="A305" t="s">
        <v>674</v>
      </c>
      <c r="B305" t="s">
        <v>806</v>
      </c>
      <c r="C305" t="s">
        <v>208</v>
      </c>
      <c r="D305" t="s">
        <v>143</v>
      </c>
      <c r="E305">
        <v>57749267</v>
      </c>
      <c r="F305" t="s">
        <v>195</v>
      </c>
      <c r="G305" t="s">
        <v>195</v>
      </c>
      <c r="H305" t="s">
        <v>184</v>
      </c>
    </row>
    <row r="306" spans="1:8" x14ac:dyDescent="0.2">
      <c r="A306" t="s">
        <v>674</v>
      </c>
      <c r="B306" t="s">
        <v>807</v>
      </c>
      <c r="C306" t="s">
        <v>208</v>
      </c>
      <c r="D306" t="s">
        <v>136</v>
      </c>
      <c r="E306">
        <v>30000000</v>
      </c>
      <c r="F306" t="s">
        <v>195</v>
      </c>
      <c r="G306" t="s">
        <v>195</v>
      </c>
      <c r="H306" t="s">
        <v>184</v>
      </c>
    </row>
    <row r="307" spans="1:8" x14ac:dyDescent="0.2">
      <c r="A307" t="s">
        <v>808</v>
      </c>
      <c r="B307" t="s">
        <v>809</v>
      </c>
      <c r="C307" t="s">
        <v>163</v>
      </c>
      <c r="D307" t="s">
        <v>136</v>
      </c>
      <c r="E307">
        <v>6825000</v>
      </c>
      <c r="F307" t="s">
        <v>137</v>
      </c>
      <c r="G307" t="s">
        <v>138</v>
      </c>
      <c r="H307" t="s">
        <v>139</v>
      </c>
    </row>
    <row r="308" spans="1:8" x14ac:dyDescent="0.2">
      <c r="A308" t="s">
        <v>810</v>
      </c>
      <c r="B308" t="s">
        <v>811</v>
      </c>
      <c r="C308" t="s">
        <v>419</v>
      </c>
      <c r="D308" t="s">
        <v>136</v>
      </c>
      <c r="E308">
        <v>2880000</v>
      </c>
      <c r="F308" t="s">
        <v>166</v>
      </c>
      <c r="G308" t="s">
        <v>166</v>
      </c>
      <c r="H308" t="s">
        <v>160</v>
      </c>
    </row>
    <row r="309" spans="1:8" x14ac:dyDescent="0.2">
      <c r="A309" t="s">
        <v>812</v>
      </c>
      <c r="B309" t="s">
        <v>813</v>
      </c>
      <c r="C309" t="s">
        <v>240</v>
      </c>
      <c r="D309" t="s">
        <v>143</v>
      </c>
      <c r="E309">
        <v>73041030</v>
      </c>
      <c r="F309" t="s">
        <v>240</v>
      </c>
      <c r="G309" t="s">
        <v>241</v>
      </c>
      <c r="H309" t="s">
        <v>242</v>
      </c>
    </row>
    <row r="310" spans="1:8" x14ac:dyDescent="0.2">
      <c r="A310" t="s">
        <v>814</v>
      </c>
      <c r="B310" t="s">
        <v>815</v>
      </c>
      <c r="C310" t="s">
        <v>293</v>
      </c>
      <c r="D310" t="s">
        <v>143</v>
      </c>
      <c r="E310">
        <v>529400000</v>
      </c>
      <c r="F310" t="s">
        <v>144</v>
      </c>
      <c r="G310" t="s">
        <v>144</v>
      </c>
      <c r="H310" t="s">
        <v>145</v>
      </c>
    </row>
    <row r="311" spans="1:8" x14ac:dyDescent="0.2">
      <c r="A311" t="s">
        <v>674</v>
      </c>
      <c r="B311" t="s">
        <v>816</v>
      </c>
      <c r="C311" t="s">
        <v>194</v>
      </c>
      <c r="D311" t="s">
        <v>136</v>
      </c>
      <c r="E311">
        <v>6500000</v>
      </c>
      <c r="F311" t="s">
        <v>195</v>
      </c>
      <c r="G311" t="s">
        <v>195</v>
      </c>
      <c r="H311" t="s">
        <v>184</v>
      </c>
    </row>
    <row r="312" spans="1:8" x14ac:dyDescent="0.2">
      <c r="A312" t="s">
        <v>817</v>
      </c>
      <c r="B312" t="s">
        <v>818</v>
      </c>
      <c r="C312" t="s">
        <v>819</v>
      </c>
      <c r="D312" t="s">
        <v>136</v>
      </c>
      <c r="E312">
        <v>60310988</v>
      </c>
      <c r="F312" t="s">
        <v>820</v>
      </c>
      <c r="G312" t="s">
        <v>138</v>
      </c>
      <c r="H312" t="s">
        <v>139</v>
      </c>
    </row>
    <row r="313" spans="1:8" x14ac:dyDescent="0.2">
      <c r="A313" t="s">
        <v>674</v>
      </c>
      <c r="B313" t="s">
        <v>821</v>
      </c>
      <c r="C313" t="s">
        <v>194</v>
      </c>
      <c r="D313" t="s">
        <v>136</v>
      </c>
      <c r="E313">
        <v>27223647</v>
      </c>
      <c r="F313" t="s">
        <v>195</v>
      </c>
      <c r="G313" t="s">
        <v>195</v>
      </c>
      <c r="H313" t="s">
        <v>184</v>
      </c>
    </row>
    <row r="314" spans="1:8" x14ac:dyDescent="0.2">
      <c r="A314" t="s">
        <v>822</v>
      </c>
      <c r="B314" t="s">
        <v>823</v>
      </c>
      <c r="C314" t="s">
        <v>310</v>
      </c>
      <c r="D314" t="s">
        <v>167</v>
      </c>
      <c r="E314">
        <v>59839886</v>
      </c>
      <c r="F314" t="s">
        <v>311</v>
      </c>
      <c r="G314" t="s">
        <v>312</v>
      </c>
      <c r="H314" t="s">
        <v>313</v>
      </c>
    </row>
    <row r="315" spans="1:8" x14ac:dyDescent="0.2">
      <c r="A315" t="s">
        <v>674</v>
      </c>
      <c r="B315" t="s">
        <v>824</v>
      </c>
      <c r="C315" t="s">
        <v>211</v>
      </c>
      <c r="D315" t="s">
        <v>136</v>
      </c>
      <c r="E315">
        <v>3600000</v>
      </c>
      <c r="F315" t="s">
        <v>212</v>
      </c>
      <c r="G315" t="s">
        <v>183</v>
      </c>
      <c r="H315" t="s">
        <v>184</v>
      </c>
    </row>
    <row r="316" spans="1:8" x14ac:dyDescent="0.2">
      <c r="A316" t="s">
        <v>674</v>
      </c>
      <c r="B316" t="s">
        <v>825</v>
      </c>
      <c r="C316" t="s">
        <v>826</v>
      </c>
      <c r="D316" t="s">
        <v>136</v>
      </c>
      <c r="E316">
        <v>12244495</v>
      </c>
      <c r="F316" t="s">
        <v>212</v>
      </c>
      <c r="G316" t="s">
        <v>183</v>
      </c>
      <c r="H316" t="s">
        <v>184</v>
      </c>
    </row>
    <row r="317" spans="1:8" x14ac:dyDescent="0.2">
      <c r="A317" t="s">
        <v>827</v>
      </c>
      <c r="B317" t="s">
        <v>828</v>
      </c>
      <c r="C317" t="s">
        <v>240</v>
      </c>
      <c r="D317" t="s">
        <v>136</v>
      </c>
      <c r="E317">
        <v>15349328</v>
      </c>
      <c r="F317" t="s">
        <v>240</v>
      </c>
      <c r="G317" t="s">
        <v>241</v>
      </c>
      <c r="H317" t="s">
        <v>242</v>
      </c>
    </row>
    <row r="318" spans="1:8" x14ac:dyDescent="0.2">
      <c r="A318" t="s">
        <v>829</v>
      </c>
      <c r="B318" t="s">
        <v>830</v>
      </c>
      <c r="C318" t="s">
        <v>293</v>
      </c>
      <c r="D318" t="s">
        <v>136</v>
      </c>
      <c r="E318">
        <v>146109900</v>
      </c>
      <c r="F318" t="s">
        <v>144</v>
      </c>
      <c r="G318" t="s">
        <v>144</v>
      </c>
      <c r="H318" t="s">
        <v>145</v>
      </c>
    </row>
    <row r="319" spans="1:8" x14ac:dyDescent="0.2">
      <c r="A319" t="s">
        <v>831</v>
      </c>
      <c r="B319" t="s">
        <v>832</v>
      </c>
      <c r="C319" t="s">
        <v>355</v>
      </c>
      <c r="D319" t="s">
        <v>136</v>
      </c>
      <c r="E319">
        <v>11400000</v>
      </c>
      <c r="F319" t="s">
        <v>356</v>
      </c>
      <c r="G319" t="s">
        <v>150</v>
      </c>
      <c r="H319" t="s">
        <v>145</v>
      </c>
    </row>
    <row r="320" spans="1:8" x14ac:dyDescent="0.2">
      <c r="A320" t="s">
        <v>674</v>
      </c>
      <c r="B320" t="s">
        <v>833</v>
      </c>
      <c r="C320" t="s">
        <v>208</v>
      </c>
      <c r="D320" t="s">
        <v>136</v>
      </c>
      <c r="E320">
        <v>80000000</v>
      </c>
      <c r="F320" t="s">
        <v>195</v>
      </c>
      <c r="G320" t="s">
        <v>195</v>
      </c>
      <c r="H320" t="s">
        <v>184</v>
      </c>
    </row>
    <row r="321" spans="1:8" x14ac:dyDescent="0.2">
      <c r="A321" t="s">
        <v>834</v>
      </c>
      <c r="B321" t="s">
        <v>835</v>
      </c>
      <c r="C321" t="s">
        <v>293</v>
      </c>
      <c r="D321" t="s">
        <v>143</v>
      </c>
      <c r="E321">
        <v>379779286</v>
      </c>
      <c r="F321" t="s">
        <v>144</v>
      </c>
      <c r="G321" t="s">
        <v>144</v>
      </c>
      <c r="H321" t="s">
        <v>145</v>
      </c>
    </row>
    <row r="322" spans="1:8" x14ac:dyDescent="0.2">
      <c r="A322" t="s">
        <v>674</v>
      </c>
      <c r="B322" t="s">
        <v>836</v>
      </c>
      <c r="C322" t="s">
        <v>208</v>
      </c>
      <c r="D322" t="s">
        <v>136</v>
      </c>
      <c r="E322">
        <v>79000000</v>
      </c>
      <c r="F322" t="s">
        <v>195</v>
      </c>
      <c r="G322" t="s">
        <v>195</v>
      </c>
      <c r="H322" t="s">
        <v>184</v>
      </c>
    </row>
    <row r="323" spans="1:8" x14ac:dyDescent="0.2">
      <c r="A323" t="s">
        <v>837</v>
      </c>
      <c r="B323" t="s">
        <v>838</v>
      </c>
      <c r="C323" t="s">
        <v>316</v>
      </c>
      <c r="D323" t="s">
        <v>143</v>
      </c>
      <c r="E323">
        <v>167204743</v>
      </c>
      <c r="F323" t="s">
        <v>229</v>
      </c>
      <c r="G323" t="s">
        <v>229</v>
      </c>
      <c r="H323" t="s">
        <v>217</v>
      </c>
    </row>
    <row r="324" spans="1:8" x14ac:dyDescent="0.2">
      <c r="A324" t="s">
        <v>674</v>
      </c>
      <c r="B324" t="s">
        <v>840</v>
      </c>
      <c r="C324" t="s">
        <v>194</v>
      </c>
      <c r="D324" t="s">
        <v>143</v>
      </c>
      <c r="E324">
        <v>15119946</v>
      </c>
      <c r="F324" t="s">
        <v>195</v>
      </c>
      <c r="G324" t="s">
        <v>195</v>
      </c>
      <c r="H324" t="s">
        <v>184</v>
      </c>
    </row>
    <row r="325" spans="1:8" x14ac:dyDescent="0.2">
      <c r="A325" t="s">
        <v>841</v>
      </c>
      <c r="B325" t="s">
        <v>842</v>
      </c>
      <c r="C325" t="s">
        <v>293</v>
      </c>
      <c r="D325" t="s">
        <v>136</v>
      </c>
      <c r="E325">
        <v>272200000</v>
      </c>
      <c r="F325" t="s">
        <v>144</v>
      </c>
      <c r="G325" t="s">
        <v>144</v>
      </c>
      <c r="H325" t="s">
        <v>145</v>
      </c>
    </row>
    <row r="326" spans="1:8" x14ac:dyDescent="0.2">
      <c r="A326" t="s">
        <v>843</v>
      </c>
      <c r="B326" t="s">
        <v>844</v>
      </c>
      <c r="C326" t="s">
        <v>572</v>
      </c>
      <c r="D326" t="s">
        <v>143</v>
      </c>
      <c r="E326">
        <v>80493048</v>
      </c>
      <c r="F326" t="s">
        <v>201</v>
      </c>
      <c r="G326" t="s">
        <v>150</v>
      </c>
      <c r="H326" t="s">
        <v>145</v>
      </c>
    </row>
    <row r="327" spans="1:8" x14ac:dyDescent="0.2">
      <c r="A327" t="s">
        <v>845</v>
      </c>
      <c r="B327" t="s">
        <v>846</v>
      </c>
      <c r="C327" t="s">
        <v>240</v>
      </c>
      <c r="D327" t="s">
        <v>136</v>
      </c>
      <c r="E327">
        <v>27947317</v>
      </c>
      <c r="F327" t="s">
        <v>240</v>
      </c>
      <c r="G327" t="s">
        <v>241</v>
      </c>
      <c r="H327" t="s">
        <v>242</v>
      </c>
    </row>
    <row r="328" spans="1:8" x14ac:dyDescent="0.2">
      <c r="A328" t="s">
        <v>847</v>
      </c>
      <c r="B328" t="s">
        <v>848</v>
      </c>
      <c r="C328" t="s">
        <v>240</v>
      </c>
      <c r="D328" t="s">
        <v>143</v>
      </c>
      <c r="E328">
        <v>130746071</v>
      </c>
      <c r="F328" t="s">
        <v>240</v>
      </c>
      <c r="G328" t="s">
        <v>241</v>
      </c>
      <c r="H328" t="s">
        <v>242</v>
      </c>
    </row>
    <row r="329" spans="1:8" x14ac:dyDescent="0.2">
      <c r="A329" t="s">
        <v>849</v>
      </c>
      <c r="B329" t="s">
        <v>850</v>
      </c>
      <c r="C329" t="s">
        <v>149</v>
      </c>
      <c r="D329" t="s">
        <v>143</v>
      </c>
      <c r="E329">
        <v>31396180</v>
      </c>
      <c r="F329" t="s">
        <v>149</v>
      </c>
      <c r="G329" t="s">
        <v>150</v>
      </c>
      <c r="H329" t="s">
        <v>145</v>
      </c>
    </row>
    <row r="330" spans="1:8" x14ac:dyDescent="0.2">
      <c r="A330" t="s">
        <v>851</v>
      </c>
      <c r="B330" t="s">
        <v>852</v>
      </c>
      <c r="C330" t="s">
        <v>240</v>
      </c>
      <c r="D330" t="s">
        <v>136</v>
      </c>
      <c r="E330">
        <v>6290900</v>
      </c>
      <c r="F330" t="s">
        <v>240</v>
      </c>
      <c r="G330" t="s">
        <v>241</v>
      </c>
      <c r="H330" t="s">
        <v>242</v>
      </c>
    </row>
    <row r="331" spans="1:8" x14ac:dyDescent="0.2">
      <c r="A331" t="s">
        <v>674</v>
      </c>
      <c r="B331" t="s">
        <v>853</v>
      </c>
      <c r="C331" t="s">
        <v>259</v>
      </c>
      <c r="D331" t="s">
        <v>167</v>
      </c>
      <c r="E331">
        <v>9492200</v>
      </c>
      <c r="F331" t="s">
        <v>260</v>
      </c>
      <c r="G331" t="s">
        <v>183</v>
      </c>
      <c r="H331" t="s">
        <v>184</v>
      </c>
    </row>
    <row r="332" spans="1:8" x14ac:dyDescent="0.2">
      <c r="A332" t="s">
        <v>854</v>
      </c>
      <c r="B332" t="s">
        <v>855</v>
      </c>
      <c r="C332" t="s">
        <v>856</v>
      </c>
      <c r="D332" t="s">
        <v>167</v>
      </c>
      <c r="E332">
        <v>82341773</v>
      </c>
      <c r="F332" t="s">
        <v>228</v>
      </c>
      <c r="G332" t="s">
        <v>229</v>
      </c>
      <c r="H332" t="s">
        <v>217</v>
      </c>
    </row>
    <row r="333" spans="1:8" x14ac:dyDescent="0.2">
      <c r="A333" t="s">
        <v>674</v>
      </c>
      <c r="B333" t="s">
        <v>857</v>
      </c>
      <c r="C333" t="s">
        <v>208</v>
      </c>
      <c r="D333" t="s">
        <v>136</v>
      </c>
      <c r="E333">
        <v>26585840</v>
      </c>
      <c r="F333" t="s">
        <v>195</v>
      </c>
      <c r="G333" t="s">
        <v>195</v>
      </c>
      <c r="H333" t="s">
        <v>184</v>
      </c>
    </row>
    <row r="334" spans="1:8" x14ac:dyDescent="0.2">
      <c r="A334" t="s">
        <v>674</v>
      </c>
      <c r="B334" t="s">
        <v>858</v>
      </c>
      <c r="C334" t="s">
        <v>194</v>
      </c>
      <c r="D334" t="s">
        <v>136</v>
      </c>
      <c r="E334">
        <v>15622552</v>
      </c>
      <c r="F334" t="s">
        <v>195</v>
      </c>
      <c r="G334" t="s">
        <v>195</v>
      </c>
      <c r="H334" t="s">
        <v>184</v>
      </c>
    </row>
    <row r="335" spans="1:8" x14ac:dyDescent="0.2">
      <c r="A335" t="s">
        <v>859</v>
      </c>
      <c r="B335" t="s">
        <v>860</v>
      </c>
      <c r="C335" t="s">
        <v>166</v>
      </c>
      <c r="D335" t="s">
        <v>143</v>
      </c>
      <c r="E335">
        <v>609851995</v>
      </c>
      <c r="F335" t="s">
        <v>166</v>
      </c>
      <c r="G335" t="s">
        <v>166</v>
      </c>
      <c r="H335" t="s">
        <v>160</v>
      </c>
    </row>
    <row r="336" spans="1:8" x14ac:dyDescent="0.2">
      <c r="A336" t="s">
        <v>674</v>
      </c>
      <c r="B336" t="s">
        <v>861</v>
      </c>
      <c r="C336" t="s">
        <v>208</v>
      </c>
      <c r="D336" t="s">
        <v>167</v>
      </c>
      <c r="E336">
        <v>6894164</v>
      </c>
      <c r="F336" t="s">
        <v>195</v>
      </c>
      <c r="G336" t="s">
        <v>195</v>
      </c>
      <c r="H336" t="s">
        <v>184</v>
      </c>
    </row>
    <row r="337" spans="1:8" x14ac:dyDescent="0.2">
      <c r="A337" t="s">
        <v>862</v>
      </c>
      <c r="B337" t="s">
        <v>863</v>
      </c>
      <c r="C337" t="s">
        <v>519</v>
      </c>
      <c r="D337" t="s">
        <v>136</v>
      </c>
      <c r="E337">
        <v>2288540</v>
      </c>
      <c r="F337" t="s">
        <v>229</v>
      </c>
      <c r="G337" t="s">
        <v>229</v>
      </c>
      <c r="H337" t="s">
        <v>217</v>
      </c>
    </row>
    <row r="338" spans="1:8" x14ac:dyDescent="0.2">
      <c r="A338" t="s">
        <v>674</v>
      </c>
      <c r="B338" t="s">
        <v>864</v>
      </c>
      <c r="C338" t="s">
        <v>211</v>
      </c>
      <c r="D338" t="s">
        <v>167</v>
      </c>
      <c r="E338">
        <v>106236094</v>
      </c>
      <c r="F338" t="s">
        <v>212</v>
      </c>
      <c r="G338" t="s">
        <v>183</v>
      </c>
      <c r="H338" t="s">
        <v>184</v>
      </c>
    </row>
    <row r="339" spans="1:8" x14ac:dyDescent="0.2">
      <c r="A339" t="s">
        <v>865</v>
      </c>
      <c r="B339" t="s">
        <v>866</v>
      </c>
      <c r="C339" t="s">
        <v>378</v>
      </c>
      <c r="D339" t="s">
        <v>136</v>
      </c>
      <c r="E339">
        <v>9307415</v>
      </c>
      <c r="F339" t="s">
        <v>326</v>
      </c>
      <c r="G339" t="s">
        <v>327</v>
      </c>
      <c r="H339" t="s">
        <v>217</v>
      </c>
    </row>
    <row r="340" spans="1:8" x14ac:dyDescent="0.2">
      <c r="A340" t="s">
        <v>867</v>
      </c>
      <c r="B340" t="s">
        <v>868</v>
      </c>
      <c r="C340" t="s">
        <v>200</v>
      </c>
      <c r="D340" t="s">
        <v>143</v>
      </c>
      <c r="E340">
        <v>299309720</v>
      </c>
      <c r="F340" t="s">
        <v>201</v>
      </c>
      <c r="G340" t="s">
        <v>150</v>
      </c>
      <c r="H340" t="s">
        <v>145</v>
      </c>
    </row>
    <row r="341" spans="1:8" x14ac:dyDescent="0.2">
      <c r="A341" t="s">
        <v>674</v>
      </c>
      <c r="B341" t="s">
        <v>869</v>
      </c>
      <c r="C341" t="s">
        <v>208</v>
      </c>
      <c r="D341" t="s">
        <v>136</v>
      </c>
      <c r="E341">
        <v>4500000</v>
      </c>
      <c r="F341" t="s">
        <v>195</v>
      </c>
      <c r="G341" t="s">
        <v>195</v>
      </c>
      <c r="H341" t="s">
        <v>184</v>
      </c>
    </row>
    <row r="342" spans="1:8" x14ac:dyDescent="0.2">
      <c r="A342" t="s">
        <v>870</v>
      </c>
      <c r="B342" t="s">
        <v>871</v>
      </c>
      <c r="C342" t="s">
        <v>434</v>
      </c>
      <c r="D342" t="s">
        <v>136</v>
      </c>
      <c r="E342">
        <v>2500056</v>
      </c>
      <c r="F342" t="s">
        <v>326</v>
      </c>
      <c r="G342" t="s">
        <v>327</v>
      </c>
      <c r="H342" t="s">
        <v>217</v>
      </c>
    </row>
    <row r="343" spans="1:8" x14ac:dyDescent="0.2">
      <c r="A343" t="s">
        <v>872</v>
      </c>
      <c r="B343" t="s">
        <v>873</v>
      </c>
      <c r="C343" t="s">
        <v>163</v>
      </c>
      <c r="D343" t="s">
        <v>136</v>
      </c>
      <c r="E343">
        <v>15411100</v>
      </c>
      <c r="F343" t="s">
        <v>137</v>
      </c>
      <c r="G343" t="s">
        <v>138</v>
      </c>
      <c r="H343" t="s">
        <v>139</v>
      </c>
    </row>
    <row r="344" spans="1:8" x14ac:dyDescent="0.2">
      <c r="A344" t="s">
        <v>874</v>
      </c>
      <c r="B344" t="s">
        <v>875</v>
      </c>
      <c r="C344" t="s">
        <v>240</v>
      </c>
      <c r="D344" t="s">
        <v>143</v>
      </c>
      <c r="E344">
        <v>34727465</v>
      </c>
      <c r="F344" t="s">
        <v>240</v>
      </c>
      <c r="G344" t="s">
        <v>241</v>
      </c>
      <c r="H344" t="s">
        <v>242</v>
      </c>
    </row>
    <row r="345" spans="1:8" x14ac:dyDescent="0.2">
      <c r="A345" t="s">
        <v>876</v>
      </c>
      <c r="B345" t="s">
        <v>877</v>
      </c>
      <c r="C345" t="s">
        <v>153</v>
      </c>
      <c r="D345" t="s">
        <v>136</v>
      </c>
      <c r="E345">
        <v>12500000</v>
      </c>
      <c r="F345" t="s">
        <v>154</v>
      </c>
      <c r="G345" t="s">
        <v>155</v>
      </c>
      <c r="H345" t="s">
        <v>139</v>
      </c>
    </row>
    <row r="346" spans="1:8" x14ac:dyDescent="0.2">
      <c r="A346" t="s">
        <v>878</v>
      </c>
      <c r="B346" t="s">
        <v>879</v>
      </c>
      <c r="C346" t="s">
        <v>310</v>
      </c>
      <c r="D346" t="s">
        <v>136</v>
      </c>
      <c r="E346">
        <v>4000000</v>
      </c>
      <c r="F346" t="s">
        <v>311</v>
      </c>
      <c r="G346" t="s">
        <v>312</v>
      </c>
      <c r="H346" t="s">
        <v>313</v>
      </c>
    </row>
    <row r="347" spans="1:8" x14ac:dyDescent="0.2">
      <c r="A347" t="s">
        <v>880</v>
      </c>
      <c r="B347" t="s">
        <v>881</v>
      </c>
      <c r="C347" t="s">
        <v>387</v>
      </c>
      <c r="D347" t="s">
        <v>136</v>
      </c>
      <c r="E347">
        <v>56329567</v>
      </c>
      <c r="F347" t="s">
        <v>311</v>
      </c>
      <c r="G347" t="s">
        <v>312</v>
      </c>
      <c r="H347" t="s">
        <v>313</v>
      </c>
    </row>
    <row r="348" spans="1:8" x14ac:dyDescent="0.2">
      <c r="A348" t="s">
        <v>882</v>
      </c>
      <c r="B348" t="s">
        <v>883</v>
      </c>
      <c r="C348" t="s">
        <v>330</v>
      </c>
      <c r="D348" t="s">
        <v>167</v>
      </c>
      <c r="E348">
        <v>8027780</v>
      </c>
      <c r="F348" t="s">
        <v>330</v>
      </c>
      <c r="G348" t="s">
        <v>312</v>
      </c>
      <c r="H348" t="s">
        <v>313</v>
      </c>
    </row>
    <row r="349" spans="1:8" x14ac:dyDescent="0.2">
      <c r="A349" t="s">
        <v>674</v>
      </c>
      <c r="B349" t="s">
        <v>884</v>
      </c>
      <c r="C349" t="s">
        <v>194</v>
      </c>
      <c r="D349" t="s">
        <v>136</v>
      </c>
      <c r="E349">
        <v>8834000</v>
      </c>
      <c r="F349" t="s">
        <v>195</v>
      </c>
      <c r="G349" t="s">
        <v>195</v>
      </c>
      <c r="H349" t="s">
        <v>184</v>
      </c>
    </row>
    <row r="350" spans="1:8" x14ac:dyDescent="0.2">
      <c r="A350" t="s">
        <v>674</v>
      </c>
      <c r="B350" t="s">
        <v>885</v>
      </c>
      <c r="C350" t="s">
        <v>441</v>
      </c>
      <c r="D350" t="s">
        <v>136</v>
      </c>
      <c r="E350">
        <v>5773600</v>
      </c>
      <c r="F350" t="s">
        <v>182</v>
      </c>
      <c r="G350" t="s">
        <v>183</v>
      </c>
      <c r="H350" t="s">
        <v>184</v>
      </c>
    </row>
    <row r="351" spans="1:8" x14ac:dyDescent="0.2">
      <c r="A351" t="s">
        <v>886</v>
      </c>
      <c r="B351" t="s">
        <v>887</v>
      </c>
      <c r="C351" t="s">
        <v>330</v>
      </c>
      <c r="D351" t="s">
        <v>136</v>
      </c>
      <c r="E351">
        <v>422400000</v>
      </c>
      <c r="F351" t="s">
        <v>330</v>
      </c>
      <c r="G351" t="s">
        <v>312</v>
      </c>
      <c r="H351" t="s">
        <v>313</v>
      </c>
    </row>
    <row r="352" spans="1:8" x14ac:dyDescent="0.2">
      <c r="A352" t="s">
        <v>674</v>
      </c>
      <c r="B352" t="s">
        <v>888</v>
      </c>
      <c r="C352" t="s">
        <v>211</v>
      </c>
      <c r="D352" t="s">
        <v>136</v>
      </c>
      <c r="E352">
        <v>4310000</v>
      </c>
      <c r="F352" t="s">
        <v>212</v>
      </c>
      <c r="G352" t="s">
        <v>183</v>
      </c>
      <c r="H352" t="s">
        <v>184</v>
      </c>
    </row>
    <row r="353" spans="1:8" x14ac:dyDescent="0.2">
      <c r="A353" t="s">
        <v>889</v>
      </c>
      <c r="B353" t="s">
        <v>890</v>
      </c>
      <c r="C353" t="s">
        <v>891</v>
      </c>
      <c r="D353" t="s">
        <v>136</v>
      </c>
      <c r="E353">
        <v>5253070</v>
      </c>
      <c r="F353" t="s">
        <v>269</v>
      </c>
      <c r="G353" t="s">
        <v>241</v>
      </c>
      <c r="H353" t="s">
        <v>242</v>
      </c>
    </row>
    <row r="354" spans="1:8" x14ac:dyDescent="0.2">
      <c r="A354" t="s">
        <v>892</v>
      </c>
      <c r="B354" t="s">
        <v>893</v>
      </c>
      <c r="C354" t="s">
        <v>387</v>
      </c>
      <c r="D354" t="s">
        <v>136</v>
      </c>
      <c r="E354">
        <v>57964061</v>
      </c>
      <c r="F354" t="s">
        <v>311</v>
      </c>
      <c r="G354" t="s">
        <v>312</v>
      </c>
      <c r="H354" t="s">
        <v>313</v>
      </c>
    </row>
    <row r="355" spans="1:8" x14ac:dyDescent="0.2">
      <c r="A355" t="s">
        <v>674</v>
      </c>
      <c r="B355" t="s">
        <v>894</v>
      </c>
      <c r="C355" t="s">
        <v>194</v>
      </c>
      <c r="D355" t="s">
        <v>167</v>
      </c>
      <c r="E355">
        <v>140974846</v>
      </c>
      <c r="F355" t="s">
        <v>195</v>
      </c>
      <c r="G355" t="s">
        <v>195</v>
      </c>
      <c r="H355" t="s">
        <v>184</v>
      </c>
    </row>
    <row r="356" spans="1:8" x14ac:dyDescent="0.2">
      <c r="A356" t="s">
        <v>895</v>
      </c>
      <c r="B356" t="s">
        <v>896</v>
      </c>
      <c r="C356" t="s">
        <v>897</v>
      </c>
      <c r="D356" t="s">
        <v>136</v>
      </c>
      <c r="E356">
        <v>7459675</v>
      </c>
      <c r="F356" t="s">
        <v>326</v>
      </c>
      <c r="G356" t="s">
        <v>327</v>
      </c>
      <c r="H356" t="s">
        <v>217</v>
      </c>
    </row>
    <row r="357" spans="1:8" x14ac:dyDescent="0.2">
      <c r="A357" t="s">
        <v>898</v>
      </c>
      <c r="B357" t="s">
        <v>899</v>
      </c>
      <c r="C357" t="s">
        <v>387</v>
      </c>
      <c r="D357" t="s">
        <v>136</v>
      </c>
      <c r="E357">
        <v>120000000</v>
      </c>
      <c r="F357" t="s">
        <v>311</v>
      </c>
      <c r="G357" t="s">
        <v>312</v>
      </c>
      <c r="H357" t="s">
        <v>313</v>
      </c>
    </row>
    <row r="358" spans="1:8" x14ac:dyDescent="0.2">
      <c r="A358" t="s">
        <v>900</v>
      </c>
      <c r="B358" t="s">
        <v>901</v>
      </c>
      <c r="C358" t="s">
        <v>293</v>
      </c>
      <c r="D358" t="s">
        <v>136</v>
      </c>
      <c r="E358">
        <v>10000000</v>
      </c>
      <c r="F358" t="s">
        <v>144</v>
      </c>
      <c r="G358" t="s">
        <v>144</v>
      </c>
      <c r="H358" t="s">
        <v>145</v>
      </c>
    </row>
    <row r="359" spans="1:8" x14ac:dyDescent="0.2">
      <c r="A359" t="s">
        <v>674</v>
      </c>
      <c r="B359" t="s">
        <v>902</v>
      </c>
      <c r="C359" t="s">
        <v>903</v>
      </c>
      <c r="D359" t="s">
        <v>136</v>
      </c>
      <c r="E359">
        <v>4719950</v>
      </c>
      <c r="F359" t="s">
        <v>212</v>
      </c>
      <c r="G359" t="s">
        <v>183</v>
      </c>
      <c r="H359" t="s">
        <v>184</v>
      </c>
    </row>
    <row r="360" spans="1:8" x14ac:dyDescent="0.2">
      <c r="A360" t="s">
        <v>904</v>
      </c>
      <c r="B360" t="s">
        <v>905</v>
      </c>
      <c r="C360" t="s">
        <v>240</v>
      </c>
      <c r="D360" t="s">
        <v>136</v>
      </c>
      <c r="E360">
        <v>20979000</v>
      </c>
      <c r="F360" t="s">
        <v>240</v>
      </c>
      <c r="G360" t="s">
        <v>241</v>
      </c>
      <c r="H360" t="s">
        <v>242</v>
      </c>
    </row>
    <row r="361" spans="1:8" x14ac:dyDescent="0.2">
      <c r="A361" t="s">
        <v>906</v>
      </c>
      <c r="B361" t="s">
        <v>907</v>
      </c>
      <c r="C361" t="s">
        <v>240</v>
      </c>
      <c r="D361" t="s">
        <v>136</v>
      </c>
      <c r="E361">
        <v>20000000</v>
      </c>
      <c r="F361" t="s">
        <v>240</v>
      </c>
      <c r="G361" t="s">
        <v>241</v>
      </c>
      <c r="H361" t="s">
        <v>242</v>
      </c>
    </row>
    <row r="362" spans="1:8" x14ac:dyDescent="0.2">
      <c r="A362" t="s">
        <v>908</v>
      </c>
      <c r="B362" t="s">
        <v>909</v>
      </c>
      <c r="C362" t="s">
        <v>240</v>
      </c>
      <c r="D362" t="s">
        <v>167</v>
      </c>
      <c r="E362">
        <v>21499933</v>
      </c>
      <c r="F362" t="s">
        <v>240</v>
      </c>
      <c r="G362" t="s">
        <v>241</v>
      </c>
      <c r="H362" t="s">
        <v>242</v>
      </c>
    </row>
    <row r="363" spans="1:8" x14ac:dyDescent="0.2">
      <c r="A363" t="s">
        <v>674</v>
      </c>
      <c r="B363" t="s">
        <v>910</v>
      </c>
      <c r="C363" t="s">
        <v>283</v>
      </c>
      <c r="D363" t="s">
        <v>136</v>
      </c>
      <c r="E363">
        <v>2237280</v>
      </c>
      <c r="F363" t="s">
        <v>284</v>
      </c>
      <c r="G363" t="s">
        <v>183</v>
      </c>
      <c r="H363" t="s">
        <v>184</v>
      </c>
    </row>
    <row r="364" spans="1:8" x14ac:dyDescent="0.2">
      <c r="A364" t="s">
        <v>674</v>
      </c>
      <c r="B364" t="s">
        <v>912</v>
      </c>
      <c r="C364" t="s">
        <v>208</v>
      </c>
      <c r="D364" t="s">
        <v>143</v>
      </c>
      <c r="E364">
        <v>62999554</v>
      </c>
      <c r="F364" t="s">
        <v>195</v>
      </c>
      <c r="G364" t="s">
        <v>195</v>
      </c>
      <c r="H364" t="s">
        <v>184</v>
      </c>
    </row>
    <row r="365" spans="1:8" x14ac:dyDescent="0.2">
      <c r="A365" t="s">
        <v>913</v>
      </c>
      <c r="B365" t="s">
        <v>914</v>
      </c>
      <c r="C365" t="s">
        <v>240</v>
      </c>
      <c r="D365" t="s">
        <v>136</v>
      </c>
      <c r="E365">
        <v>3000000</v>
      </c>
      <c r="F365" t="s">
        <v>240</v>
      </c>
      <c r="G365" t="s">
        <v>241</v>
      </c>
      <c r="H365" t="s">
        <v>242</v>
      </c>
    </row>
    <row r="366" spans="1:8" x14ac:dyDescent="0.2">
      <c r="A366" t="s">
        <v>915</v>
      </c>
      <c r="B366" t="s">
        <v>916</v>
      </c>
      <c r="C366" t="s">
        <v>293</v>
      </c>
      <c r="D366" t="s">
        <v>143</v>
      </c>
      <c r="E366">
        <v>391400000</v>
      </c>
      <c r="F366" t="s">
        <v>144</v>
      </c>
      <c r="G366" t="s">
        <v>144</v>
      </c>
      <c r="H366" t="s">
        <v>145</v>
      </c>
    </row>
    <row r="367" spans="1:8" x14ac:dyDescent="0.2">
      <c r="A367" t="s">
        <v>917</v>
      </c>
      <c r="B367" t="s">
        <v>918</v>
      </c>
      <c r="C367" t="s">
        <v>240</v>
      </c>
      <c r="D367" t="s">
        <v>136</v>
      </c>
      <c r="E367">
        <v>3000010</v>
      </c>
      <c r="F367" t="s">
        <v>240</v>
      </c>
      <c r="G367" t="s">
        <v>241</v>
      </c>
      <c r="H367" t="s">
        <v>242</v>
      </c>
    </row>
    <row r="368" spans="1:8" x14ac:dyDescent="0.2">
      <c r="A368" t="s">
        <v>919</v>
      </c>
      <c r="B368" t="s">
        <v>920</v>
      </c>
      <c r="C368" t="s">
        <v>142</v>
      </c>
      <c r="D368" t="s">
        <v>143</v>
      </c>
      <c r="E368">
        <v>86885932</v>
      </c>
      <c r="F368" t="s">
        <v>144</v>
      </c>
      <c r="G368" t="s">
        <v>144</v>
      </c>
      <c r="H368" t="s">
        <v>145</v>
      </c>
    </row>
    <row r="369" spans="1:8" x14ac:dyDescent="0.2">
      <c r="A369" t="s">
        <v>921</v>
      </c>
      <c r="B369" t="s">
        <v>922</v>
      </c>
      <c r="C369" t="s">
        <v>355</v>
      </c>
      <c r="D369" t="s">
        <v>136</v>
      </c>
      <c r="E369">
        <v>31085257</v>
      </c>
      <c r="F369" t="s">
        <v>356</v>
      </c>
      <c r="G369" t="s">
        <v>150</v>
      </c>
      <c r="H369" t="s">
        <v>145</v>
      </c>
    </row>
    <row r="370" spans="1:8" x14ac:dyDescent="0.2">
      <c r="A370" t="s">
        <v>923</v>
      </c>
      <c r="B370" t="s">
        <v>924</v>
      </c>
      <c r="C370" t="s">
        <v>819</v>
      </c>
      <c r="D370" t="s">
        <v>143</v>
      </c>
      <c r="E370">
        <v>34359416</v>
      </c>
      <c r="F370" t="s">
        <v>820</v>
      </c>
      <c r="G370" t="s">
        <v>138</v>
      </c>
      <c r="H370" t="s">
        <v>139</v>
      </c>
    </row>
    <row r="371" spans="1:8" x14ac:dyDescent="0.2">
      <c r="A371" t="s">
        <v>925</v>
      </c>
      <c r="B371" t="s">
        <v>926</v>
      </c>
      <c r="C371" t="s">
        <v>739</v>
      </c>
      <c r="D371" t="s">
        <v>143</v>
      </c>
      <c r="E371">
        <v>118792605</v>
      </c>
      <c r="F371" t="s">
        <v>686</v>
      </c>
      <c r="G371" t="s">
        <v>686</v>
      </c>
      <c r="H371" t="s">
        <v>139</v>
      </c>
    </row>
    <row r="372" spans="1:8" x14ac:dyDescent="0.2">
      <c r="A372" t="s">
        <v>927</v>
      </c>
      <c r="B372" t="s">
        <v>928</v>
      </c>
      <c r="C372" t="s">
        <v>142</v>
      </c>
      <c r="D372" t="s">
        <v>136</v>
      </c>
      <c r="E372">
        <v>1658400</v>
      </c>
      <c r="F372" t="s">
        <v>144</v>
      </c>
      <c r="G372" t="s">
        <v>144</v>
      </c>
      <c r="H372" t="s">
        <v>145</v>
      </c>
    </row>
    <row r="373" spans="1:8" x14ac:dyDescent="0.2">
      <c r="A373" t="s">
        <v>929</v>
      </c>
      <c r="B373" t="s">
        <v>930</v>
      </c>
      <c r="C373" t="s">
        <v>166</v>
      </c>
      <c r="D373" t="s">
        <v>143</v>
      </c>
      <c r="E373">
        <v>124353866</v>
      </c>
      <c r="F373" t="s">
        <v>166</v>
      </c>
      <c r="G373" t="s">
        <v>166</v>
      </c>
      <c r="H373" t="s">
        <v>160</v>
      </c>
    </row>
    <row r="374" spans="1:8" x14ac:dyDescent="0.2">
      <c r="A374" t="s">
        <v>931</v>
      </c>
      <c r="B374" t="s">
        <v>932</v>
      </c>
      <c r="C374" t="s">
        <v>142</v>
      </c>
      <c r="D374" t="s">
        <v>136</v>
      </c>
      <c r="E374">
        <v>73200000</v>
      </c>
      <c r="F374" t="s">
        <v>144</v>
      </c>
      <c r="G374" t="s">
        <v>144</v>
      </c>
      <c r="H374" t="s">
        <v>145</v>
      </c>
    </row>
    <row r="375" spans="1:8" x14ac:dyDescent="0.2">
      <c r="A375" t="s">
        <v>933</v>
      </c>
      <c r="B375" t="s">
        <v>934</v>
      </c>
      <c r="C375" t="s">
        <v>330</v>
      </c>
      <c r="D375" t="s">
        <v>143</v>
      </c>
      <c r="E375">
        <v>9500000</v>
      </c>
      <c r="F375" t="s">
        <v>330</v>
      </c>
      <c r="G375" t="s">
        <v>312</v>
      </c>
      <c r="H375" t="s">
        <v>313</v>
      </c>
    </row>
    <row r="376" spans="1:8" x14ac:dyDescent="0.2">
      <c r="A376" t="s">
        <v>674</v>
      </c>
      <c r="B376" t="s">
        <v>935</v>
      </c>
      <c r="C376" t="s">
        <v>211</v>
      </c>
      <c r="D376" t="s">
        <v>167</v>
      </c>
      <c r="E376">
        <v>10669730</v>
      </c>
      <c r="F376" t="s">
        <v>212</v>
      </c>
      <c r="G376" t="s">
        <v>183</v>
      </c>
      <c r="H376" t="s">
        <v>184</v>
      </c>
    </row>
    <row r="377" spans="1:8" x14ac:dyDescent="0.2">
      <c r="A377" t="s">
        <v>936</v>
      </c>
      <c r="B377" t="s">
        <v>937</v>
      </c>
      <c r="C377" t="s">
        <v>158</v>
      </c>
      <c r="D377" t="s">
        <v>136</v>
      </c>
      <c r="E377">
        <v>204838925</v>
      </c>
      <c r="F377" t="s">
        <v>159</v>
      </c>
      <c r="G377" t="s">
        <v>159</v>
      </c>
      <c r="H377" t="s">
        <v>160</v>
      </c>
    </row>
    <row r="378" spans="1:8" x14ac:dyDescent="0.2">
      <c r="A378" t="s">
        <v>938</v>
      </c>
      <c r="B378" t="s">
        <v>939</v>
      </c>
      <c r="C378" t="s">
        <v>897</v>
      </c>
      <c r="D378" t="s">
        <v>136</v>
      </c>
      <c r="E378">
        <v>36600000</v>
      </c>
      <c r="F378" t="s">
        <v>326</v>
      </c>
      <c r="G378" t="s">
        <v>327</v>
      </c>
      <c r="H378" t="s">
        <v>217</v>
      </c>
    </row>
    <row r="379" spans="1:8" x14ac:dyDescent="0.2">
      <c r="A379" t="s">
        <v>3065</v>
      </c>
      <c r="B379" t="s">
        <v>3066</v>
      </c>
      <c r="C379" t="s">
        <v>158</v>
      </c>
      <c r="D379" t="s">
        <v>143</v>
      </c>
      <c r="E379">
        <v>330000000</v>
      </c>
      <c r="F379" t="s">
        <v>159</v>
      </c>
      <c r="G379" t="s">
        <v>159</v>
      </c>
      <c r="H379" t="s">
        <v>160</v>
      </c>
    </row>
    <row r="380" spans="1:8" x14ac:dyDescent="0.2">
      <c r="A380" t="s">
        <v>674</v>
      </c>
      <c r="B380" t="s">
        <v>940</v>
      </c>
      <c r="C380" t="s">
        <v>194</v>
      </c>
      <c r="D380" t="s">
        <v>136</v>
      </c>
      <c r="E380">
        <v>30000000</v>
      </c>
      <c r="F380" t="s">
        <v>195</v>
      </c>
      <c r="G380" t="s">
        <v>195</v>
      </c>
      <c r="H380" t="s">
        <v>184</v>
      </c>
    </row>
    <row r="381" spans="1:8" x14ac:dyDescent="0.2">
      <c r="A381" t="s">
        <v>941</v>
      </c>
      <c r="B381" t="s">
        <v>942</v>
      </c>
      <c r="C381" t="s">
        <v>897</v>
      </c>
      <c r="D381" t="s">
        <v>143</v>
      </c>
      <c r="E381">
        <v>12083009</v>
      </c>
      <c r="F381" t="s">
        <v>326</v>
      </c>
      <c r="G381" t="s">
        <v>327</v>
      </c>
      <c r="H381" t="s">
        <v>217</v>
      </c>
    </row>
    <row r="382" spans="1:8" x14ac:dyDescent="0.2">
      <c r="A382" t="s">
        <v>943</v>
      </c>
      <c r="B382" t="s">
        <v>944</v>
      </c>
      <c r="C382" t="s">
        <v>434</v>
      </c>
      <c r="D382" t="s">
        <v>136</v>
      </c>
      <c r="E382">
        <v>118684000</v>
      </c>
      <c r="F382" t="s">
        <v>326</v>
      </c>
      <c r="G382" t="s">
        <v>327</v>
      </c>
      <c r="H382" t="s">
        <v>217</v>
      </c>
    </row>
    <row r="383" spans="1:8" x14ac:dyDescent="0.2">
      <c r="A383" t="s">
        <v>945</v>
      </c>
      <c r="B383" t="s">
        <v>946</v>
      </c>
      <c r="C383" t="s">
        <v>215</v>
      </c>
      <c r="D383" t="s">
        <v>167</v>
      </c>
      <c r="E383">
        <v>32300000</v>
      </c>
      <c r="F383" t="s">
        <v>216</v>
      </c>
      <c r="G383" t="s">
        <v>216</v>
      </c>
      <c r="H383" t="s">
        <v>217</v>
      </c>
    </row>
    <row r="384" spans="1:8" x14ac:dyDescent="0.2">
      <c r="A384" t="s">
        <v>947</v>
      </c>
      <c r="B384" t="s">
        <v>948</v>
      </c>
      <c r="C384" t="s">
        <v>166</v>
      </c>
      <c r="D384" t="s">
        <v>143</v>
      </c>
      <c r="E384">
        <v>18059832</v>
      </c>
      <c r="F384" t="s">
        <v>166</v>
      </c>
      <c r="G384" t="s">
        <v>166</v>
      </c>
      <c r="H384" t="s">
        <v>160</v>
      </c>
    </row>
    <row r="385" spans="1:8" x14ac:dyDescent="0.2">
      <c r="A385" t="s">
        <v>674</v>
      </c>
      <c r="B385" t="s">
        <v>949</v>
      </c>
      <c r="C385" t="s">
        <v>441</v>
      </c>
      <c r="D385" t="s">
        <v>136</v>
      </c>
      <c r="E385">
        <v>1558248</v>
      </c>
      <c r="F385" t="s">
        <v>182</v>
      </c>
      <c r="G385" t="s">
        <v>183</v>
      </c>
      <c r="H385" t="s">
        <v>184</v>
      </c>
    </row>
    <row r="386" spans="1:8" x14ac:dyDescent="0.2">
      <c r="A386" t="s">
        <v>674</v>
      </c>
      <c r="B386" t="s">
        <v>950</v>
      </c>
      <c r="C386" t="s">
        <v>194</v>
      </c>
      <c r="D386" t="s">
        <v>167</v>
      </c>
      <c r="E386">
        <v>10000000</v>
      </c>
      <c r="F386" t="s">
        <v>195</v>
      </c>
      <c r="G386" t="s">
        <v>195</v>
      </c>
      <c r="H386" t="s">
        <v>184</v>
      </c>
    </row>
    <row r="387" spans="1:8" x14ac:dyDescent="0.2">
      <c r="A387" t="s">
        <v>951</v>
      </c>
      <c r="B387" t="s">
        <v>952</v>
      </c>
      <c r="C387" t="s">
        <v>166</v>
      </c>
      <c r="D387" t="s">
        <v>167</v>
      </c>
      <c r="E387">
        <v>56745285</v>
      </c>
      <c r="F387" t="s">
        <v>166</v>
      </c>
      <c r="G387" t="s">
        <v>166</v>
      </c>
      <c r="H387" t="s">
        <v>160</v>
      </c>
    </row>
    <row r="388" spans="1:8" x14ac:dyDescent="0.2">
      <c r="A388" t="s">
        <v>953</v>
      </c>
      <c r="B388" t="s">
        <v>954</v>
      </c>
      <c r="C388" t="s">
        <v>330</v>
      </c>
      <c r="D388" t="s">
        <v>136</v>
      </c>
      <c r="E388">
        <v>50725887</v>
      </c>
      <c r="F388" t="s">
        <v>330</v>
      </c>
      <c r="G388" t="s">
        <v>312</v>
      </c>
      <c r="H388" t="s">
        <v>313</v>
      </c>
    </row>
    <row r="389" spans="1:8" x14ac:dyDescent="0.2">
      <c r="A389" t="s">
        <v>955</v>
      </c>
      <c r="B389" t="s">
        <v>956</v>
      </c>
      <c r="C389" t="s">
        <v>240</v>
      </c>
      <c r="D389" t="s">
        <v>167</v>
      </c>
      <c r="E389">
        <v>8352573</v>
      </c>
      <c r="F389" t="s">
        <v>240</v>
      </c>
      <c r="G389" t="s">
        <v>241</v>
      </c>
      <c r="H389" t="s">
        <v>242</v>
      </c>
    </row>
    <row r="390" spans="1:8" x14ac:dyDescent="0.2">
      <c r="A390" t="s">
        <v>957</v>
      </c>
      <c r="B390" t="s">
        <v>958</v>
      </c>
      <c r="C390" t="s">
        <v>268</v>
      </c>
      <c r="D390" t="s">
        <v>136</v>
      </c>
      <c r="E390">
        <v>7471614</v>
      </c>
      <c r="F390" t="s">
        <v>269</v>
      </c>
      <c r="G390" t="s">
        <v>241</v>
      </c>
      <c r="H390" t="s">
        <v>242</v>
      </c>
    </row>
    <row r="391" spans="1:8" x14ac:dyDescent="0.2">
      <c r="A391" t="s">
        <v>959</v>
      </c>
      <c r="B391" t="s">
        <v>960</v>
      </c>
      <c r="C391" t="s">
        <v>378</v>
      </c>
      <c r="D391" t="s">
        <v>136</v>
      </c>
      <c r="E391">
        <v>13488800</v>
      </c>
      <c r="F391" t="s">
        <v>326</v>
      </c>
      <c r="G391" t="s">
        <v>327</v>
      </c>
      <c r="H391" t="s">
        <v>217</v>
      </c>
    </row>
    <row r="392" spans="1:8" x14ac:dyDescent="0.2">
      <c r="A392" t="s">
        <v>961</v>
      </c>
      <c r="B392" t="s">
        <v>962</v>
      </c>
      <c r="C392" t="s">
        <v>330</v>
      </c>
      <c r="D392" t="s">
        <v>167</v>
      </c>
      <c r="E392">
        <v>682767475</v>
      </c>
      <c r="F392" t="s">
        <v>330</v>
      </c>
      <c r="G392" t="s">
        <v>312</v>
      </c>
      <c r="H392" t="s">
        <v>313</v>
      </c>
    </row>
    <row r="393" spans="1:8" x14ac:dyDescent="0.2">
      <c r="A393" t="s">
        <v>963</v>
      </c>
      <c r="B393" t="s">
        <v>964</v>
      </c>
      <c r="C393" t="s">
        <v>355</v>
      </c>
      <c r="D393" t="s">
        <v>143</v>
      </c>
      <c r="E393">
        <v>61435604</v>
      </c>
      <c r="F393" t="s">
        <v>356</v>
      </c>
      <c r="G393" t="s">
        <v>150</v>
      </c>
      <c r="H393" t="s">
        <v>145</v>
      </c>
    </row>
    <row r="394" spans="1:8" x14ac:dyDescent="0.2">
      <c r="A394" t="s">
        <v>965</v>
      </c>
      <c r="B394" t="s">
        <v>966</v>
      </c>
      <c r="C394" t="s">
        <v>240</v>
      </c>
      <c r="D394" t="s">
        <v>136</v>
      </c>
      <c r="E394">
        <v>16229042</v>
      </c>
      <c r="F394" t="s">
        <v>240</v>
      </c>
      <c r="G394" t="s">
        <v>241</v>
      </c>
      <c r="H394" t="s">
        <v>242</v>
      </c>
    </row>
    <row r="395" spans="1:8" x14ac:dyDescent="0.2">
      <c r="A395" t="s">
        <v>967</v>
      </c>
      <c r="B395" t="s">
        <v>968</v>
      </c>
      <c r="C395" t="s">
        <v>142</v>
      </c>
      <c r="D395" t="s">
        <v>143</v>
      </c>
      <c r="E395">
        <v>8151820</v>
      </c>
      <c r="F395" t="s">
        <v>144</v>
      </c>
      <c r="G395" t="s">
        <v>144</v>
      </c>
      <c r="H395" t="s">
        <v>145</v>
      </c>
    </row>
    <row r="396" spans="1:8" x14ac:dyDescent="0.2">
      <c r="A396" t="s">
        <v>674</v>
      </c>
      <c r="B396" t="s">
        <v>969</v>
      </c>
      <c r="C396" t="s">
        <v>441</v>
      </c>
      <c r="D396" t="s">
        <v>136</v>
      </c>
      <c r="E396">
        <v>5614300</v>
      </c>
      <c r="F396" t="s">
        <v>182</v>
      </c>
      <c r="G396" t="s">
        <v>183</v>
      </c>
      <c r="H396" t="s">
        <v>184</v>
      </c>
    </row>
    <row r="397" spans="1:8" x14ac:dyDescent="0.2">
      <c r="A397" t="s">
        <v>970</v>
      </c>
      <c r="B397" t="s">
        <v>971</v>
      </c>
      <c r="C397" t="s">
        <v>310</v>
      </c>
      <c r="D397" t="s">
        <v>136</v>
      </c>
      <c r="E397">
        <v>10793670</v>
      </c>
      <c r="F397" t="s">
        <v>311</v>
      </c>
      <c r="G397" t="s">
        <v>312</v>
      </c>
      <c r="H397" t="s">
        <v>313</v>
      </c>
    </row>
    <row r="398" spans="1:8" x14ac:dyDescent="0.2">
      <c r="A398" t="s">
        <v>674</v>
      </c>
      <c r="B398" t="s">
        <v>972</v>
      </c>
      <c r="C398" t="s">
        <v>194</v>
      </c>
      <c r="D398" t="s">
        <v>136</v>
      </c>
      <c r="E398">
        <v>28000000</v>
      </c>
      <c r="F398" t="s">
        <v>195</v>
      </c>
      <c r="G398" t="s">
        <v>195</v>
      </c>
      <c r="H398" t="s">
        <v>184</v>
      </c>
    </row>
    <row r="399" spans="1:8" x14ac:dyDescent="0.2">
      <c r="A399" t="s">
        <v>973</v>
      </c>
      <c r="B399" t="s">
        <v>974</v>
      </c>
      <c r="C399" t="s">
        <v>240</v>
      </c>
      <c r="D399" t="s">
        <v>167</v>
      </c>
      <c r="E399">
        <v>35650000</v>
      </c>
      <c r="F399" t="s">
        <v>240</v>
      </c>
      <c r="G399" t="s">
        <v>241</v>
      </c>
      <c r="H399" t="s">
        <v>242</v>
      </c>
    </row>
    <row r="400" spans="1:8" x14ac:dyDescent="0.2">
      <c r="A400" t="s">
        <v>975</v>
      </c>
      <c r="B400" t="s">
        <v>976</v>
      </c>
      <c r="C400" t="s">
        <v>240</v>
      </c>
      <c r="D400" t="s">
        <v>136</v>
      </c>
      <c r="E400">
        <v>237000000</v>
      </c>
      <c r="F400" t="s">
        <v>240</v>
      </c>
      <c r="G400" t="s">
        <v>241</v>
      </c>
      <c r="H400" t="s">
        <v>242</v>
      </c>
    </row>
    <row r="401" spans="1:8" x14ac:dyDescent="0.2">
      <c r="A401" t="s">
        <v>674</v>
      </c>
      <c r="B401" t="s">
        <v>977</v>
      </c>
      <c r="C401" t="s">
        <v>211</v>
      </c>
      <c r="D401" t="s">
        <v>143</v>
      </c>
      <c r="E401">
        <v>40000000</v>
      </c>
      <c r="F401" t="s">
        <v>212</v>
      </c>
      <c r="G401" t="s">
        <v>183</v>
      </c>
      <c r="H401" t="s">
        <v>184</v>
      </c>
    </row>
    <row r="402" spans="1:8" x14ac:dyDescent="0.2">
      <c r="A402" t="s">
        <v>674</v>
      </c>
      <c r="B402" t="s">
        <v>978</v>
      </c>
      <c r="C402" t="s">
        <v>208</v>
      </c>
      <c r="D402" t="s">
        <v>136</v>
      </c>
      <c r="E402">
        <v>2345000</v>
      </c>
      <c r="F402" t="s">
        <v>195</v>
      </c>
      <c r="G402" t="s">
        <v>195</v>
      </c>
      <c r="H402" t="s">
        <v>184</v>
      </c>
    </row>
    <row r="403" spans="1:8" x14ac:dyDescent="0.2">
      <c r="A403" t="s">
        <v>979</v>
      </c>
      <c r="B403" t="s">
        <v>980</v>
      </c>
      <c r="C403" t="s">
        <v>387</v>
      </c>
      <c r="D403" t="s">
        <v>136</v>
      </c>
      <c r="E403">
        <v>20172800</v>
      </c>
      <c r="F403" t="s">
        <v>311</v>
      </c>
      <c r="G403" t="s">
        <v>312</v>
      </c>
      <c r="H403" t="s">
        <v>313</v>
      </c>
    </row>
    <row r="404" spans="1:8" x14ac:dyDescent="0.2">
      <c r="A404" t="s">
        <v>981</v>
      </c>
      <c r="B404" t="s">
        <v>982</v>
      </c>
      <c r="C404" t="s">
        <v>387</v>
      </c>
      <c r="D404" t="s">
        <v>136</v>
      </c>
      <c r="E404">
        <v>25918130</v>
      </c>
      <c r="F404" t="s">
        <v>311</v>
      </c>
      <c r="G404" t="s">
        <v>312</v>
      </c>
      <c r="H404" t="s">
        <v>313</v>
      </c>
    </row>
    <row r="405" spans="1:8" x14ac:dyDescent="0.2">
      <c r="A405" t="s">
        <v>983</v>
      </c>
      <c r="B405" t="s">
        <v>984</v>
      </c>
      <c r="C405" t="s">
        <v>166</v>
      </c>
      <c r="D405" t="s">
        <v>143</v>
      </c>
      <c r="E405">
        <v>722450921</v>
      </c>
      <c r="F405" t="s">
        <v>166</v>
      </c>
      <c r="G405" t="s">
        <v>166</v>
      </c>
      <c r="H405" t="s">
        <v>160</v>
      </c>
    </row>
    <row r="406" spans="1:8" x14ac:dyDescent="0.2">
      <c r="A406" t="s">
        <v>985</v>
      </c>
      <c r="B406" t="s">
        <v>986</v>
      </c>
      <c r="C406" t="s">
        <v>378</v>
      </c>
      <c r="D406" t="s">
        <v>136</v>
      </c>
      <c r="E406">
        <v>3957900</v>
      </c>
      <c r="F406" t="s">
        <v>326</v>
      </c>
      <c r="G406" t="s">
        <v>327</v>
      </c>
      <c r="H406" t="s">
        <v>217</v>
      </c>
    </row>
    <row r="407" spans="1:8" x14ac:dyDescent="0.2">
      <c r="A407" t="s">
        <v>674</v>
      </c>
      <c r="B407" t="s">
        <v>987</v>
      </c>
      <c r="C407" t="s">
        <v>211</v>
      </c>
      <c r="D407" t="s">
        <v>167</v>
      </c>
      <c r="E407">
        <v>59910133</v>
      </c>
      <c r="F407" t="s">
        <v>212</v>
      </c>
      <c r="G407" t="s">
        <v>183</v>
      </c>
      <c r="H407" t="s">
        <v>184</v>
      </c>
    </row>
    <row r="408" spans="1:8" x14ac:dyDescent="0.2">
      <c r="A408" t="s">
        <v>988</v>
      </c>
      <c r="B408" t="s">
        <v>989</v>
      </c>
      <c r="C408" t="s">
        <v>419</v>
      </c>
      <c r="D408" t="s">
        <v>143</v>
      </c>
      <c r="E408">
        <v>579103124</v>
      </c>
      <c r="F408" t="s">
        <v>166</v>
      </c>
      <c r="G408" t="s">
        <v>166</v>
      </c>
      <c r="H408" t="s">
        <v>160</v>
      </c>
    </row>
    <row r="409" spans="1:8" x14ac:dyDescent="0.2">
      <c r="A409" t="s">
        <v>674</v>
      </c>
      <c r="B409" t="s">
        <v>990</v>
      </c>
      <c r="C409" t="s">
        <v>194</v>
      </c>
      <c r="D409" t="s">
        <v>143</v>
      </c>
      <c r="E409">
        <v>9900000</v>
      </c>
      <c r="F409" t="s">
        <v>195</v>
      </c>
      <c r="G409" t="s">
        <v>195</v>
      </c>
      <c r="H409" t="s">
        <v>184</v>
      </c>
    </row>
    <row r="410" spans="1:8" x14ac:dyDescent="0.2">
      <c r="A410" t="s">
        <v>674</v>
      </c>
      <c r="B410" t="s">
        <v>991</v>
      </c>
      <c r="C410" t="s">
        <v>289</v>
      </c>
      <c r="D410" t="s">
        <v>136</v>
      </c>
      <c r="E410">
        <v>5395985</v>
      </c>
      <c r="F410" t="s">
        <v>290</v>
      </c>
      <c r="G410" t="s">
        <v>183</v>
      </c>
      <c r="H410" t="s">
        <v>184</v>
      </c>
    </row>
    <row r="411" spans="1:8" x14ac:dyDescent="0.2">
      <c r="A411" t="s">
        <v>674</v>
      </c>
      <c r="B411" t="s">
        <v>992</v>
      </c>
      <c r="C411" t="s">
        <v>208</v>
      </c>
      <c r="D411" t="s">
        <v>136</v>
      </c>
      <c r="E411">
        <v>1200000</v>
      </c>
      <c r="F411" t="s">
        <v>195</v>
      </c>
      <c r="G411" t="s">
        <v>195</v>
      </c>
      <c r="H411" t="s">
        <v>184</v>
      </c>
    </row>
    <row r="412" spans="1:8" x14ac:dyDescent="0.2">
      <c r="A412" t="s">
        <v>993</v>
      </c>
      <c r="B412" t="s">
        <v>994</v>
      </c>
      <c r="C412" t="s">
        <v>995</v>
      </c>
      <c r="D412" t="s">
        <v>143</v>
      </c>
      <c r="E412">
        <v>24200000</v>
      </c>
      <c r="F412" t="s">
        <v>125</v>
      </c>
      <c r="G412" t="s">
        <v>125</v>
      </c>
      <c r="H412" t="s">
        <v>125</v>
      </c>
    </row>
    <row r="413" spans="1:8" x14ac:dyDescent="0.2">
      <c r="A413" t="s">
        <v>674</v>
      </c>
      <c r="B413" t="s">
        <v>996</v>
      </c>
      <c r="C413" t="s">
        <v>208</v>
      </c>
      <c r="D413" t="s">
        <v>136</v>
      </c>
      <c r="E413">
        <v>5000000</v>
      </c>
      <c r="F413" t="s">
        <v>195</v>
      </c>
      <c r="G413" t="s">
        <v>195</v>
      </c>
      <c r="H413" t="s">
        <v>184</v>
      </c>
    </row>
    <row r="414" spans="1:8" x14ac:dyDescent="0.2">
      <c r="A414" t="s">
        <v>997</v>
      </c>
      <c r="B414" t="s">
        <v>998</v>
      </c>
      <c r="C414" t="s">
        <v>215</v>
      </c>
      <c r="D414" t="s">
        <v>167</v>
      </c>
      <c r="E414">
        <v>10219484</v>
      </c>
      <c r="F414" t="s">
        <v>216</v>
      </c>
      <c r="G414" t="s">
        <v>216</v>
      </c>
      <c r="H414" t="s">
        <v>217</v>
      </c>
    </row>
    <row r="415" spans="1:8" x14ac:dyDescent="0.2">
      <c r="A415" t="s">
        <v>999</v>
      </c>
      <c r="B415" t="s">
        <v>1000</v>
      </c>
      <c r="C415" t="s">
        <v>215</v>
      </c>
      <c r="D415" t="s">
        <v>167</v>
      </c>
      <c r="E415">
        <v>1860000</v>
      </c>
      <c r="F415" t="s">
        <v>216</v>
      </c>
      <c r="G415" t="s">
        <v>216</v>
      </c>
      <c r="H415" t="s">
        <v>217</v>
      </c>
    </row>
    <row r="416" spans="1:8" x14ac:dyDescent="0.2">
      <c r="A416" t="s">
        <v>1001</v>
      </c>
      <c r="B416" t="s">
        <v>1002</v>
      </c>
      <c r="C416" t="s">
        <v>166</v>
      </c>
      <c r="D416" t="s">
        <v>136</v>
      </c>
      <c r="E416">
        <v>10880000</v>
      </c>
      <c r="F416" t="s">
        <v>166</v>
      </c>
      <c r="G416" t="s">
        <v>166</v>
      </c>
      <c r="H416" t="s">
        <v>160</v>
      </c>
    </row>
    <row r="417" spans="1:8" x14ac:dyDescent="0.2">
      <c r="A417" t="s">
        <v>1003</v>
      </c>
      <c r="B417" t="s">
        <v>1004</v>
      </c>
      <c r="C417" t="s">
        <v>170</v>
      </c>
      <c r="D417" t="s">
        <v>143</v>
      </c>
      <c r="E417">
        <v>1746956148</v>
      </c>
      <c r="F417" t="s">
        <v>170</v>
      </c>
      <c r="G417" t="s">
        <v>170</v>
      </c>
      <c r="H417" t="s">
        <v>170</v>
      </c>
    </row>
    <row r="418" spans="1:8" x14ac:dyDescent="0.2">
      <c r="A418" t="s">
        <v>674</v>
      </c>
      <c r="B418" t="s">
        <v>1005</v>
      </c>
      <c r="C418" t="s">
        <v>208</v>
      </c>
      <c r="D418" t="s">
        <v>136</v>
      </c>
      <c r="E418">
        <v>36677145</v>
      </c>
      <c r="F418" t="s">
        <v>195</v>
      </c>
      <c r="G418" t="s">
        <v>195</v>
      </c>
      <c r="H418" t="s">
        <v>184</v>
      </c>
    </row>
    <row r="419" spans="1:8" x14ac:dyDescent="0.2">
      <c r="A419" t="s">
        <v>1006</v>
      </c>
      <c r="B419" t="s">
        <v>1007</v>
      </c>
      <c r="C419" t="s">
        <v>215</v>
      </c>
      <c r="D419" t="s">
        <v>167</v>
      </c>
      <c r="E419">
        <v>15000000</v>
      </c>
      <c r="F419" t="s">
        <v>216</v>
      </c>
      <c r="G419" t="s">
        <v>216</v>
      </c>
      <c r="H419" t="s">
        <v>217</v>
      </c>
    </row>
    <row r="420" spans="1:8" x14ac:dyDescent="0.2">
      <c r="A420" t="s">
        <v>1008</v>
      </c>
      <c r="B420" t="s">
        <v>1009</v>
      </c>
      <c r="C420" t="s">
        <v>378</v>
      </c>
      <c r="D420" t="s">
        <v>136</v>
      </c>
      <c r="E420">
        <v>45407161</v>
      </c>
      <c r="F420" t="s">
        <v>326</v>
      </c>
      <c r="G420" t="s">
        <v>327</v>
      </c>
      <c r="H420" t="s">
        <v>217</v>
      </c>
    </row>
    <row r="421" spans="1:8" x14ac:dyDescent="0.2">
      <c r="A421" t="s">
        <v>1010</v>
      </c>
      <c r="B421" t="s">
        <v>1011</v>
      </c>
      <c r="C421" t="s">
        <v>666</v>
      </c>
      <c r="D421" t="s">
        <v>143</v>
      </c>
      <c r="E421">
        <v>83290077</v>
      </c>
      <c r="F421" t="s">
        <v>667</v>
      </c>
      <c r="G421" t="s">
        <v>668</v>
      </c>
      <c r="H421" t="s">
        <v>668</v>
      </c>
    </row>
    <row r="422" spans="1:8" x14ac:dyDescent="0.2">
      <c r="A422" t="s">
        <v>674</v>
      </c>
      <c r="B422" t="s">
        <v>1012</v>
      </c>
      <c r="C422" t="s">
        <v>259</v>
      </c>
      <c r="D422" t="s">
        <v>136</v>
      </c>
      <c r="E422">
        <v>3780298</v>
      </c>
      <c r="F422" t="s">
        <v>260</v>
      </c>
      <c r="G422" t="s">
        <v>183</v>
      </c>
      <c r="H422" t="s">
        <v>184</v>
      </c>
    </row>
    <row r="423" spans="1:8" x14ac:dyDescent="0.2">
      <c r="A423" t="s">
        <v>674</v>
      </c>
      <c r="B423" t="s">
        <v>1013</v>
      </c>
      <c r="C423" t="s">
        <v>259</v>
      </c>
      <c r="D423" t="s">
        <v>136</v>
      </c>
      <c r="E423">
        <v>3000000</v>
      </c>
      <c r="F423" t="s">
        <v>260</v>
      </c>
      <c r="G423" t="s">
        <v>183</v>
      </c>
      <c r="H423" t="s">
        <v>184</v>
      </c>
    </row>
    <row r="424" spans="1:8" x14ac:dyDescent="0.2">
      <c r="A424" t="s">
        <v>674</v>
      </c>
      <c r="B424" t="s">
        <v>1014</v>
      </c>
      <c r="C424" t="s">
        <v>1015</v>
      </c>
      <c r="D424" t="s">
        <v>136</v>
      </c>
      <c r="E424">
        <v>20999440</v>
      </c>
      <c r="F424" t="s">
        <v>212</v>
      </c>
      <c r="G424" t="s">
        <v>183</v>
      </c>
      <c r="H424" t="s">
        <v>184</v>
      </c>
    </row>
    <row r="425" spans="1:8" x14ac:dyDescent="0.2">
      <c r="A425" t="s">
        <v>1016</v>
      </c>
      <c r="B425" t="s">
        <v>1017</v>
      </c>
      <c r="C425" t="s">
        <v>404</v>
      </c>
      <c r="D425" t="s">
        <v>136</v>
      </c>
      <c r="E425">
        <v>9388500</v>
      </c>
      <c r="F425" t="s">
        <v>348</v>
      </c>
      <c r="G425" t="s">
        <v>155</v>
      </c>
      <c r="H425" t="s">
        <v>139</v>
      </c>
    </row>
    <row r="426" spans="1:8" x14ac:dyDescent="0.2">
      <c r="A426" t="s">
        <v>1018</v>
      </c>
      <c r="B426" t="s">
        <v>1019</v>
      </c>
      <c r="C426" t="s">
        <v>215</v>
      </c>
      <c r="D426" t="s">
        <v>136</v>
      </c>
      <c r="E426">
        <v>2500000</v>
      </c>
      <c r="F426" t="s">
        <v>216</v>
      </c>
      <c r="G426" t="s">
        <v>216</v>
      </c>
      <c r="H426" t="s">
        <v>217</v>
      </c>
    </row>
    <row r="427" spans="1:8" x14ac:dyDescent="0.2">
      <c r="A427" t="s">
        <v>1020</v>
      </c>
      <c r="B427" t="s">
        <v>1021</v>
      </c>
      <c r="C427" t="s">
        <v>163</v>
      </c>
      <c r="D427" t="s">
        <v>143</v>
      </c>
      <c r="E427">
        <v>41979773</v>
      </c>
      <c r="F427" t="s">
        <v>137</v>
      </c>
      <c r="G427" t="s">
        <v>138</v>
      </c>
      <c r="H427" t="s">
        <v>139</v>
      </c>
    </row>
    <row r="428" spans="1:8" x14ac:dyDescent="0.2">
      <c r="A428" t="s">
        <v>1022</v>
      </c>
      <c r="B428" t="s">
        <v>1023</v>
      </c>
      <c r="C428" t="s">
        <v>1024</v>
      </c>
      <c r="D428" t="s">
        <v>143</v>
      </c>
      <c r="E428">
        <v>704248289</v>
      </c>
      <c r="F428" t="s">
        <v>159</v>
      </c>
      <c r="G428" t="s">
        <v>159</v>
      </c>
      <c r="H428" t="s">
        <v>160</v>
      </c>
    </row>
    <row r="429" spans="1:8" x14ac:dyDescent="0.2">
      <c r="A429" t="s">
        <v>674</v>
      </c>
      <c r="B429" t="s">
        <v>1026</v>
      </c>
      <c r="C429" t="s">
        <v>208</v>
      </c>
      <c r="D429" t="s">
        <v>143</v>
      </c>
      <c r="E429">
        <v>215249836</v>
      </c>
      <c r="F429" t="s">
        <v>195</v>
      </c>
      <c r="G429" t="s">
        <v>195</v>
      </c>
      <c r="H429" t="s">
        <v>184</v>
      </c>
    </row>
    <row r="430" spans="1:8" x14ac:dyDescent="0.2">
      <c r="A430" t="s">
        <v>1027</v>
      </c>
      <c r="B430" t="s">
        <v>1028</v>
      </c>
      <c r="C430" t="s">
        <v>158</v>
      </c>
      <c r="D430" t="s">
        <v>167</v>
      </c>
      <c r="E430">
        <v>164800618</v>
      </c>
      <c r="F430" t="s">
        <v>159</v>
      </c>
      <c r="G430" t="s">
        <v>159</v>
      </c>
      <c r="H430" t="s">
        <v>160</v>
      </c>
    </row>
    <row r="431" spans="1:8" x14ac:dyDescent="0.2">
      <c r="A431" t="s">
        <v>1029</v>
      </c>
      <c r="B431" t="s">
        <v>1030</v>
      </c>
      <c r="C431" t="s">
        <v>819</v>
      </c>
      <c r="D431" t="s">
        <v>136</v>
      </c>
      <c r="E431">
        <v>3414900</v>
      </c>
      <c r="F431" t="s">
        <v>820</v>
      </c>
      <c r="G431" t="s">
        <v>138</v>
      </c>
      <c r="H431" t="s">
        <v>139</v>
      </c>
    </row>
    <row r="432" spans="1:8" x14ac:dyDescent="0.2">
      <c r="A432" t="s">
        <v>674</v>
      </c>
      <c r="B432" t="s">
        <v>1031</v>
      </c>
      <c r="C432" t="s">
        <v>289</v>
      </c>
      <c r="D432" t="s">
        <v>136</v>
      </c>
      <c r="E432">
        <v>3700000</v>
      </c>
      <c r="F432" t="s">
        <v>290</v>
      </c>
      <c r="G432" t="s">
        <v>183</v>
      </c>
      <c r="H432" t="s">
        <v>184</v>
      </c>
    </row>
    <row r="433" spans="1:8" x14ac:dyDescent="0.2">
      <c r="A433" t="s">
        <v>1032</v>
      </c>
      <c r="B433" t="s">
        <v>1033</v>
      </c>
      <c r="C433" t="s">
        <v>347</v>
      </c>
      <c r="D433" t="s">
        <v>136</v>
      </c>
      <c r="E433">
        <v>5997040</v>
      </c>
      <c r="F433" t="s">
        <v>348</v>
      </c>
      <c r="G433" t="s">
        <v>155</v>
      </c>
      <c r="H433" t="s">
        <v>139</v>
      </c>
    </row>
    <row r="434" spans="1:8" x14ac:dyDescent="0.2">
      <c r="A434" t="s">
        <v>674</v>
      </c>
      <c r="B434" t="s">
        <v>1035</v>
      </c>
      <c r="C434" t="s">
        <v>194</v>
      </c>
      <c r="D434" t="s">
        <v>143</v>
      </c>
      <c r="E434">
        <v>45099969</v>
      </c>
      <c r="F434" t="s">
        <v>195</v>
      </c>
      <c r="G434" t="s">
        <v>195</v>
      </c>
      <c r="H434" t="s">
        <v>184</v>
      </c>
    </row>
    <row r="435" spans="1:8" x14ac:dyDescent="0.2">
      <c r="A435" t="s">
        <v>674</v>
      </c>
      <c r="B435" t="s">
        <v>1037</v>
      </c>
      <c r="C435" t="s">
        <v>208</v>
      </c>
      <c r="D435" t="s">
        <v>143</v>
      </c>
      <c r="E435">
        <v>157439005</v>
      </c>
      <c r="F435" t="s">
        <v>195</v>
      </c>
      <c r="G435" t="s">
        <v>195</v>
      </c>
      <c r="H435" t="s">
        <v>184</v>
      </c>
    </row>
    <row r="436" spans="1:8" x14ac:dyDescent="0.2">
      <c r="A436" t="s">
        <v>1038</v>
      </c>
      <c r="B436" t="s">
        <v>1039</v>
      </c>
      <c r="C436" t="s">
        <v>237</v>
      </c>
      <c r="D436" t="s">
        <v>136</v>
      </c>
      <c r="E436">
        <v>29450000</v>
      </c>
      <c r="F436" t="s">
        <v>154</v>
      </c>
      <c r="G436" t="s">
        <v>155</v>
      </c>
      <c r="H436" t="s">
        <v>139</v>
      </c>
    </row>
    <row r="437" spans="1:8" x14ac:dyDescent="0.2">
      <c r="A437" t="s">
        <v>1040</v>
      </c>
      <c r="B437" t="s">
        <v>1041</v>
      </c>
      <c r="C437" t="s">
        <v>166</v>
      </c>
      <c r="D437" t="s">
        <v>143</v>
      </c>
      <c r="E437">
        <v>38629988</v>
      </c>
      <c r="F437" t="s">
        <v>166</v>
      </c>
      <c r="G437" t="s">
        <v>166</v>
      </c>
      <c r="H437" t="s">
        <v>160</v>
      </c>
    </row>
    <row r="438" spans="1:8" x14ac:dyDescent="0.2">
      <c r="A438" t="s">
        <v>1042</v>
      </c>
      <c r="B438" t="s">
        <v>1043</v>
      </c>
      <c r="C438" t="s">
        <v>404</v>
      </c>
      <c r="D438" t="s">
        <v>136</v>
      </c>
      <c r="E438">
        <v>14676300</v>
      </c>
      <c r="F438" t="s">
        <v>348</v>
      </c>
      <c r="G438" t="s">
        <v>155</v>
      </c>
      <c r="H438" t="s">
        <v>139</v>
      </c>
    </row>
    <row r="439" spans="1:8" x14ac:dyDescent="0.2">
      <c r="A439" t="s">
        <v>1044</v>
      </c>
      <c r="B439" t="s">
        <v>1045</v>
      </c>
      <c r="C439" t="s">
        <v>227</v>
      </c>
      <c r="D439" t="s">
        <v>136</v>
      </c>
      <c r="E439">
        <v>3000000</v>
      </c>
      <c r="F439" t="s">
        <v>228</v>
      </c>
      <c r="G439" t="s">
        <v>229</v>
      </c>
      <c r="H439" t="s">
        <v>217</v>
      </c>
    </row>
    <row r="440" spans="1:8" x14ac:dyDescent="0.2">
      <c r="A440" t="s">
        <v>1046</v>
      </c>
      <c r="B440" t="s">
        <v>1047</v>
      </c>
      <c r="C440" t="s">
        <v>215</v>
      </c>
      <c r="D440" t="s">
        <v>136</v>
      </c>
      <c r="E440">
        <v>12751462</v>
      </c>
      <c r="F440" t="s">
        <v>216</v>
      </c>
      <c r="G440" t="s">
        <v>216</v>
      </c>
      <c r="H440" t="s">
        <v>217</v>
      </c>
    </row>
    <row r="441" spans="1:8" x14ac:dyDescent="0.2">
      <c r="A441" t="s">
        <v>674</v>
      </c>
      <c r="B441" t="s">
        <v>1048</v>
      </c>
      <c r="C441" t="s">
        <v>194</v>
      </c>
      <c r="D441" t="s">
        <v>136</v>
      </c>
      <c r="E441">
        <v>127000000</v>
      </c>
      <c r="F441" t="s">
        <v>195</v>
      </c>
      <c r="G441" t="s">
        <v>195</v>
      </c>
      <c r="H441" t="s">
        <v>184</v>
      </c>
    </row>
    <row r="442" spans="1:8" x14ac:dyDescent="0.2">
      <c r="A442" t="s">
        <v>1049</v>
      </c>
      <c r="B442" t="s">
        <v>1050</v>
      </c>
      <c r="C442" t="s">
        <v>419</v>
      </c>
      <c r="D442" t="s">
        <v>167</v>
      </c>
      <c r="E442">
        <v>24715958</v>
      </c>
      <c r="F442" t="s">
        <v>166</v>
      </c>
      <c r="G442" t="s">
        <v>166</v>
      </c>
      <c r="H442" t="s">
        <v>160</v>
      </c>
    </row>
    <row r="443" spans="1:8" x14ac:dyDescent="0.2">
      <c r="A443" t="s">
        <v>1051</v>
      </c>
      <c r="B443" t="s">
        <v>1052</v>
      </c>
      <c r="C443" t="s">
        <v>166</v>
      </c>
      <c r="D443" t="s">
        <v>143</v>
      </c>
      <c r="E443">
        <v>64245281</v>
      </c>
      <c r="F443" t="s">
        <v>166</v>
      </c>
      <c r="G443" t="s">
        <v>166</v>
      </c>
      <c r="H443" t="s">
        <v>160</v>
      </c>
    </row>
    <row r="444" spans="1:8" x14ac:dyDescent="0.2">
      <c r="A444" t="s">
        <v>1053</v>
      </c>
      <c r="B444" t="s">
        <v>1054</v>
      </c>
      <c r="C444" t="s">
        <v>367</v>
      </c>
      <c r="D444" t="s">
        <v>143</v>
      </c>
      <c r="E444">
        <v>339933034</v>
      </c>
      <c r="F444" t="s">
        <v>159</v>
      </c>
      <c r="G444" t="s">
        <v>159</v>
      </c>
      <c r="H444" t="s">
        <v>160</v>
      </c>
    </row>
    <row r="445" spans="1:8" x14ac:dyDescent="0.2">
      <c r="A445" t="s">
        <v>1055</v>
      </c>
      <c r="B445" t="s">
        <v>1056</v>
      </c>
      <c r="C445" t="s">
        <v>166</v>
      </c>
      <c r="D445" t="s">
        <v>136</v>
      </c>
      <c r="E445">
        <v>709997807</v>
      </c>
      <c r="F445" t="s">
        <v>166</v>
      </c>
      <c r="G445" t="s">
        <v>166</v>
      </c>
      <c r="H445" t="s">
        <v>160</v>
      </c>
    </row>
    <row r="446" spans="1:8" x14ac:dyDescent="0.2">
      <c r="A446" t="s">
        <v>1057</v>
      </c>
      <c r="B446" t="s">
        <v>1058</v>
      </c>
      <c r="C446" t="s">
        <v>153</v>
      </c>
      <c r="D446" t="s">
        <v>143</v>
      </c>
      <c r="E446">
        <v>65388889</v>
      </c>
      <c r="F446" t="s">
        <v>154</v>
      </c>
      <c r="G446" t="s">
        <v>155</v>
      </c>
      <c r="H446" t="s">
        <v>139</v>
      </c>
    </row>
    <row r="447" spans="1:8" x14ac:dyDescent="0.2">
      <c r="A447" t="s">
        <v>1059</v>
      </c>
      <c r="B447" t="s">
        <v>1060</v>
      </c>
      <c r="C447" t="s">
        <v>220</v>
      </c>
      <c r="D447" t="s">
        <v>136</v>
      </c>
      <c r="E447">
        <v>18471275</v>
      </c>
      <c r="F447" t="s">
        <v>216</v>
      </c>
      <c r="G447" t="s">
        <v>216</v>
      </c>
      <c r="H447" t="s">
        <v>217</v>
      </c>
    </row>
    <row r="448" spans="1:8" x14ac:dyDescent="0.2">
      <c r="A448" t="s">
        <v>1061</v>
      </c>
      <c r="B448" t="s">
        <v>1062</v>
      </c>
      <c r="C448" t="s">
        <v>1063</v>
      </c>
      <c r="D448" t="s">
        <v>136</v>
      </c>
      <c r="E448">
        <v>492509164</v>
      </c>
      <c r="F448" t="s">
        <v>1063</v>
      </c>
      <c r="G448" t="s">
        <v>174</v>
      </c>
      <c r="H448" t="s">
        <v>174</v>
      </c>
    </row>
    <row r="449" spans="1:8" x14ac:dyDescent="0.2">
      <c r="A449" t="s">
        <v>1064</v>
      </c>
      <c r="B449" t="s">
        <v>1065</v>
      </c>
      <c r="C449" t="s">
        <v>704</v>
      </c>
      <c r="D449" t="s">
        <v>143</v>
      </c>
      <c r="E449">
        <v>1460448066</v>
      </c>
      <c r="F449" t="s">
        <v>693</v>
      </c>
      <c r="G449" t="s">
        <v>668</v>
      </c>
      <c r="H449" t="s">
        <v>668</v>
      </c>
    </row>
    <row r="450" spans="1:8" x14ac:dyDescent="0.2">
      <c r="A450" t="s">
        <v>1066</v>
      </c>
      <c r="B450" t="s">
        <v>1067</v>
      </c>
      <c r="C450" t="s">
        <v>200</v>
      </c>
      <c r="D450" t="s">
        <v>136</v>
      </c>
      <c r="E450">
        <v>3000000</v>
      </c>
      <c r="F450" t="s">
        <v>201</v>
      </c>
      <c r="G450" t="s">
        <v>150</v>
      </c>
      <c r="H450" t="s">
        <v>145</v>
      </c>
    </row>
    <row r="451" spans="1:8" x14ac:dyDescent="0.2">
      <c r="A451" t="s">
        <v>1068</v>
      </c>
      <c r="B451" t="s">
        <v>1069</v>
      </c>
      <c r="C451" t="s">
        <v>200</v>
      </c>
      <c r="D451" t="s">
        <v>136</v>
      </c>
      <c r="E451">
        <v>11700000</v>
      </c>
      <c r="F451" t="s">
        <v>201</v>
      </c>
      <c r="G451" t="s">
        <v>150</v>
      </c>
      <c r="H451" t="s">
        <v>145</v>
      </c>
    </row>
    <row r="452" spans="1:8" x14ac:dyDescent="0.2">
      <c r="A452" t="s">
        <v>1070</v>
      </c>
      <c r="B452" t="s">
        <v>1071</v>
      </c>
      <c r="C452" t="s">
        <v>316</v>
      </c>
      <c r="D452" t="s">
        <v>143</v>
      </c>
      <c r="E452">
        <v>136242389</v>
      </c>
      <c r="F452" t="s">
        <v>229</v>
      </c>
      <c r="G452" t="s">
        <v>229</v>
      </c>
      <c r="H452" t="s">
        <v>217</v>
      </c>
    </row>
    <row r="453" spans="1:8" x14ac:dyDescent="0.2">
      <c r="A453" t="s">
        <v>674</v>
      </c>
      <c r="B453" t="s">
        <v>1072</v>
      </c>
      <c r="C453" t="s">
        <v>792</v>
      </c>
      <c r="D453" t="s">
        <v>136</v>
      </c>
      <c r="E453">
        <v>5624966</v>
      </c>
      <c r="F453" t="s">
        <v>290</v>
      </c>
      <c r="G453" t="s">
        <v>183</v>
      </c>
      <c r="H453" t="s">
        <v>184</v>
      </c>
    </row>
    <row r="454" spans="1:8" x14ac:dyDescent="0.2">
      <c r="A454" t="s">
        <v>674</v>
      </c>
      <c r="B454" t="s">
        <v>1073</v>
      </c>
      <c r="C454" t="s">
        <v>289</v>
      </c>
      <c r="D454" t="s">
        <v>136</v>
      </c>
      <c r="E454">
        <v>7079853</v>
      </c>
      <c r="F454" t="s">
        <v>290</v>
      </c>
      <c r="G454" t="s">
        <v>183</v>
      </c>
      <c r="H454" t="s">
        <v>184</v>
      </c>
    </row>
    <row r="455" spans="1:8" x14ac:dyDescent="0.2">
      <c r="A455" t="s">
        <v>1074</v>
      </c>
      <c r="B455" t="s">
        <v>1075</v>
      </c>
      <c r="C455" t="s">
        <v>1076</v>
      </c>
      <c r="D455" t="s">
        <v>136</v>
      </c>
      <c r="E455">
        <v>3943710</v>
      </c>
      <c r="F455" t="s">
        <v>686</v>
      </c>
      <c r="G455" t="s">
        <v>686</v>
      </c>
      <c r="H455" t="s">
        <v>139</v>
      </c>
    </row>
    <row r="456" spans="1:8" x14ac:dyDescent="0.2">
      <c r="A456" t="s">
        <v>1077</v>
      </c>
      <c r="B456" t="s">
        <v>1078</v>
      </c>
      <c r="C456" t="s">
        <v>163</v>
      </c>
      <c r="D456" t="s">
        <v>136</v>
      </c>
      <c r="E456">
        <v>50000000</v>
      </c>
      <c r="F456" t="s">
        <v>137</v>
      </c>
      <c r="G456" t="s">
        <v>138</v>
      </c>
      <c r="H456" t="s">
        <v>139</v>
      </c>
    </row>
    <row r="457" spans="1:8" x14ac:dyDescent="0.2">
      <c r="A457" t="s">
        <v>1079</v>
      </c>
      <c r="B457" t="s">
        <v>1080</v>
      </c>
      <c r="C457" t="s">
        <v>158</v>
      </c>
      <c r="D457" t="s">
        <v>143</v>
      </c>
      <c r="E457">
        <v>305919366</v>
      </c>
      <c r="F457" t="s">
        <v>159</v>
      </c>
      <c r="G457" t="s">
        <v>159</v>
      </c>
      <c r="H457" t="s">
        <v>160</v>
      </c>
    </row>
    <row r="458" spans="1:8" x14ac:dyDescent="0.2">
      <c r="A458" t="s">
        <v>1081</v>
      </c>
      <c r="B458" t="s">
        <v>1082</v>
      </c>
      <c r="C458" t="s">
        <v>995</v>
      </c>
      <c r="D458" t="s">
        <v>143</v>
      </c>
      <c r="E458">
        <v>24200000</v>
      </c>
      <c r="F458" t="s">
        <v>125</v>
      </c>
      <c r="G458" t="s">
        <v>125</v>
      </c>
      <c r="H458" t="s">
        <v>125</v>
      </c>
    </row>
    <row r="459" spans="1:8" x14ac:dyDescent="0.2">
      <c r="A459" t="s">
        <v>1083</v>
      </c>
      <c r="B459" t="s">
        <v>1084</v>
      </c>
      <c r="C459" t="s">
        <v>995</v>
      </c>
      <c r="D459" t="s">
        <v>143</v>
      </c>
      <c r="E459">
        <v>24200000</v>
      </c>
      <c r="F459" t="s">
        <v>125</v>
      </c>
      <c r="G459" t="s">
        <v>125</v>
      </c>
      <c r="H459" t="s">
        <v>125</v>
      </c>
    </row>
    <row r="460" spans="1:8" x14ac:dyDescent="0.2">
      <c r="A460" t="s">
        <v>1085</v>
      </c>
      <c r="B460" t="s">
        <v>1086</v>
      </c>
      <c r="C460" t="s">
        <v>995</v>
      </c>
      <c r="D460" t="s">
        <v>143</v>
      </c>
      <c r="E460">
        <v>24200000</v>
      </c>
      <c r="F460" t="s">
        <v>125</v>
      </c>
      <c r="G460" t="s">
        <v>125</v>
      </c>
      <c r="H460" t="s">
        <v>125</v>
      </c>
    </row>
    <row r="461" spans="1:8" x14ac:dyDescent="0.2">
      <c r="A461" t="s">
        <v>1087</v>
      </c>
      <c r="B461" t="s">
        <v>1088</v>
      </c>
      <c r="C461" t="s">
        <v>995</v>
      </c>
      <c r="D461" t="s">
        <v>143</v>
      </c>
      <c r="E461">
        <v>24200000</v>
      </c>
      <c r="F461" t="s">
        <v>125</v>
      </c>
      <c r="G461" t="s">
        <v>125</v>
      </c>
      <c r="H461" t="s">
        <v>125</v>
      </c>
    </row>
    <row r="462" spans="1:8" x14ac:dyDescent="0.2">
      <c r="A462" t="s">
        <v>3145</v>
      </c>
      <c r="B462" t="s">
        <v>3146</v>
      </c>
      <c r="C462" t="s">
        <v>995</v>
      </c>
      <c r="D462" t="s">
        <v>143</v>
      </c>
      <c r="E462">
        <v>24200000</v>
      </c>
      <c r="F462" t="s">
        <v>125</v>
      </c>
      <c r="G462" t="s">
        <v>125</v>
      </c>
      <c r="H462" t="s">
        <v>125</v>
      </c>
    </row>
    <row r="463" spans="1:8" x14ac:dyDescent="0.2">
      <c r="A463" t="s">
        <v>1089</v>
      </c>
      <c r="B463" t="s">
        <v>1090</v>
      </c>
      <c r="C463" t="s">
        <v>995</v>
      </c>
      <c r="D463" t="s">
        <v>143</v>
      </c>
      <c r="E463">
        <v>24200000</v>
      </c>
      <c r="F463" t="s">
        <v>125</v>
      </c>
      <c r="G463" t="s">
        <v>125</v>
      </c>
      <c r="H463" t="s">
        <v>125</v>
      </c>
    </row>
    <row r="464" spans="1:8" x14ac:dyDescent="0.2">
      <c r="A464" t="s">
        <v>1091</v>
      </c>
      <c r="B464" t="s">
        <v>1092</v>
      </c>
      <c r="C464" t="s">
        <v>995</v>
      </c>
      <c r="D464" t="s">
        <v>143</v>
      </c>
      <c r="E464">
        <v>24200000</v>
      </c>
      <c r="F464" t="s">
        <v>125</v>
      </c>
      <c r="G464" t="s">
        <v>125</v>
      </c>
      <c r="H464" t="s">
        <v>125</v>
      </c>
    </row>
    <row r="465" spans="1:8" x14ac:dyDescent="0.2">
      <c r="A465" t="s">
        <v>1093</v>
      </c>
      <c r="B465" t="s">
        <v>1094</v>
      </c>
      <c r="C465" t="s">
        <v>995</v>
      </c>
      <c r="D465" t="s">
        <v>143</v>
      </c>
      <c r="E465">
        <v>24200000</v>
      </c>
      <c r="F465" t="s">
        <v>125</v>
      </c>
      <c r="G465" t="s">
        <v>125</v>
      </c>
      <c r="H465" t="s">
        <v>125</v>
      </c>
    </row>
    <row r="466" spans="1:8" x14ac:dyDescent="0.2">
      <c r="A466" t="s">
        <v>1095</v>
      </c>
      <c r="B466" t="s">
        <v>1096</v>
      </c>
      <c r="C466" t="s">
        <v>995</v>
      </c>
      <c r="D466" t="s">
        <v>143</v>
      </c>
      <c r="E466">
        <v>24200000</v>
      </c>
      <c r="F466" t="s">
        <v>125</v>
      </c>
      <c r="G466" t="s">
        <v>125</v>
      </c>
      <c r="H466" t="s">
        <v>125</v>
      </c>
    </row>
    <row r="467" spans="1:8" x14ac:dyDescent="0.2">
      <c r="A467" t="s">
        <v>1097</v>
      </c>
      <c r="B467" t="s">
        <v>1098</v>
      </c>
      <c r="C467" t="s">
        <v>995</v>
      </c>
      <c r="D467" t="s">
        <v>143</v>
      </c>
      <c r="E467">
        <v>24200000</v>
      </c>
      <c r="F467" t="s">
        <v>125</v>
      </c>
      <c r="G467" t="s">
        <v>125</v>
      </c>
      <c r="H467" t="s">
        <v>125</v>
      </c>
    </row>
    <row r="468" spans="1:8" x14ac:dyDescent="0.2">
      <c r="A468" t="s">
        <v>1099</v>
      </c>
      <c r="B468" t="s">
        <v>1100</v>
      </c>
      <c r="C468" t="s">
        <v>995</v>
      </c>
      <c r="D468" t="s">
        <v>143</v>
      </c>
      <c r="E468">
        <v>24200000</v>
      </c>
      <c r="F468" t="s">
        <v>125</v>
      </c>
      <c r="G468" t="s">
        <v>125</v>
      </c>
      <c r="H468" t="s">
        <v>125</v>
      </c>
    </row>
    <row r="469" spans="1:8" x14ac:dyDescent="0.2">
      <c r="A469" t="s">
        <v>1101</v>
      </c>
      <c r="B469" t="s">
        <v>1102</v>
      </c>
      <c r="C469" t="s">
        <v>995</v>
      </c>
      <c r="D469" t="s">
        <v>143</v>
      </c>
      <c r="E469">
        <v>24200000</v>
      </c>
      <c r="F469" t="s">
        <v>125</v>
      </c>
      <c r="G469" t="s">
        <v>125</v>
      </c>
      <c r="H469" t="s">
        <v>125</v>
      </c>
    </row>
    <row r="470" spans="1:8" x14ac:dyDescent="0.2">
      <c r="A470" t="s">
        <v>1103</v>
      </c>
      <c r="B470" t="s">
        <v>1104</v>
      </c>
      <c r="C470" t="s">
        <v>995</v>
      </c>
      <c r="D470" t="s">
        <v>143</v>
      </c>
      <c r="E470">
        <v>24200000</v>
      </c>
      <c r="F470" t="s">
        <v>125</v>
      </c>
      <c r="G470" t="s">
        <v>125</v>
      </c>
      <c r="H470" t="s">
        <v>125</v>
      </c>
    </row>
    <row r="471" spans="1:8" x14ac:dyDescent="0.2">
      <c r="A471" t="s">
        <v>1105</v>
      </c>
      <c r="B471" t="s">
        <v>1106</v>
      </c>
      <c r="C471" t="s">
        <v>995</v>
      </c>
      <c r="D471" t="s">
        <v>143</v>
      </c>
      <c r="E471">
        <v>24200000</v>
      </c>
      <c r="F471" t="s">
        <v>125</v>
      </c>
      <c r="G471" t="s">
        <v>125</v>
      </c>
      <c r="H471" t="s">
        <v>125</v>
      </c>
    </row>
    <row r="472" spans="1:8" x14ac:dyDescent="0.2">
      <c r="A472" t="s">
        <v>1107</v>
      </c>
      <c r="B472" t="s">
        <v>1108</v>
      </c>
      <c r="C472" t="s">
        <v>995</v>
      </c>
      <c r="D472" t="s">
        <v>143</v>
      </c>
      <c r="E472">
        <v>24200000</v>
      </c>
      <c r="F472" t="s">
        <v>125</v>
      </c>
      <c r="G472" t="s">
        <v>125</v>
      </c>
      <c r="H472" t="s">
        <v>125</v>
      </c>
    </row>
    <row r="473" spans="1:8" x14ac:dyDescent="0.2">
      <c r="A473" t="s">
        <v>1109</v>
      </c>
      <c r="B473" t="s">
        <v>1110</v>
      </c>
      <c r="C473" t="s">
        <v>995</v>
      </c>
      <c r="D473" t="s">
        <v>143</v>
      </c>
      <c r="E473">
        <v>24200000</v>
      </c>
      <c r="F473" t="s">
        <v>125</v>
      </c>
      <c r="G473" t="s">
        <v>125</v>
      </c>
      <c r="H473" t="s">
        <v>125</v>
      </c>
    </row>
    <row r="474" spans="1:8" x14ac:dyDescent="0.2">
      <c r="A474" t="s">
        <v>1111</v>
      </c>
      <c r="B474" t="s">
        <v>1112</v>
      </c>
      <c r="C474" t="s">
        <v>995</v>
      </c>
      <c r="D474" t="s">
        <v>143</v>
      </c>
      <c r="E474">
        <v>24200000</v>
      </c>
      <c r="F474" t="s">
        <v>125</v>
      </c>
      <c r="G474" t="s">
        <v>125</v>
      </c>
      <c r="H474" t="s">
        <v>125</v>
      </c>
    </row>
    <row r="475" spans="1:8" x14ac:dyDescent="0.2">
      <c r="A475" t="s">
        <v>1113</v>
      </c>
      <c r="B475" t="s">
        <v>1114</v>
      </c>
      <c r="C475" t="s">
        <v>995</v>
      </c>
      <c r="D475" t="s">
        <v>143</v>
      </c>
      <c r="E475">
        <v>24200000</v>
      </c>
      <c r="F475" t="s">
        <v>125</v>
      </c>
      <c r="G475" t="s">
        <v>125</v>
      </c>
      <c r="H475" t="s">
        <v>125</v>
      </c>
    </row>
    <row r="476" spans="1:8" x14ac:dyDescent="0.2">
      <c r="A476" t="s">
        <v>1115</v>
      </c>
      <c r="B476" t="s">
        <v>1116</v>
      </c>
      <c r="C476" t="s">
        <v>995</v>
      </c>
      <c r="D476" t="s">
        <v>143</v>
      </c>
      <c r="E476">
        <v>24200000</v>
      </c>
      <c r="F476" t="s">
        <v>125</v>
      </c>
      <c r="G476" t="s">
        <v>125</v>
      </c>
      <c r="H476" t="s">
        <v>125</v>
      </c>
    </row>
    <row r="477" spans="1:8" x14ac:dyDescent="0.2">
      <c r="A477" t="s">
        <v>1117</v>
      </c>
      <c r="B477" t="s">
        <v>1118</v>
      </c>
      <c r="C477" t="s">
        <v>163</v>
      </c>
      <c r="D477" t="s">
        <v>136</v>
      </c>
      <c r="E477">
        <v>14400000</v>
      </c>
      <c r="F477" t="s">
        <v>137</v>
      </c>
      <c r="G477" t="s">
        <v>138</v>
      </c>
      <c r="H477" t="s">
        <v>139</v>
      </c>
    </row>
    <row r="478" spans="1:8" x14ac:dyDescent="0.2">
      <c r="A478" t="s">
        <v>674</v>
      </c>
      <c r="B478" t="s">
        <v>1119</v>
      </c>
      <c r="C478" t="s">
        <v>208</v>
      </c>
      <c r="D478" t="s">
        <v>136</v>
      </c>
      <c r="E478">
        <v>103745067</v>
      </c>
      <c r="F478" t="s">
        <v>195</v>
      </c>
      <c r="G478" t="s">
        <v>195</v>
      </c>
      <c r="H478" t="s">
        <v>184</v>
      </c>
    </row>
    <row r="479" spans="1:8" x14ac:dyDescent="0.2">
      <c r="A479" t="s">
        <v>674</v>
      </c>
      <c r="B479" t="s">
        <v>1120</v>
      </c>
      <c r="C479" t="s">
        <v>194</v>
      </c>
      <c r="D479" t="s">
        <v>136</v>
      </c>
      <c r="E479">
        <v>14903987</v>
      </c>
      <c r="F479" t="s">
        <v>195</v>
      </c>
      <c r="G479" t="s">
        <v>195</v>
      </c>
      <c r="H479" t="s">
        <v>184</v>
      </c>
    </row>
    <row r="480" spans="1:8" x14ac:dyDescent="0.2">
      <c r="A480" t="s">
        <v>1121</v>
      </c>
      <c r="B480" t="s">
        <v>1122</v>
      </c>
      <c r="C480" t="s">
        <v>310</v>
      </c>
      <c r="D480" t="s">
        <v>143</v>
      </c>
      <c r="E480">
        <v>2296739847</v>
      </c>
      <c r="F480" t="s">
        <v>311</v>
      </c>
      <c r="G480" t="s">
        <v>312</v>
      </c>
      <c r="H480" t="s">
        <v>313</v>
      </c>
    </row>
    <row r="481" spans="1:8" x14ac:dyDescent="0.2">
      <c r="A481" t="s">
        <v>1123</v>
      </c>
      <c r="B481" t="s">
        <v>1124</v>
      </c>
      <c r="C481" t="s">
        <v>310</v>
      </c>
      <c r="D481" t="s">
        <v>136</v>
      </c>
      <c r="E481">
        <v>4039147</v>
      </c>
      <c r="F481" t="s">
        <v>311</v>
      </c>
      <c r="G481" t="s">
        <v>312</v>
      </c>
      <c r="H481" t="s">
        <v>313</v>
      </c>
    </row>
    <row r="482" spans="1:8" x14ac:dyDescent="0.2">
      <c r="A482" t="s">
        <v>1125</v>
      </c>
      <c r="B482" t="s">
        <v>1126</v>
      </c>
      <c r="C482" t="s">
        <v>237</v>
      </c>
      <c r="D482" t="s">
        <v>136</v>
      </c>
      <c r="E482">
        <v>30679999</v>
      </c>
      <c r="F482" t="s">
        <v>154</v>
      </c>
      <c r="G482" t="s">
        <v>155</v>
      </c>
      <c r="H482" t="s">
        <v>139</v>
      </c>
    </row>
    <row r="483" spans="1:8" x14ac:dyDescent="0.2">
      <c r="A483" t="s">
        <v>1127</v>
      </c>
      <c r="B483" t="s">
        <v>1128</v>
      </c>
      <c r="C483" t="s">
        <v>355</v>
      </c>
      <c r="D483" t="s">
        <v>136</v>
      </c>
      <c r="E483">
        <v>114691510</v>
      </c>
      <c r="F483" t="s">
        <v>356</v>
      </c>
      <c r="G483" t="s">
        <v>150</v>
      </c>
      <c r="H483" t="s">
        <v>145</v>
      </c>
    </row>
    <row r="484" spans="1:8" x14ac:dyDescent="0.2">
      <c r="A484" t="s">
        <v>1129</v>
      </c>
      <c r="B484" t="s">
        <v>1130</v>
      </c>
      <c r="C484" t="s">
        <v>819</v>
      </c>
      <c r="D484" t="s">
        <v>143</v>
      </c>
      <c r="E484">
        <v>21738692</v>
      </c>
      <c r="F484" t="s">
        <v>820</v>
      </c>
      <c r="G484" t="s">
        <v>138</v>
      </c>
      <c r="H484" t="s">
        <v>139</v>
      </c>
    </row>
    <row r="485" spans="1:8" x14ac:dyDescent="0.2">
      <c r="A485" t="s">
        <v>1131</v>
      </c>
      <c r="B485" t="s">
        <v>1132</v>
      </c>
      <c r="C485" t="s">
        <v>387</v>
      </c>
      <c r="D485" t="s">
        <v>167</v>
      </c>
      <c r="E485">
        <v>9500000</v>
      </c>
      <c r="F485" t="s">
        <v>311</v>
      </c>
      <c r="G485" t="s">
        <v>312</v>
      </c>
      <c r="H485" t="s">
        <v>313</v>
      </c>
    </row>
    <row r="486" spans="1:8" x14ac:dyDescent="0.2">
      <c r="A486" t="s">
        <v>674</v>
      </c>
      <c r="B486" t="s">
        <v>3147</v>
      </c>
      <c r="C486" t="s">
        <v>259</v>
      </c>
      <c r="D486" t="s">
        <v>143</v>
      </c>
      <c r="E486">
        <v>300000000</v>
      </c>
      <c r="F486" t="s">
        <v>260</v>
      </c>
      <c r="G486" t="s">
        <v>183</v>
      </c>
      <c r="H486" t="s">
        <v>184</v>
      </c>
    </row>
    <row r="487" spans="1:8" x14ac:dyDescent="0.2">
      <c r="A487" t="s">
        <v>1133</v>
      </c>
      <c r="B487" t="s">
        <v>1134</v>
      </c>
      <c r="C487" t="s">
        <v>330</v>
      </c>
      <c r="D487" t="s">
        <v>143</v>
      </c>
      <c r="E487">
        <v>341249401</v>
      </c>
      <c r="F487" t="s">
        <v>330</v>
      </c>
      <c r="G487" t="s">
        <v>312</v>
      </c>
      <c r="H487" t="s">
        <v>313</v>
      </c>
    </row>
    <row r="488" spans="1:8" x14ac:dyDescent="0.2">
      <c r="A488" t="s">
        <v>1135</v>
      </c>
      <c r="B488" t="s">
        <v>1136</v>
      </c>
      <c r="C488" t="s">
        <v>142</v>
      </c>
      <c r="D488" t="s">
        <v>136</v>
      </c>
      <c r="E488">
        <v>2200000</v>
      </c>
      <c r="F488" t="s">
        <v>144</v>
      </c>
      <c r="G488" t="s">
        <v>144</v>
      </c>
      <c r="H488" t="s">
        <v>145</v>
      </c>
    </row>
    <row r="489" spans="1:8" x14ac:dyDescent="0.2">
      <c r="A489" t="s">
        <v>674</v>
      </c>
      <c r="B489" t="s">
        <v>1138</v>
      </c>
      <c r="C489" t="s">
        <v>259</v>
      </c>
      <c r="D489" t="s">
        <v>143</v>
      </c>
      <c r="E489">
        <v>851495793</v>
      </c>
      <c r="F489" t="s">
        <v>260</v>
      </c>
      <c r="G489" t="s">
        <v>183</v>
      </c>
      <c r="H489" t="s">
        <v>184</v>
      </c>
    </row>
    <row r="490" spans="1:8" x14ac:dyDescent="0.2">
      <c r="A490" t="s">
        <v>1139</v>
      </c>
      <c r="B490" t="s">
        <v>1140</v>
      </c>
      <c r="C490" t="s">
        <v>685</v>
      </c>
      <c r="D490" t="s">
        <v>136</v>
      </c>
      <c r="E490">
        <v>29388589</v>
      </c>
      <c r="F490" t="s">
        <v>686</v>
      </c>
      <c r="G490" t="s">
        <v>686</v>
      </c>
      <c r="H490" t="s">
        <v>139</v>
      </c>
    </row>
    <row r="491" spans="1:8" x14ac:dyDescent="0.2">
      <c r="A491" t="s">
        <v>674</v>
      </c>
      <c r="B491" t="s">
        <v>1141</v>
      </c>
      <c r="C491" t="s">
        <v>208</v>
      </c>
      <c r="D491" t="s">
        <v>136</v>
      </c>
      <c r="E491">
        <v>11500000</v>
      </c>
      <c r="F491" t="s">
        <v>195</v>
      </c>
      <c r="G491" t="s">
        <v>195</v>
      </c>
      <c r="H491" t="s">
        <v>184</v>
      </c>
    </row>
    <row r="492" spans="1:8" x14ac:dyDescent="0.2">
      <c r="A492" t="s">
        <v>1142</v>
      </c>
      <c r="B492" t="s">
        <v>1143</v>
      </c>
      <c r="C492" t="s">
        <v>330</v>
      </c>
      <c r="D492" t="s">
        <v>136</v>
      </c>
      <c r="E492">
        <v>47662500</v>
      </c>
      <c r="F492" t="s">
        <v>330</v>
      </c>
      <c r="G492" t="s">
        <v>312</v>
      </c>
      <c r="H492" t="s">
        <v>313</v>
      </c>
    </row>
    <row r="493" spans="1:8" x14ac:dyDescent="0.2">
      <c r="A493" t="s">
        <v>674</v>
      </c>
      <c r="B493" t="s">
        <v>1144</v>
      </c>
      <c r="C493" t="s">
        <v>211</v>
      </c>
      <c r="D493" t="s">
        <v>167</v>
      </c>
      <c r="E493">
        <v>12120000</v>
      </c>
      <c r="F493" t="s">
        <v>212</v>
      </c>
      <c r="G493" t="s">
        <v>183</v>
      </c>
      <c r="H493" t="s">
        <v>184</v>
      </c>
    </row>
    <row r="494" spans="1:8" x14ac:dyDescent="0.2">
      <c r="A494" t="s">
        <v>1145</v>
      </c>
      <c r="B494" t="s">
        <v>1146</v>
      </c>
      <c r="C494" t="s">
        <v>163</v>
      </c>
      <c r="D494" t="s">
        <v>143</v>
      </c>
      <c r="E494">
        <v>69950000</v>
      </c>
      <c r="F494" t="s">
        <v>137</v>
      </c>
      <c r="G494" t="s">
        <v>138</v>
      </c>
      <c r="H494" t="s">
        <v>139</v>
      </c>
    </row>
    <row r="495" spans="1:8" x14ac:dyDescent="0.2">
      <c r="A495" t="s">
        <v>674</v>
      </c>
      <c r="B495" t="s">
        <v>1147</v>
      </c>
      <c r="C495" t="s">
        <v>194</v>
      </c>
      <c r="D495" t="s">
        <v>167</v>
      </c>
      <c r="E495">
        <v>31434237</v>
      </c>
      <c r="F495" t="s">
        <v>195</v>
      </c>
      <c r="G495" t="s">
        <v>195</v>
      </c>
      <c r="H495" t="s">
        <v>184</v>
      </c>
    </row>
    <row r="496" spans="1:8" x14ac:dyDescent="0.2">
      <c r="A496" t="s">
        <v>1148</v>
      </c>
      <c r="B496" t="s">
        <v>1149</v>
      </c>
      <c r="C496" t="s">
        <v>1150</v>
      </c>
      <c r="D496" t="s">
        <v>136</v>
      </c>
      <c r="E496">
        <v>10500000</v>
      </c>
      <c r="F496" t="s">
        <v>149</v>
      </c>
      <c r="G496" t="s">
        <v>150</v>
      </c>
      <c r="H496" t="s">
        <v>145</v>
      </c>
    </row>
    <row r="497" spans="1:8" x14ac:dyDescent="0.2">
      <c r="A497" t="s">
        <v>1151</v>
      </c>
      <c r="B497" t="s">
        <v>1152</v>
      </c>
      <c r="C497" t="s">
        <v>392</v>
      </c>
      <c r="D497" t="s">
        <v>167</v>
      </c>
      <c r="E497">
        <v>10456092</v>
      </c>
      <c r="F497" t="s">
        <v>393</v>
      </c>
      <c r="G497" t="s">
        <v>138</v>
      </c>
      <c r="H497" t="s">
        <v>139</v>
      </c>
    </row>
    <row r="498" spans="1:8" x14ac:dyDescent="0.2">
      <c r="A498" t="s">
        <v>1153</v>
      </c>
      <c r="B498" t="s">
        <v>1154</v>
      </c>
      <c r="C498" t="s">
        <v>387</v>
      </c>
      <c r="D498" t="s">
        <v>136</v>
      </c>
      <c r="E498">
        <v>18000000</v>
      </c>
      <c r="F498" t="s">
        <v>311</v>
      </c>
      <c r="G498" t="s">
        <v>312</v>
      </c>
      <c r="H498" t="s">
        <v>313</v>
      </c>
    </row>
    <row r="499" spans="1:8" x14ac:dyDescent="0.2">
      <c r="A499" t="s">
        <v>1155</v>
      </c>
      <c r="B499" t="s">
        <v>1156</v>
      </c>
      <c r="C499" t="s">
        <v>685</v>
      </c>
      <c r="D499" t="s">
        <v>167</v>
      </c>
      <c r="E499">
        <v>19999999</v>
      </c>
      <c r="F499" t="s">
        <v>686</v>
      </c>
      <c r="G499" t="s">
        <v>686</v>
      </c>
      <c r="H499" t="s">
        <v>139</v>
      </c>
    </row>
    <row r="500" spans="1:8" x14ac:dyDescent="0.2">
      <c r="A500" t="s">
        <v>1157</v>
      </c>
      <c r="B500" t="s">
        <v>1158</v>
      </c>
      <c r="C500" t="s">
        <v>163</v>
      </c>
      <c r="D500" t="s">
        <v>143</v>
      </c>
      <c r="E500">
        <v>33000259</v>
      </c>
      <c r="F500" t="s">
        <v>137</v>
      </c>
      <c r="G500" t="s">
        <v>138</v>
      </c>
      <c r="H500" t="s">
        <v>139</v>
      </c>
    </row>
    <row r="501" spans="1:8" x14ac:dyDescent="0.2">
      <c r="A501" t="s">
        <v>674</v>
      </c>
      <c r="B501" t="s">
        <v>1160</v>
      </c>
      <c r="C501" t="s">
        <v>211</v>
      </c>
      <c r="D501" t="s">
        <v>143</v>
      </c>
      <c r="E501">
        <v>310486957</v>
      </c>
      <c r="F501" t="s">
        <v>212</v>
      </c>
      <c r="G501" t="s">
        <v>183</v>
      </c>
      <c r="H501" t="s">
        <v>184</v>
      </c>
    </row>
    <row r="502" spans="1:8" x14ac:dyDescent="0.2">
      <c r="A502" t="s">
        <v>674</v>
      </c>
      <c r="B502" t="s">
        <v>1161</v>
      </c>
      <c r="C502" t="s">
        <v>194</v>
      </c>
      <c r="D502" t="s">
        <v>143</v>
      </c>
      <c r="E502">
        <v>16500000</v>
      </c>
      <c r="F502" t="s">
        <v>195</v>
      </c>
      <c r="G502" t="s">
        <v>195</v>
      </c>
      <c r="H502" t="s">
        <v>184</v>
      </c>
    </row>
    <row r="503" spans="1:8" x14ac:dyDescent="0.2">
      <c r="A503" t="s">
        <v>674</v>
      </c>
      <c r="B503" t="s">
        <v>1162</v>
      </c>
      <c r="C503" t="s">
        <v>194</v>
      </c>
      <c r="D503" t="s">
        <v>167</v>
      </c>
      <c r="E503">
        <v>9040697</v>
      </c>
      <c r="F503" t="s">
        <v>195</v>
      </c>
      <c r="G503" t="s">
        <v>195</v>
      </c>
      <c r="H503" t="s">
        <v>184</v>
      </c>
    </row>
    <row r="504" spans="1:8" x14ac:dyDescent="0.2">
      <c r="A504" t="s">
        <v>674</v>
      </c>
      <c r="B504" t="s">
        <v>1163</v>
      </c>
      <c r="C504" t="s">
        <v>194</v>
      </c>
      <c r="D504" t="s">
        <v>136</v>
      </c>
      <c r="E504">
        <v>9000000</v>
      </c>
      <c r="F504" t="s">
        <v>195</v>
      </c>
      <c r="G504" t="s">
        <v>195</v>
      </c>
      <c r="H504" t="s">
        <v>184</v>
      </c>
    </row>
    <row r="505" spans="1:8" x14ac:dyDescent="0.2">
      <c r="A505" t="s">
        <v>1164</v>
      </c>
      <c r="B505" t="s">
        <v>1165</v>
      </c>
      <c r="C505" t="s">
        <v>240</v>
      </c>
      <c r="D505" t="s">
        <v>136</v>
      </c>
      <c r="E505">
        <v>41594000</v>
      </c>
      <c r="F505" t="s">
        <v>240</v>
      </c>
      <c r="G505" t="s">
        <v>241</v>
      </c>
      <c r="H505" t="s">
        <v>242</v>
      </c>
    </row>
    <row r="506" spans="1:8" x14ac:dyDescent="0.2">
      <c r="A506" t="s">
        <v>1166</v>
      </c>
      <c r="B506" t="s">
        <v>1167</v>
      </c>
      <c r="C506" t="s">
        <v>330</v>
      </c>
      <c r="D506" t="s">
        <v>136</v>
      </c>
      <c r="E506">
        <v>28562000</v>
      </c>
      <c r="F506" t="s">
        <v>330</v>
      </c>
      <c r="G506" t="s">
        <v>312</v>
      </c>
      <c r="H506" t="s">
        <v>313</v>
      </c>
    </row>
    <row r="507" spans="1:8" x14ac:dyDescent="0.2">
      <c r="A507" t="s">
        <v>674</v>
      </c>
      <c r="B507" t="s">
        <v>1169</v>
      </c>
      <c r="C507" t="s">
        <v>826</v>
      </c>
      <c r="D507" t="s">
        <v>143</v>
      </c>
      <c r="E507">
        <v>61379265</v>
      </c>
      <c r="F507" t="s">
        <v>212</v>
      </c>
      <c r="G507" t="s">
        <v>183</v>
      </c>
      <c r="H507" t="s">
        <v>184</v>
      </c>
    </row>
    <row r="508" spans="1:8" x14ac:dyDescent="0.2">
      <c r="A508" t="s">
        <v>1170</v>
      </c>
      <c r="B508" t="s">
        <v>1171</v>
      </c>
      <c r="C508" t="s">
        <v>200</v>
      </c>
      <c r="D508" t="s">
        <v>143</v>
      </c>
      <c r="E508">
        <v>10400000</v>
      </c>
      <c r="F508" t="s">
        <v>201</v>
      </c>
      <c r="G508" t="s">
        <v>150</v>
      </c>
      <c r="H508" t="s">
        <v>145</v>
      </c>
    </row>
    <row r="509" spans="1:8" x14ac:dyDescent="0.2">
      <c r="A509" t="s">
        <v>1172</v>
      </c>
      <c r="B509" t="s">
        <v>1173</v>
      </c>
      <c r="C509" t="s">
        <v>135</v>
      </c>
      <c r="D509" t="s">
        <v>136</v>
      </c>
      <c r="E509">
        <v>9300000</v>
      </c>
      <c r="F509" t="s">
        <v>137</v>
      </c>
      <c r="G509" t="s">
        <v>138</v>
      </c>
      <c r="H509" t="s">
        <v>139</v>
      </c>
    </row>
    <row r="510" spans="1:8" x14ac:dyDescent="0.2">
      <c r="A510" t="s">
        <v>674</v>
      </c>
      <c r="B510" t="s">
        <v>1174</v>
      </c>
      <c r="C510" t="s">
        <v>208</v>
      </c>
      <c r="D510" t="s">
        <v>136</v>
      </c>
      <c r="E510">
        <v>28499764</v>
      </c>
      <c r="F510" t="s">
        <v>195</v>
      </c>
      <c r="G510" t="s">
        <v>195</v>
      </c>
      <c r="H510" t="s">
        <v>184</v>
      </c>
    </row>
    <row r="511" spans="1:8" x14ac:dyDescent="0.2">
      <c r="A511" t="s">
        <v>1175</v>
      </c>
      <c r="B511" t="s">
        <v>1176</v>
      </c>
      <c r="C511" t="s">
        <v>897</v>
      </c>
      <c r="D511" t="s">
        <v>136</v>
      </c>
      <c r="E511">
        <v>43503000</v>
      </c>
      <c r="F511" t="s">
        <v>326</v>
      </c>
      <c r="G511" t="s">
        <v>327</v>
      </c>
      <c r="H511" t="s">
        <v>217</v>
      </c>
    </row>
    <row r="512" spans="1:8" x14ac:dyDescent="0.2">
      <c r="A512" t="s">
        <v>1177</v>
      </c>
      <c r="B512" t="s">
        <v>1178</v>
      </c>
      <c r="C512" t="s">
        <v>142</v>
      </c>
      <c r="D512" t="s">
        <v>143</v>
      </c>
      <c r="E512">
        <v>4000000000</v>
      </c>
      <c r="F512" t="s">
        <v>144</v>
      </c>
      <c r="G512" t="s">
        <v>144</v>
      </c>
      <c r="H512" t="s">
        <v>145</v>
      </c>
    </row>
    <row r="513" spans="1:8" x14ac:dyDescent="0.2">
      <c r="A513" t="s">
        <v>1179</v>
      </c>
      <c r="B513" t="s">
        <v>1180</v>
      </c>
      <c r="C513" t="s">
        <v>572</v>
      </c>
      <c r="D513" t="s">
        <v>136</v>
      </c>
      <c r="E513">
        <v>11605100</v>
      </c>
      <c r="F513" t="s">
        <v>201</v>
      </c>
      <c r="G513" t="s">
        <v>150</v>
      </c>
      <c r="H513" t="s">
        <v>145</v>
      </c>
    </row>
    <row r="514" spans="1:8" x14ac:dyDescent="0.2">
      <c r="A514" t="s">
        <v>674</v>
      </c>
      <c r="B514" t="s">
        <v>1181</v>
      </c>
      <c r="C514" t="s">
        <v>208</v>
      </c>
      <c r="D514" t="s">
        <v>136</v>
      </c>
      <c r="E514">
        <v>1060000</v>
      </c>
      <c r="F514" t="s">
        <v>195</v>
      </c>
      <c r="G514" t="s">
        <v>195</v>
      </c>
      <c r="H514" t="s">
        <v>184</v>
      </c>
    </row>
    <row r="515" spans="1:8" x14ac:dyDescent="0.2">
      <c r="A515" t="s">
        <v>1182</v>
      </c>
      <c r="B515" t="s">
        <v>1183</v>
      </c>
      <c r="C515" t="s">
        <v>158</v>
      </c>
      <c r="D515" t="s">
        <v>136</v>
      </c>
      <c r="E515">
        <v>29181096</v>
      </c>
      <c r="F515" t="s">
        <v>159</v>
      </c>
      <c r="G515" t="s">
        <v>159</v>
      </c>
      <c r="H515" t="s">
        <v>160</v>
      </c>
    </row>
    <row r="516" spans="1:8" x14ac:dyDescent="0.2">
      <c r="A516" t="s">
        <v>1184</v>
      </c>
      <c r="B516" t="s">
        <v>1185</v>
      </c>
      <c r="C516" t="s">
        <v>347</v>
      </c>
      <c r="D516" t="s">
        <v>167</v>
      </c>
      <c r="E516">
        <v>4000000</v>
      </c>
      <c r="F516" t="s">
        <v>348</v>
      </c>
      <c r="G516" t="s">
        <v>155</v>
      </c>
      <c r="H516" t="s">
        <v>139</v>
      </c>
    </row>
    <row r="517" spans="1:8" x14ac:dyDescent="0.2">
      <c r="A517" t="s">
        <v>1186</v>
      </c>
      <c r="B517" t="s">
        <v>1187</v>
      </c>
      <c r="C517" t="s">
        <v>237</v>
      </c>
      <c r="D517" t="s">
        <v>136</v>
      </c>
      <c r="E517">
        <v>14500000</v>
      </c>
      <c r="F517" t="s">
        <v>154</v>
      </c>
      <c r="G517" t="s">
        <v>155</v>
      </c>
      <c r="H517" t="s">
        <v>139</v>
      </c>
    </row>
    <row r="518" spans="1:8" x14ac:dyDescent="0.2">
      <c r="A518" t="s">
        <v>1188</v>
      </c>
      <c r="B518" t="s">
        <v>1189</v>
      </c>
      <c r="C518" t="s">
        <v>153</v>
      </c>
      <c r="D518" t="s">
        <v>143</v>
      </c>
      <c r="E518">
        <v>1057467947</v>
      </c>
      <c r="F518" t="s">
        <v>154</v>
      </c>
      <c r="G518" t="s">
        <v>155</v>
      </c>
      <c r="H518" t="s">
        <v>139</v>
      </c>
    </row>
    <row r="519" spans="1:8" x14ac:dyDescent="0.2">
      <c r="A519" t="s">
        <v>674</v>
      </c>
      <c r="B519" t="s">
        <v>1191</v>
      </c>
      <c r="C519" t="s">
        <v>211</v>
      </c>
      <c r="D519" t="s">
        <v>143</v>
      </c>
      <c r="E519">
        <v>121343091</v>
      </c>
      <c r="F519" t="s">
        <v>212</v>
      </c>
      <c r="G519" t="s">
        <v>183</v>
      </c>
      <c r="H519" t="s">
        <v>184</v>
      </c>
    </row>
    <row r="520" spans="1:8" x14ac:dyDescent="0.2">
      <c r="A520" t="s">
        <v>1192</v>
      </c>
      <c r="B520" t="s">
        <v>1193</v>
      </c>
      <c r="C520" t="s">
        <v>293</v>
      </c>
      <c r="D520" t="s">
        <v>136</v>
      </c>
      <c r="E520">
        <v>182682799</v>
      </c>
      <c r="F520" t="s">
        <v>144</v>
      </c>
      <c r="G520" t="s">
        <v>144</v>
      </c>
      <c r="H520" t="s">
        <v>145</v>
      </c>
    </row>
    <row r="521" spans="1:8" x14ac:dyDescent="0.2">
      <c r="A521" t="s">
        <v>674</v>
      </c>
      <c r="B521" t="s">
        <v>1194</v>
      </c>
      <c r="C521" t="s">
        <v>194</v>
      </c>
      <c r="D521" t="s">
        <v>136</v>
      </c>
      <c r="E521">
        <v>9338061</v>
      </c>
      <c r="F521" t="s">
        <v>195</v>
      </c>
      <c r="G521" t="s">
        <v>195</v>
      </c>
      <c r="H521" t="s">
        <v>184</v>
      </c>
    </row>
    <row r="522" spans="1:8" x14ac:dyDescent="0.2">
      <c r="A522" t="s">
        <v>674</v>
      </c>
      <c r="B522" t="s">
        <v>1195</v>
      </c>
      <c r="C522" t="s">
        <v>208</v>
      </c>
      <c r="D522" t="s">
        <v>136</v>
      </c>
      <c r="E522">
        <v>141048000</v>
      </c>
      <c r="F522" t="s">
        <v>195</v>
      </c>
      <c r="G522" t="s">
        <v>195</v>
      </c>
      <c r="H522" t="s">
        <v>184</v>
      </c>
    </row>
    <row r="523" spans="1:8" x14ac:dyDescent="0.2">
      <c r="A523" t="s">
        <v>1196</v>
      </c>
      <c r="B523" t="s">
        <v>1197</v>
      </c>
      <c r="C523" t="s">
        <v>572</v>
      </c>
      <c r="D523" t="s">
        <v>143</v>
      </c>
      <c r="E523">
        <v>111097772</v>
      </c>
      <c r="F523" t="s">
        <v>201</v>
      </c>
      <c r="G523" t="s">
        <v>150</v>
      </c>
      <c r="H523" t="s">
        <v>145</v>
      </c>
    </row>
    <row r="524" spans="1:8" x14ac:dyDescent="0.2">
      <c r="A524" t="s">
        <v>1198</v>
      </c>
      <c r="B524" t="s">
        <v>1199</v>
      </c>
      <c r="C524" t="s">
        <v>166</v>
      </c>
      <c r="D524" t="s">
        <v>143</v>
      </c>
      <c r="E524">
        <v>101350100</v>
      </c>
      <c r="F524" t="s">
        <v>166</v>
      </c>
      <c r="G524" t="s">
        <v>166</v>
      </c>
      <c r="H524" t="s">
        <v>160</v>
      </c>
    </row>
    <row r="525" spans="1:8" x14ac:dyDescent="0.2">
      <c r="A525" t="s">
        <v>674</v>
      </c>
      <c r="B525" t="s">
        <v>1201</v>
      </c>
      <c r="C525" t="s">
        <v>208</v>
      </c>
      <c r="D525" t="s">
        <v>143</v>
      </c>
      <c r="E525">
        <v>8000000</v>
      </c>
      <c r="F525" t="s">
        <v>195</v>
      </c>
      <c r="G525" t="s">
        <v>195</v>
      </c>
      <c r="H525" t="s">
        <v>184</v>
      </c>
    </row>
    <row r="526" spans="1:8" x14ac:dyDescent="0.2">
      <c r="A526" t="s">
        <v>1202</v>
      </c>
      <c r="B526" t="s">
        <v>1203</v>
      </c>
      <c r="C526" t="s">
        <v>347</v>
      </c>
      <c r="D526" t="s">
        <v>167</v>
      </c>
      <c r="E526">
        <v>3123000</v>
      </c>
      <c r="F526" t="s">
        <v>348</v>
      </c>
      <c r="G526" t="s">
        <v>155</v>
      </c>
      <c r="H526" t="s">
        <v>139</v>
      </c>
    </row>
    <row r="527" spans="1:8" x14ac:dyDescent="0.2">
      <c r="A527" t="s">
        <v>1204</v>
      </c>
      <c r="B527" t="s">
        <v>1205</v>
      </c>
      <c r="C527" t="s">
        <v>1206</v>
      </c>
      <c r="D527" t="s">
        <v>136</v>
      </c>
      <c r="E527">
        <v>3297860</v>
      </c>
      <c r="F527" t="s">
        <v>348</v>
      </c>
      <c r="G527" t="s">
        <v>155</v>
      </c>
      <c r="H527" t="s">
        <v>139</v>
      </c>
    </row>
    <row r="528" spans="1:8" x14ac:dyDescent="0.2">
      <c r="A528" t="s">
        <v>1207</v>
      </c>
      <c r="B528" t="s">
        <v>1208</v>
      </c>
      <c r="C528" t="s">
        <v>685</v>
      </c>
      <c r="D528" t="s">
        <v>143</v>
      </c>
      <c r="E528">
        <v>107439681</v>
      </c>
      <c r="F528" t="s">
        <v>686</v>
      </c>
      <c r="G528" t="s">
        <v>686</v>
      </c>
      <c r="H528" t="s">
        <v>139</v>
      </c>
    </row>
    <row r="529" spans="1:8" x14ac:dyDescent="0.2">
      <c r="A529" t="s">
        <v>674</v>
      </c>
      <c r="B529" t="s">
        <v>1209</v>
      </c>
      <c r="C529" t="s">
        <v>208</v>
      </c>
      <c r="D529" t="s">
        <v>136</v>
      </c>
      <c r="E529">
        <v>347213270</v>
      </c>
      <c r="F529" t="s">
        <v>195</v>
      </c>
      <c r="G529" t="s">
        <v>195</v>
      </c>
      <c r="H529" t="s">
        <v>184</v>
      </c>
    </row>
    <row r="530" spans="1:8" x14ac:dyDescent="0.2">
      <c r="A530" t="s">
        <v>674</v>
      </c>
      <c r="B530" t="s">
        <v>1210</v>
      </c>
      <c r="C530" t="s">
        <v>283</v>
      </c>
      <c r="D530" t="s">
        <v>136</v>
      </c>
      <c r="E530">
        <v>2011100</v>
      </c>
      <c r="F530" t="s">
        <v>284</v>
      </c>
      <c r="G530" t="s">
        <v>183</v>
      </c>
      <c r="H530" t="s">
        <v>184</v>
      </c>
    </row>
    <row r="531" spans="1:8" x14ac:dyDescent="0.2">
      <c r="A531" t="s">
        <v>1211</v>
      </c>
      <c r="B531" t="s">
        <v>1212</v>
      </c>
      <c r="C531" t="s">
        <v>347</v>
      </c>
      <c r="D531" t="s">
        <v>136</v>
      </c>
      <c r="E531">
        <v>16000000</v>
      </c>
      <c r="F531" t="s">
        <v>348</v>
      </c>
      <c r="G531" t="s">
        <v>155</v>
      </c>
      <c r="H531" t="s">
        <v>139</v>
      </c>
    </row>
    <row r="532" spans="1:8" x14ac:dyDescent="0.2">
      <c r="A532" t="s">
        <v>1213</v>
      </c>
      <c r="B532" t="s">
        <v>1214</v>
      </c>
      <c r="C532" t="s">
        <v>158</v>
      </c>
      <c r="D532" t="s">
        <v>167</v>
      </c>
      <c r="E532">
        <v>32999980</v>
      </c>
      <c r="F532" t="s">
        <v>159</v>
      </c>
      <c r="G532" t="s">
        <v>159</v>
      </c>
      <c r="H532" t="s">
        <v>160</v>
      </c>
    </row>
    <row r="533" spans="1:8" x14ac:dyDescent="0.2">
      <c r="A533" t="s">
        <v>674</v>
      </c>
      <c r="B533" t="s">
        <v>1215</v>
      </c>
      <c r="C533" t="s">
        <v>208</v>
      </c>
      <c r="D533" t="s">
        <v>136</v>
      </c>
      <c r="E533">
        <v>8000000</v>
      </c>
      <c r="F533" t="s">
        <v>195</v>
      </c>
      <c r="G533" t="s">
        <v>195</v>
      </c>
      <c r="H533" t="s">
        <v>184</v>
      </c>
    </row>
    <row r="534" spans="1:8" x14ac:dyDescent="0.2">
      <c r="A534" t="s">
        <v>674</v>
      </c>
      <c r="B534" t="s">
        <v>1216</v>
      </c>
      <c r="C534" t="s">
        <v>208</v>
      </c>
      <c r="D534" t="s">
        <v>136</v>
      </c>
      <c r="E534">
        <v>20685717</v>
      </c>
      <c r="F534" t="s">
        <v>195</v>
      </c>
      <c r="G534" t="s">
        <v>195</v>
      </c>
      <c r="H534" t="s">
        <v>184</v>
      </c>
    </row>
    <row r="535" spans="1:8" x14ac:dyDescent="0.2">
      <c r="A535" t="s">
        <v>1217</v>
      </c>
      <c r="B535" t="s">
        <v>1218</v>
      </c>
      <c r="C535" t="s">
        <v>163</v>
      </c>
      <c r="D535" t="s">
        <v>136</v>
      </c>
      <c r="E535">
        <v>5199274</v>
      </c>
      <c r="F535" t="s">
        <v>137</v>
      </c>
      <c r="G535" t="s">
        <v>138</v>
      </c>
      <c r="H535" t="s">
        <v>139</v>
      </c>
    </row>
    <row r="536" spans="1:8" x14ac:dyDescent="0.2">
      <c r="A536" t="s">
        <v>674</v>
      </c>
      <c r="B536" t="s">
        <v>1219</v>
      </c>
      <c r="C536" t="s">
        <v>194</v>
      </c>
      <c r="D536" t="s">
        <v>167</v>
      </c>
      <c r="E536">
        <v>6518586</v>
      </c>
      <c r="F536" t="s">
        <v>195</v>
      </c>
      <c r="G536" t="s">
        <v>195</v>
      </c>
      <c r="H536" t="s">
        <v>184</v>
      </c>
    </row>
    <row r="537" spans="1:8" x14ac:dyDescent="0.2">
      <c r="A537" t="s">
        <v>1220</v>
      </c>
      <c r="B537" t="s">
        <v>1221</v>
      </c>
      <c r="C537" t="s">
        <v>142</v>
      </c>
      <c r="D537" t="s">
        <v>143</v>
      </c>
      <c r="E537">
        <v>36958816</v>
      </c>
      <c r="F537" t="s">
        <v>144</v>
      </c>
      <c r="G537" t="s">
        <v>144</v>
      </c>
      <c r="H537" t="s">
        <v>145</v>
      </c>
    </row>
    <row r="538" spans="1:8" x14ac:dyDescent="0.2">
      <c r="A538" t="s">
        <v>674</v>
      </c>
      <c r="B538" t="s">
        <v>1222</v>
      </c>
      <c r="C538" t="s">
        <v>208</v>
      </c>
      <c r="D538" t="s">
        <v>136</v>
      </c>
      <c r="E538">
        <v>5232000</v>
      </c>
      <c r="F538" t="s">
        <v>195</v>
      </c>
      <c r="G538" t="s">
        <v>195</v>
      </c>
      <c r="H538" t="s">
        <v>184</v>
      </c>
    </row>
    <row r="539" spans="1:8" x14ac:dyDescent="0.2">
      <c r="A539" t="s">
        <v>1223</v>
      </c>
      <c r="B539" t="s">
        <v>1224</v>
      </c>
      <c r="C539" t="s">
        <v>158</v>
      </c>
      <c r="D539" t="s">
        <v>143</v>
      </c>
      <c r="E539">
        <v>704811532</v>
      </c>
      <c r="F539" t="s">
        <v>159</v>
      </c>
      <c r="G539" t="s">
        <v>159</v>
      </c>
      <c r="H539" t="s">
        <v>160</v>
      </c>
    </row>
    <row r="540" spans="1:8" x14ac:dyDescent="0.2">
      <c r="A540" t="s">
        <v>674</v>
      </c>
      <c r="B540" t="s">
        <v>1225</v>
      </c>
      <c r="C540" t="s">
        <v>903</v>
      </c>
      <c r="D540" t="s">
        <v>167</v>
      </c>
      <c r="E540">
        <v>2016385</v>
      </c>
      <c r="F540" t="s">
        <v>212</v>
      </c>
      <c r="G540" t="s">
        <v>183</v>
      </c>
      <c r="H540" t="s">
        <v>184</v>
      </c>
    </row>
    <row r="541" spans="1:8" x14ac:dyDescent="0.2">
      <c r="A541" t="s">
        <v>1226</v>
      </c>
      <c r="B541" t="s">
        <v>1227</v>
      </c>
      <c r="C541" t="s">
        <v>166</v>
      </c>
      <c r="D541" t="s">
        <v>136</v>
      </c>
      <c r="E541">
        <v>8962353</v>
      </c>
      <c r="F541" t="s">
        <v>166</v>
      </c>
      <c r="G541" t="s">
        <v>166</v>
      </c>
      <c r="H541" t="s">
        <v>160</v>
      </c>
    </row>
    <row r="542" spans="1:8" x14ac:dyDescent="0.2">
      <c r="A542" t="s">
        <v>1228</v>
      </c>
      <c r="B542" t="s">
        <v>1229</v>
      </c>
      <c r="C542" t="s">
        <v>166</v>
      </c>
      <c r="D542" t="s">
        <v>136</v>
      </c>
      <c r="E542">
        <v>15120000</v>
      </c>
      <c r="F542" t="s">
        <v>166</v>
      </c>
      <c r="G542" t="s">
        <v>166</v>
      </c>
      <c r="H542" t="s">
        <v>160</v>
      </c>
    </row>
    <row r="543" spans="1:8" x14ac:dyDescent="0.2">
      <c r="A543" t="s">
        <v>1230</v>
      </c>
      <c r="B543" t="s">
        <v>1231</v>
      </c>
      <c r="C543" t="s">
        <v>166</v>
      </c>
      <c r="D543" t="s">
        <v>136</v>
      </c>
      <c r="E543">
        <v>10000000</v>
      </c>
      <c r="F543" t="s">
        <v>166</v>
      </c>
      <c r="G543" t="s">
        <v>166</v>
      </c>
      <c r="H543" t="s">
        <v>160</v>
      </c>
    </row>
    <row r="544" spans="1:8" x14ac:dyDescent="0.2">
      <c r="A544" t="s">
        <v>674</v>
      </c>
      <c r="B544" t="s">
        <v>1232</v>
      </c>
      <c r="C544" t="s">
        <v>194</v>
      </c>
      <c r="D544" t="s">
        <v>167</v>
      </c>
      <c r="E544">
        <v>27599967</v>
      </c>
      <c r="F544" t="s">
        <v>195</v>
      </c>
      <c r="G544" t="s">
        <v>195</v>
      </c>
      <c r="H544" t="s">
        <v>184</v>
      </c>
    </row>
    <row r="545" spans="1:8" x14ac:dyDescent="0.2">
      <c r="A545" t="s">
        <v>1233</v>
      </c>
      <c r="B545" t="s">
        <v>1234</v>
      </c>
      <c r="C545" t="s">
        <v>170</v>
      </c>
      <c r="D545" t="s">
        <v>143</v>
      </c>
      <c r="E545">
        <v>2907632132</v>
      </c>
      <c r="F545" t="s">
        <v>170</v>
      </c>
      <c r="G545" t="s">
        <v>170</v>
      </c>
      <c r="H545" t="s">
        <v>170</v>
      </c>
    </row>
    <row r="546" spans="1:8" x14ac:dyDescent="0.2">
      <c r="A546" t="s">
        <v>1235</v>
      </c>
      <c r="B546" t="s">
        <v>1236</v>
      </c>
      <c r="C546" t="s">
        <v>166</v>
      </c>
      <c r="D546" t="s">
        <v>143</v>
      </c>
      <c r="E546">
        <v>155095125</v>
      </c>
      <c r="F546" t="s">
        <v>166</v>
      </c>
      <c r="G546" t="s">
        <v>166</v>
      </c>
      <c r="H546" t="s">
        <v>160</v>
      </c>
    </row>
    <row r="547" spans="1:8" x14ac:dyDescent="0.2">
      <c r="A547" t="s">
        <v>1237</v>
      </c>
      <c r="B547" t="s">
        <v>1238</v>
      </c>
      <c r="C547" t="s">
        <v>166</v>
      </c>
      <c r="D547" t="s">
        <v>143</v>
      </c>
      <c r="E547">
        <v>336331529</v>
      </c>
      <c r="F547" t="s">
        <v>166</v>
      </c>
      <c r="G547" t="s">
        <v>166</v>
      </c>
      <c r="H547" t="s">
        <v>160</v>
      </c>
    </row>
    <row r="548" spans="1:8" x14ac:dyDescent="0.2">
      <c r="A548" t="s">
        <v>1239</v>
      </c>
      <c r="B548" t="s">
        <v>1240</v>
      </c>
      <c r="C548" t="s">
        <v>163</v>
      </c>
      <c r="D548" t="s">
        <v>136</v>
      </c>
      <c r="E548">
        <v>20096259</v>
      </c>
      <c r="F548" t="s">
        <v>137</v>
      </c>
      <c r="G548" t="s">
        <v>138</v>
      </c>
      <c r="H548" t="s">
        <v>139</v>
      </c>
    </row>
    <row r="549" spans="1:8" x14ac:dyDescent="0.2">
      <c r="A549" t="s">
        <v>674</v>
      </c>
      <c r="B549" t="s">
        <v>1241</v>
      </c>
      <c r="C549" t="s">
        <v>283</v>
      </c>
      <c r="D549" t="s">
        <v>136</v>
      </c>
      <c r="E549">
        <v>16959879</v>
      </c>
      <c r="F549" t="s">
        <v>284</v>
      </c>
      <c r="G549" t="s">
        <v>183</v>
      </c>
      <c r="H549" t="s">
        <v>184</v>
      </c>
    </row>
    <row r="550" spans="1:8" x14ac:dyDescent="0.2">
      <c r="A550" t="s">
        <v>1242</v>
      </c>
      <c r="B550" t="s">
        <v>1243</v>
      </c>
      <c r="C550" t="s">
        <v>240</v>
      </c>
      <c r="D550" t="s">
        <v>136</v>
      </c>
      <c r="E550">
        <v>9934418</v>
      </c>
      <c r="F550" t="s">
        <v>240</v>
      </c>
      <c r="G550" t="s">
        <v>241</v>
      </c>
      <c r="H550" t="s">
        <v>242</v>
      </c>
    </row>
    <row r="551" spans="1:8" x14ac:dyDescent="0.2">
      <c r="A551" t="s">
        <v>1244</v>
      </c>
      <c r="B551" t="s">
        <v>1245</v>
      </c>
      <c r="C551" t="s">
        <v>153</v>
      </c>
      <c r="D551" t="s">
        <v>136</v>
      </c>
      <c r="E551">
        <v>5162924</v>
      </c>
      <c r="F551" t="s">
        <v>154</v>
      </c>
      <c r="G551" t="s">
        <v>155</v>
      </c>
      <c r="H551" t="s">
        <v>139</v>
      </c>
    </row>
    <row r="552" spans="1:8" x14ac:dyDescent="0.2">
      <c r="A552" t="s">
        <v>1246</v>
      </c>
      <c r="B552" t="s">
        <v>1247</v>
      </c>
      <c r="C552" t="s">
        <v>387</v>
      </c>
      <c r="D552" t="s">
        <v>136</v>
      </c>
      <c r="E552">
        <v>31882470</v>
      </c>
      <c r="F552" t="s">
        <v>311</v>
      </c>
      <c r="G552" t="s">
        <v>312</v>
      </c>
      <c r="H552" t="s">
        <v>313</v>
      </c>
    </row>
    <row r="553" spans="1:8" x14ac:dyDescent="0.2">
      <c r="A553" t="s">
        <v>674</v>
      </c>
      <c r="B553" t="s">
        <v>1248</v>
      </c>
      <c r="C553" t="s">
        <v>181</v>
      </c>
      <c r="D553" t="s">
        <v>136</v>
      </c>
      <c r="E553">
        <v>6000000</v>
      </c>
      <c r="F553" t="s">
        <v>182</v>
      </c>
      <c r="G553" t="s">
        <v>183</v>
      </c>
      <c r="H553" t="s">
        <v>184</v>
      </c>
    </row>
    <row r="554" spans="1:8" x14ac:dyDescent="0.2">
      <c r="A554" t="s">
        <v>674</v>
      </c>
      <c r="B554" t="s">
        <v>1249</v>
      </c>
      <c r="C554" t="s">
        <v>208</v>
      </c>
      <c r="D554" t="s">
        <v>136</v>
      </c>
      <c r="E554">
        <v>4400000</v>
      </c>
      <c r="F554" t="s">
        <v>195</v>
      </c>
      <c r="G554" t="s">
        <v>195</v>
      </c>
      <c r="H554" t="s">
        <v>184</v>
      </c>
    </row>
    <row r="555" spans="1:8" x14ac:dyDescent="0.2">
      <c r="A555" t="s">
        <v>674</v>
      </c>
      <c r="B555" t="s">
        <v>1250</v>
      </c>
      <c r="C555" t="s">
        <v>441</v>
      </c>
      <c r="D555" t="s">
        <v>136</v>
      </c>
      <c r="E555">
        <v>6000000</v>
      </c>
      <c r="F555" t="s">
        <v>182</v>
      </c>
      <c r="G555" t="s">
        <v>183</v>
      </c>
      <c r="H555" t="s">
        <v>184</v>
      </c>
    </row>
    <row r="556" spans="1:8" x14ac:dyDescent="0.2">
      <c r="A556" t="s">
        <v>1251</v>
      </c>
      <c r="B556" t="s">
        <v>1252</v>
      </c>
      <c r="C556" t="s">
        <v>897</v>
      </c>
      <c r="D556" t="s">
        <v>136</v>
      </c>
      <c r="E556">
        <v>9297450</v>
      </c>
      <c r="F556" t="s">
        <v>326</v>
      </c>
      <c r="G556" t="s">
        <v>327</v>
      </c>
      <c r="H556" t="s">
        <v>217</v>
      </c>
    </row>
    <row r="557" spans="1:8" x14ac:dyDescent="0.2">
      <c r="A557" t="s">
        <v>1253</v>
      </c>
      <c r="B557" t="s">
        <v>1254</v>
      </c>
      <c r="C557" t="s">
        <v>215</v>
      </c>
      <c r="D557" t="s">
        <v>167</v>
      </c>
      <c r="E557">
        <v>1000000</v>
      </c>
      <c r="F557" t="s">
        <v>216</v>
      </c>
      <c r="G557" t="s">
        <v>216</v>
      </c>
      <c r="H557" t="s">
        <v>217</v>
      </c>
    </row>
    <row r="558" spans="1:8" x14ac:dyDescent="0.2">
      <c r="A558" t="s">
        <v>674</v>
      </c>
      <c r="B558" t="s">
        <v>1255</v>
      </c>
      <c r="C558" t="s">
        <v>208</v>
      </c>
      <c r="D558" t="s">
        <v>136</v>
      </c>
      <c r="E558">
        <v>9100000</v>
      </c>
      <c r="F558" t="s">
        <v>195</v>
      </c>
      <c r="G558" t="s">
        <v>195</v>
      </c>
      <c r="H558" t="s">
        <v>184</v>
      </c>
    </row>
    <row r="559" spans="1:8" x14ac:dyDescent="0.2">
      <c r="A559" t="s">
        <v>1256</v>
      </c>
      <c r="B559" t="s">
        <v>1257</v>
      </c>
      <c r="C559" t="s">
        <v>310</v>
      </c>
      <c r="D559" t="s">
        <v>136</v>
      </c>
      <c r="E559">
        <v>10198105</v>
      </c>
      <c r="F559" t="s">
        <v>311</v>
      </c>
      <c r="G559" t="s">
        <v>312</v>
      </c>
      <c r="H559" t="s">
        <v>313</v>
      </c>
    </row>
    <row r="560" spans="1:8" x14ac:dyDescent="0.2">
      <c r="A560" t="s">
        <v>1258</v>
      </c>
      <c r="B560" t="s">
        <v>1259</v>
      </c>
      <c r="C560" t="s">
        <v>519</v>
      </c>
      <c r="D560" t="s">
        <v>136</v>
      </c>
      <c r="E560">
        <v>1270000</v>
      </c>
      <c r="F560" t="s">
        <v>229</v>
      </c>
      <c r="G560" t="s">
        <v>229</v>
      </c>
      <c r="H560" t="s">
        <v>217</v>
      </c>
    </row>
    <row r="561" spans="1:8" x14ac:dyDescent="0.2">
      <c r="A561" t="s">
        <v>1260</v>
      </c>
      <c r="B561" t="s">
        <v>1261</v>
      </c>
      <c r="C561" t="s">
        <v>149</v>
      </c>
      <c r="D561" t="s">
        <v>167</v>
      </c>
      <c r="E561">
        <v>12600000</v>
      </c>
      <c r="F561" t="s">
        <v>149</v>
      </c>
      <c r="G561" t="s">
        <v>150</v>
      </c>
      <c r="H561" t="s">
        <v>145</v>
      </c>
    </row>
    <row r="562" spans="1:8" x14ac:dyDescent="0.2">
      <c r="A562" t="s">
        <v>1262</v>
      </c>
      <c r="B562" t="s">
        <v>1263</v>
      </c>
      <c r="C562" t="s">
        <v>434</v>
      </c>
      <c r="D562" t="s">
        <v>136</v>
      </c>
      <c r="E562">
        <v>20000000</v>
      </c>
      <c r="F562" t="s">
        <v>326</v>
      </c>
      <c r="G562" t="s">
        <v>327</v>
      </c>
      <c r="H562" t="s">
        <v>217</v>
      </c>
    </row>
    <row r="563" spans="1:8" x14ac:dyDescent="0.2">
      <c r="A563" t="s">
        <v>1264</v>
      </c>
      <c r="B563" t="s">
        <v>1265</v>
      </c>
      <c r="C563" t="s">
        <v>237</v>
      </c>
      <c r="D563" t="s">
        <v>167</v>
      </c>
      <c r="E563">
        <v>16425000</v>
      </c>
      <c r="F563" t="s">
        <v>154</v>
      </c>
      <c r="G563" t="s">
        <v>155</v>
      </c>
      <c r="H563" t="s">
        <v>139</v>
      </c>
    </row>
    <row r="564" spans="1:8" x14ac:dyDescent="0.2">
      <c r="A564" t="s">
        <v>1266</v>
      </c>
      <c r="B564" t="s">
        <v>1267</v>
      </c>
      <c r="C564" t="s">
        <v>434</v>
      </c>
      <c r="D564" t="s">
        <v>136</v>
      </c>
      <c r="E564">
        <v>34896354</v>
      </c>
      <c r="F564" t="s">
        <v>326</v>
      </c>
      <c r="G564" t="s">
        <v>327</v>
      </c>
      <c r="H564" t="s">
        <v>217</v>
      </c>
    </row>
    <row r="565" spans="1:8" x14ac:dyDescent="0.2">
      <c r="A565" t="s">
        <v>674</v>
      </c>
      <c r="B565" t="s">
        <v>1268</v>
      </c>
      <c r="C565" t="s">
        <v>211</v>
      </c>
      <c r="D565" t="s">
        <v>136</v>
      </c>
      <c r="E565">
        <v>1440000</v>
      </c>
      <c r="F565" t="s">
        <v>212</v>
      </c>
      <c r="G565" t="s">
        <v>183</v>
      </c>
      <c r="H565" t="s">
        <v>184</v>
      </c>
    </row>
    <row r="566" spans="1:8" x14ac:dyDescent="0.2">
      <c r="A566" t="s">
        <v>1269</v>
      </c>
      <c r="B566" t="s">
        <v>1270</v>
      </c>
      <c r="C566" t="s">
        <v>572</v>
      </c>
      <c r="D566" t="s">
        <v>143</v>
      </c>
      <c r="E566">
        <v>86554343</v>
      </c>
      <c r="F566" t="s">
        <v>201</v>
      </c>
      <c r="G566" t="s">
        <v>150</v>
      </c>
      <c r="H566" t="s">
        <v>145</v>
      </c>
    </row>
    <row r="567" spans="1:8" x14ac:dyDescent="0.2">
      <c r="A567" t="s">
        <v>1271</v>
      </c>
      <c r="B567" t="s">
        <v>1272</v>
      </c>
      <c r="C567" t="s">
        <v>685</v>
      </c>
      <c r="D567" t="s">
        <v>143</v>
      </c>
      <c r="E567">
        <v>367985968</v>
      </c>
      <c r="F567" t="s">
        <v>686</v>
      </c>
      <c r="G567" t="s">
        <v>686</v>
      </c>
      <c r="H567" t="s">
        <v>139</v>
      </c>
    </row>
    <row r="568" spans="1:8" x14ac:dyDescent="0.2">
      <c r="A568" t="s">
        <v>674</v>
      </c>
      <c r="B568" t="s">
        <v>1274</v>
      </c>
      <c r="C568" t="s">
        <v>208</v>
      </c>
      <c r="D568" t="s">
        <v>143</v>
      </c>
      <c r="E568">
        <v>432255528</v>
      </c>
      <c r="F568" t="s">
        <v>195</v>
      </c>
      <c r="G568" t="s">
        <v>195</v>
      </c>
      <c r="H568" t="s">
        <v>184</v>
      </c>
    </row>
    <row r="569" spans="1:8" x14ac:dyDescent="0.2">
      <c r="A569" t="s">
        <v>674</v>
      </c>
      <c r="B569" t="s">
        <v>1276</v>
      </c>
      <c r="C569" t="s">
        <v>208</v>
      </c>
      <c r="D569" t="s">
        <v>143</v>
      </c>
      <c r="E569">
        <v>76765032</v>
      </c>
      <c r="F569" t="s">
        <v>195</v>
      </c>
      <c r="G569" t="s">
        <v>195</v>
      </c>
      <c r="H569" t="s">
        <v>184</v>
      </c>
    </row>
    <row r="570" spans="1:8" x14ac:dyDescent="0.2">
      <c r="A570" t="s">
        <v>1277</v>
      </c>
      <c r="B570" t="s">
        <v>1278</v>
      </c>
      <c r="C570" t="s">
        <v>704</v>
      </c>
      <c r="D570" t="s">
        <v>136</v>
      </c>
      <c r="E570">
        <v>22559030</v>
      </c>
      <c r="F570" t="s">
        <v>693</v>
      </c>
      <c r="G570" t="s">
        <v>668</v>
      </c>
      <c r="H570" t="s">
        <v>668</v>
      </c>
    </row>
    <row r="571" spans="1:8" x14ac:dyDescent="0.2">
      <c r="A571" t="s">
        <v>1279</v>
      </c>
      <c r="B571" t="s">
        <v>1280</v>
      </c>
      <c r="C571" t="s">
        <v>142</v>
      </c>
      <c r="D571" t="s">
        <v>143</v>
      </c>
      <c r="E571">
        <v>73663016</v>
      </c>
      <c r="F571" t="s">
        <v>144</v>
      </c>
      <c r="G571" t="s">
        <v>144</v>
      </c>
      <c r="H571" t="s">
        <v>145</v>
      </c>
    </row>
    <row r="572" spans="1:8" x14ac:dyDescent="0.2">
      <c r="A572" t="s">
        <v>1281</v>
      </c>
      <c r="B572" t="s">
        <v>1282</v>
      </c>
      <c r="C572" t="s">
        <v>330</v>
      </c>
      <c r="D572" t="s">
        <v>136</v>
      </c>
      <c r="E572">
        <v>21000000</v>
      </c>
      <c r="F572" t="s">
        <v>330</v>
      </c>
      <c r="G572" t="s">
        <v>312</v>
      </c>
      <c r="H572" t="s">
        <v>313</v>
      </c>
    </row>
    <row r="573" spans="1:8" x14ac:dyDescent="0.2">
      <c r="A573" t="s">
        <v>1283</v>
      </c>
      <c r="B573" t="s">
        <v>1284</v>
      </c>
      <c r="C573" t="s">
        <v>671</v>
      </c>
      <c r="D573" t="s">
        <v>136</v>
      </c>
      <c r="E573">
        <v>12853052</v>
      </c>
      <c r="F573" t="s">
        <v>671</v>
      </c>
      <c r="G573" t="s">
        <v>138</v>
      </c>
      <c r="H573" t="s">
        <v>139</v>
      </c>
    </row>
    <row r="574" spans="1:8" x14ac:dyDescent="0.2">
      <c r="A574" t="s">
        <v>1285</v>
      </c>
      <c r="B574" t="s">
        <v>1286</v>
      </c>
      <c r="C574" t="s">
        <v>330</v>
      </c>
      <c r="D574" t="s">
        <v>167</v>
      </c>
      <c r="E574">
        <v>20999900</v>
      </c>
      <c r="F574" t="s">
        <v>330</v>
      </c>
      <c r="G574" t="s">
        <v>312</v>
      </c>
      <c r="H574" t="s">
        <v>313</v>
      </c>
    </row>
    <row r="575" spans="1:8" x14ac:dyDescent="0.2">
      <c r="A575" t="s">
        <v>1287</v>
      </c>
      <c r="B575" t="s">
        <v>1288</v>
      </c>
      <c r="C575" t="s">
        <v>237</v>
      </c>
      <c r="D575" t="s">
        <v>136</v>
      </c>
      <c r="E575">
        <v>51599999</v>
      </c>
      <c r="F575" t="s">
        <v>154</v>
      </c>
      <c r="G575" t="s">
        <v>155</v>
      </c>
      <c r="H575" t="s">
        <v>139</v>
      </c>
    </row>
    <row r="576" spans="1:8" x14ac:dyDescent="0.2">
      <c r="A576" t="s">
        <v>1289</v>
      </c>
      <c r="B576" t="s">
        <v>1290</v>
      </c>
      <c r="C576" t="s">
        <v>404</v>
      </c>
      <c r="D576" t="s">
        <v>167</v>
      </c>
      <c r="E576">
        <v>6135029</v>
      </c>
      <c r="F576" t="s">
        <v>348</v>
      </c>
      <c r="G576" t="s">
        <v>155</v>
      </c>
      <c r="H576" t="s">
        <v>139</v>
      </c>
    </row>
    <row r="577" spans="1:8" x14ac:dyDescent="0.2">
      <c r="A577" t="s">
        <v>1291</v>
      </c>
      <c r="B577" t="s">
        <v>1292</v>
      </c>
      <c r="C577" t="s">
        <v>355</v>
      </c>
      <c r="D577" t="s">
        <v>136</v>
      </c>
      <c r="E577">
        <v>34459293</v>
      </c>
      <c r="F577" t="s">
        <v>356</v>
      </c>
      <c r="G577" t="s">
        <v>150</v>
      </c>
      <c r="H577" t="s">
        <v>145</v>
      </c>
    </row>
    <row r="578" spans="1:8" x14ac:dyDescent="0.2">
      <c r="A578" t="s">
        <v>1293</v>
      </c>
      <c r="B578" t="s">
        <v>1294</v>
      </c>
      <c r="C578" t="s">
        <v>347</v>
      </c>
      <c r="D578" t="s">
        <v>136</v>
      </c>
      <c r="E578">
        <v>3090000</v>
      </c>
      <c r="F578" t="s">
        <v>348</v>
      </c>
      <c r="G578" t="s">
        <v>155</v>
      </c>
      <c r="H578" t="s">
        <v>139</v>
      </c>
    </row>
    <row r="579" spans="1:8" x14ac:dyDescent="0.2">
      <c r="A579" t="s">
        <v>1295</v>
      </c>
      <c r="B579" t="s">
        <v>1296</v>
      </c>
      <c r="C579" t="s">
        <v>148</v>
      </c>
      <c r="D579" t="s">
        <v>167</v>
      </c>
      <c r="E579">
        <v>25415199</v>
      </c>
      <c r="F579" t="s">
        <v>149</v>
      </c>
      <c r="G579" t="s">
        <v>150</v>
      </c>
      <c r="H579" t="s">
        <v>145</v>
      </c>
    </row>
    <row r="580" spans="1:8" x14ac:dyDescent="0.2">
      <c r="A580" t="s">
        <v>1297</v>
      </c>
      <c r="B580" t="s">
        <v>1298</v>
      </c>
      <c r="C580" t="s">
        <v>166</v>
      </c>
      <c r="D580" t="s">
        <v>167</v>
      </c>
      <c r="E580">
        <v>20000000</v>
      </c>
      <c r="F580" t="s">
        <v>166</v>
      </c>
      <c r="G580" t="s">
        <v>166</v>
      </c>
      <c r="H580" t="s">
        <v>160</v>
      </c>
    </row>
    <row r="581" spans="1:8" x14ac:dyDescent="0.2">
      <c r="A581" t="s">
        <v>674</v>
      </c>
      <c r="B581" t="s">
        <v>3067</v>
      </c>
      <c r="C581" t="s">
        <v>578</v>
      </c>
      <c r="D581" t="s">
        <v>136</v>
      </c>
      <c r="E581">
        <v>8000000</v>
      </c>
      <c r="F581" t="s">
        <v>260</v>
      </c>
      <c r="G581" t="s">
        <v>183</v>
      </c>
      <c r="H581" t="s">
        <v>184</v>
      </c>
    </row>
    <row r="582" spans="1:8" x14ac:dyDescent="0.2">
      <c r="A582" t="s">
        <v>674</v>
      </c>
      <c r="B582" t="s">
        <v>1299</v>
      </c>
      <c r="C582" t="s">
        <v>578</v>
      </c>
      <c r="D582" t="s">
        <v>136</v>
      </c>
      <c r="E582">
        <v>11169125</v>
      </c>
      <c r="F582" t="s">
        <v>260</v>
      </c>
      <c r="G582" t="s">
        <v>183</v>
      </c>
      <c r="H582" t="s">
        <v>184</v>
      </c>
    </row>
    <row r="583" spans="1:8" x14ac:dyDescent="0.2">
      <c r="A583" t="s">
        <v>1300</v>
      </c>
      <c r="B583" t="s">
        <v>1301</v>
      </c>
      <c r="C583" t="s">
        <v>163</v>
      </c>
      <c r="D583" t="s">
        <v>136</v>
      </c>
      <c r="E583">
        <v>5500000</v>
      </c>
      <c r="F583" t="s">
        <v>137</v>
      </c>
      <c r="G583" t="s">
        <v>138</v>
      </c>
      <c r="H583" t="s">
        <v>139</v>
      </c>
    </row>
    <row r="584" spans="1:8" x14ac:dyDescent="0.2">
      <c r="A584" t="s">
        <v>674</v>
      </c>
      <c r="B584" t="s">
        <v>1302</v>
      </c>
      <c r="C584" t="s">
        <v>194</v>
      </c>
      <c r="D584" t="s">
        <v>136</v>
      </c>
      <c r="E584">
        <v>1000000</v>
      </c>
      <c r="F584" t="s">
        <v>195</v>
      </c>
      <c r="G584" t="s">
        <v>195</v>
      </c>
      <c r="H584" t="s">
        <v>184</v>
      </c>
    </row>
    <row r="585" spans="1:8" x14ac:dyDescent="0.2">
      <c r="A585" t="s">
        <v>1303</v>
      </c>
      <c r="B585" t="s">
        <v>1304</v>
      </c>
      <c r="C585" t="s">
        <v>355</v>
      </c>
      <c r="D585" t="s">
        <v>143</v>
      </c>
      <c r="E585">
        <v>27299999</v>
      </c>
      <c r="F585" t="s">
        <v>356</v>
      </c>
      <c r="G585" t="s">
        <v>150</v>
      </c>
      <c r="H585" t="s">
        <v>145</v>
      </c>
    </row>
    <row r="586" spans="1:8" x14ac:dyDescent="0.2">
      <c r="A586" t="s">
        <v>1305</v>
      </c>
      <c r="B586" t="s">
        <v>1306</v>
      </c>
      <c r="C586" t="s">
        <v>355</v>
      </c>
      <c r="D586" t="s">
        <v>136</v>
      </c>
      <c r="E586">
        <v>9000000</v>
      </c>
      <c r="F586" t="s">
        <v>356</v>
      </c>
      <c r="G586" t="s">
        <v>150</v>
      </c>
      <c r="H586" t="s">
        <v>145</v>
      </c>
    </row>
    <row r="587" spans="1:8" x14ac:dyDescent="0.2">
      <c r="A587" t="s">
        <v>674</v>
      </c>
      <c r="B587" t="s">
        <v>1307</v>
      </c>
      <c r="C587" t="s">
        <v>903</v>
      </c>
      <c r="D587" t="s">
        <v>167</v>
      </c>
      <c r="E587">
        <v>13199847</v>
      </c>
      <c r="F587" t="s">
        <v>212</v>
      </c>
      <c r="G587" t="s">
        <v>183</v>
      </c>
      <c r="H587" t="s">
        <v>184</v>
      </c>
    </row>
    <row r="588" spans="1:8" x14ac:dyDescent="0.2">
      <c r="A588" t="s">
        <v>674</v>
      </c>
      <c r="B588" t="s">
        <v>1308</v>
      </c>
      <c r="C588" t="s">
        <v>194</v>
      </c>
      <c r="D588" t="s">
        <v>167</v>
      </c>
      <c r="E588">
        <v>5612444</v>
      </c>
      <c r="F588" t="s">
        <v>195</v>
      </c>
      <c r="G588" t="s">
        <v>195</v>
      </c>
      <c r="H588" t="s">
        <v>184</v>
      </c>
    </row>
    <row r="589" spans="1:8" x14ac:dyDescent="0.2">
      <c r="A589" t="s">
        <v>674</v>
      </c>
      <c r="B589" t="s">
        <v>1309</v>
      </c>
      <c r="C589" t="s">
        <v>208</v>
      </c>
      <c r="D589" t="s">
        <v>136</v>
      </c>
      <c r="E589">
        <v>10919830</v>
      </c>
      <c r="F589" t="s">
        <v>195</v>
      </c>
      <c r="G589" t="s">
        <v>195</v>
      </c>
      <c r="H589" t="s">
        <v>184</v>
      </c>
    </row>
    <row r="590" spans="1:8" x14ac:dyDescent="0.2">
      <c r="A590" t="s">
        <v>1310</v>
      </c>
      <c r="B590" t="s">
        <v>1311</v>
      </c>
      <c r="C590" t="s">
        <v>330</v>
      </c>
      <c r="D590" t="s">
        <v>143</v>
      </c>
      <c r="E590">
        <v>235232210</v>
      </c>
      <c r="F590" t="s">
        <v>330</v>
      </c>
      <c r="G590" t="s">
        <v>312</v>
      </c>
      <c r="H590" t="s">
        <v>313</v>
      </c>
    </row>
    <row r="591" spans="1:8" x14ac:dyDescent="0.2">
      <c r="A591" t="s">
        <v>674</v>
      </c>
      <c r="B591" t="s">
        <v>1312</v>
      </c>
      <c r="C591" t="s">
        <v>211</v>
      </c>
      <c r="D591" t="s">
        <v>136</v>
      </c>
      <c r="E591">
        <v>9500000</v>
      </c>
      <c r="F591" t="s">
        <v>212</v>
      </c>
      <c r="G591" t="s">
        <v>183</v>
      </c>
      <c r="H591" t="s">
        <v>184</v>
      </c>
    </row>
    <row r="592" spans="1:8" x14ac:dyDescent="0.2">
      <c r="A592" t="s">
        <v>1313</v>
      </c>
      <c r="B592" t="s">
        <v>1314</v>
      </c>
      <c r="C592" t="s">
        <v>330</v>
      </c>
      <c r="D592" t="s">
        <v>136</v>
      </c>
      <c r="E592">
        <v>500000000</v>
      </c>
      <c r="F592" t="s">
        <v>330</v>
      </c>
      <c r="G592" t="s">
        <v>312</v>
      </c>
      <c r="H592" t="s">
        <v>313</v>
      </c>
    </row>
    <row r="593" spans="1:8" x14ac:dyDescent="0.2">
      <c r="A593" t="s">
        <v>1315</v>
      </c>
      <c r="B593" t="s">
        <v>1316</v>
      </c>
      <c r="C593" t="s">
        <v>237</v>
      </c>
      <c r="D593" t="s">
        <v>136</v>
      </c>
      <c r="E593">
        <v>30000000</v>
      </c>
      <c r="F593" t="s">
        <v>154</v>
      </c>
      <c r="G593" t="s">
        <v>155</v>
      </c>
      <c r="H593" t="s">
        <v>139</v>
      </c>
    </row>
    <row r="594" spans="1:8" x14ac:dyDescent="0.2">
      <c r="A594" t="s">
        <v>1317</v>
      </c>
      <c r="B594" t="s">
        <v>1318</v>
      </c>
      <c r="C594" t="s">
        <v>153</v>
      </c>
      <c r="D594" t="s">
        <v>136</v>
      </c>
      <c r="E594">
        <v>1108553895</v>
      </c>
      <c r="F594" t="s">
        <v>154</v>
      </c>
      <c r="G594" t="s">
        <v>155</v>
      </c>
      <c r="H594" t="s">
        <v>139</v>
      </c>
    </row>
    <row r="595" spans="1:8" x14ac:dyDescent="0.2">
      <c r="A595" t="s">
        <v>1319</v>
      </c>
      <c r="B595" t="s">
        <v>1320</v>
      </c>
      <c r="C595" t="s">
        <v>163</v>
      </c>
      <c r="D595" t="s">
        <v>136</v>
      </c>
      <c r="E595">
        <v>23778900</v>
      </c>
      <c r="F595" t="s">
        <v>137</v>
      </c>
      <c r="G595" t="s">
        <v>138</v>
      </c>
      <c r="H595" t="s">
        <v>139</v>
      </c>
    </row>
    <row r="596" spans="1:8" x14ac:dyDescent="0.2">
      <c r="A596" t="s">
        <v>1321</v>
      </c>
      <c r="B596" t="s">
        <v>1322</v>
      </c>
      <c r="C596" t="s">
        <v>237</v>
      </c>
      <c r="D596" t="s">
        <v>136</v>
      </c>
      <c r="E596">
        <v>44400000</v>
      </c>
      <c r="F596" t="s">
        <v>154</v>
      </c>
      <c r="G596" t="s">
        <v>155</v>
      </c>
      <c r="H596" t="s">
        <v>139</v>
      </c>
    </row>
    <row r="597" spans="1:8" x14ac:dyDescent="0.2">
      <c r="A597" t="s">
        <v>1323</v>
      </c>
      <c r="B597" t="s">
        <v>1324</v>
      </c>
      <c r="C597" t="s">
        <v>142</v>
      </c>
      <c r="D597" t="s">
        <v>136</v>
      </c>
      <c r="E597">
        <v>5000000</v>
      </c>
      <c r="F597" t="s">
        <v>144</v>
      </c>
      <c r="G597" t="s">
        <v>144</v>
      </c>
      <c r="H597" t="s">
        <v>145</v>
      </c>
    </row>
    <row r="598" spans="1:8" x14ac:dyDescent="0.2">
      <c r="A598" t="s">
        <v>1325</v>
      </c>
      <c r="B598" t="s">
        <v>1326</v>
      </c>
      <c r="C598" t="s">
        <v>1206</v>
      </c>
      <c r="D598" t="s">
        <v>136</v>
      </c>
      <c r="E598">
        <v>20000000</v>
      </c>
      <c r="F598" t="s">
        <v>348</v>
      </c>
      <c r="G598" t="s">
        <v>155</v>
      </c>
      <c r="H598" t="s">
        <v>139</v>
      </c>
    </row>
    <row r="599" spans="1:8" x14ac:dyDescent="0.2">
      <c r="A599" t="s">
        <v>674</v>
      </c>
      <c r="B599" t="s">
        <v>1327</v>
      </c>
      <c r="C599" t="s">
        <v>194</v>
      </c>
      <c r="D599" t="s">
        <v>167</v>
      </c>
      <c r="E599">
        <v>74769131</v>
      </c>
      <c r="F599" t="s">
        <v>195</v>
      </c>
      <c r="G599" t="s">
        <v>195</v>
      </c>
      <c r="H599" t="s">
        <v>184</v>
      </c>
    </row>
    <row r="600" spans="1:8" x14ac:dyDescent="0.2">
      <c r="A600" t="s">
        <v>1328</v>
      </c>
      <c r="B600" t="s">
        <v>1329</v>
      </c>
      <c r="C600" t="s">
        <v>434</v>
      </c>
      <c r="D600" t="s">
        <v>136</v>
      </c>
      <c r="E600">
        <v>8000000</v>
      </c>
      <c r="F600" t="s">
        <v>326</v>
      </c>
      <c r="G600" t="s">
        <v>327</v>
      </c>
      <c r="H600" t="s">
        <v>217</v>
      </c>
    </row>
    <row r="601" spans="1:8" x14ac:dyDescent="0.2">
      <c r="A601" t="s">
        <v>674</v>
      </c>
      <c r="B601" t="s">
        <v>1330</v>
      </c>
      <c r="C601" t="s">
        <v>283</v>
      </c>
      <c r="D601" t="s">
        <v>136</v>
      </c>
      <c r="E601">
        <v>3880000</v>
      </c>
      <c r="F601" t="s">
        <v>284</v>
      </c>
      <c r="G601" t="s">
        <v>183</v>
      </c>
      <c r="H601" t="s">
        <v>184</v>
      </c>
    </row>
    <row r="602" spans="1:8" x14ac:dyDescent="0.2">
      <c r="A602" t="s">
        <v>1331</v>
      </c>
      <c r="B602" t="s">
        <v>1332</v>
      </c>
      <c r="C602" t="s">
        <v>330</v>
      </c>
      <c r="D602" t="s">
        <v>136</v>
      </c>
      <c r="E602">
        <v>8306590</v>
      </c>
      <c r="F602" t="s">
        <v>330</v>
      </c>
      <c r="G602" t="s">
        <v>312</v>
      </c>
      <c r="H602" t="s">
        <v>313</v>
      </c>
    </row>
    <row r="603" spans="1:8" x14ac:dyDescent="0.2">
      <c r="A603" t="s">
        <v>109</v>
      </c>
      <c r="B603" t="s">
        <v>1333</v>
      </c>
      <c r="C603" t="s">
        <v>355</v>
      </c>
      <c r="D603" t="s">
        <v>143</v>
      </c>
      <c r="E603">
        <v>6396250200</v>
      </c>
      <c r="F603" t="s">
        <v>356</v>
      </c>
      <c r="G603" t="s">
        <v>150</v>
      </c>
      <c r="H603" t="s">
        <v>145</v>
      </c>
    </row>
    <row r="604" spans="1:8" x14ac:dyDescent="0.2">
      <c r="A604" t="s">
        <v>1334</v>
      </c>
      <c r="B604" t="s">
        <v>1335</v>
      </c>
      <c r="C604" t="s">
        <v>293</v>
      </c>
      <c r="D604" t="s">
        <v>136</v>
      </c>
      <c r="E604">
        <v>8400000</v>
      </c>
      <c r="F604" t="s">
        <v>144</v>
      </c>
      <c r="G604" t="s">
        <v>144</v>
      </c>
      <c r="H604" t="s">
        <v>145</v>
      </c>
    </row>
    <row r="605" spans="1:8" x14ac:dyDescent="0.2">
      <c r="A605" t="s">
        <v>1336</v>
      </c>
      <c r="B605" t="s">
        <v>1337</v>
      </c>
      <c r="C605" t="s">
        <v>166</v>
      </c>
      <c r="D605" t="s">
        <v>136</v>
      </c>
      <c r="E605">
        <v>60000000</v>
      </c>
      <c r="F605" t="s">
        <v>166</v>
      </c>
      <c r="G605" t="s">
        <v>166</v>
      </c>
      <c r="H605" t="s">
        <v>160</v>
      </c>
    </row>
    <row r="606" spans="1:8" x14ac:dyDescent="0.2">
      <c r="A606" t="s">
        <v>1338</v>
      </c>
      <c r="B606" t="s">
        <v>1339</v>
      </c>
      <c r="C606" t="s">
        <v>149</v>
      </c>
      <c r="D606" t="s">
        <v>136</v>
      </c>
      <c r="E606">
        <v>3800000</v>
      </c>
      <c r="F606" t="s">
        <v>149</v>
      </c>
      <c r="G606" t="s">
        <v>150</v>
      </c>
      <c r="H606" t="s">
        <v>145</v>
      </c>
    </row>
    <row r="607" spans="1:8" x14ac:dyDescent="0.2">
      <c r="A607" t="s">
        <v>674</v>
      </c>
      <c r="B607" t="s">
        <v>1340</v>
      </c>
      <c r="C607" t="s">
        <v>194</v>
      </c>
      <c r="D607" t="s">
        <v>136</v>
      </c>
      <c r="E607">
        <v>8007177</v>
      </c>
      <c r="F607" t="s">
        <v>195</v>
      </c>
      <c r="G607" t="s">
        <v>195</v>
      </c>
      <c r="H607" t="s">
        <v>184</v>
      </c>
    </row>
    <row r="608" spans="1:8" x14ac:dyDescent="0.2">
      <c r="A608" t="s">
        <v>1341</v>
      </c>
      <c r="B608" t="s">
        <v>1342</v>
      </c>
      <c r="C608" t="s">
        <v>704</v>
      </c>
      <c r="D608" t="s">
        <v>136</v>
      </c>
      <c r="E608">
        <v>10065960</v>
      </c>
      <c r="F608" t="s">
        <v>693</v>
      </c>
      <c r="G608" t="s">
        <v>668</v>
      </c>
      <c r="H608" t="s">
        <v>668</v>
      </c>
    </row>
    <row r="609" spans="1:8" x14ac:dyDescent="0.2">
      <c r="A609" t="s">
        <v>1343</v>
      </c>
      <c r="B609" t="s">
        <v>1344</v>
      </c>
      <c r="C609" t="s">
        <v>387</v>
      </c>
      <c r="D609" t="s">
        <v>136</v>
      </c>
      <c r="E609">
        <v>74206940</v>
      </c>
      <c r="F609" t="s">
        <v>311</v>
      </c>
      <c r="G609" t="s">
        <v>312</v>
      </c>
      <c r="H609" t="s">
        <v>313</v>
      </c>
    </row>
    <row r="610" spans="1:8" x14ac:dyDescent="0.2">
      <c r="A610" t="s">
        <v>1345</v>
      </c>
      <c r="B610" t="s">
        <v>1346</v>
      </c>
      <c r="C610" t="s">
        <v>166</v>
      </c>
      <c r="D610" t="s">
        <v>143</v>
      </c>
      <c r="E610">
        <v>304168581</v>
      </c>
      <c r="F610" t="s">
        <v>166</v>
      </c>
      <c r="G610" t="s">
        <v>166</v>
      </c>
      <c r="H610" t="s">
        <v>160</v>
      </c>
    </row>
    <row r="611" spans="1:8" x14ac:dyDescent="0.2">
      <c r="A611" t="s">
        <v>1347</v>
      </c>
      <c r="B611" t="s">
        <v>1348</v>
      </c>
      <c r="C611" t="s">
        <v>166</v>
      </c>
      <c r="D611" t="s">
        <v>143</v>
      </c>
      <c r="E611">
        <v>576600000</v>
      </c>
      <c r="F611" t="s">
        <v>166</v>
      </c>
      <c r="G611" t="s">
        <v>166</v>
      </c>
      <c r="H611" t="s">
        <v>160</v>
      </c>
    </row>
    <row r="612" spans="1:8" x14ac:dyDescent="0.2">
      <c r="A612" t="s">
        <v>1349</v>
      </c>
      <c r="B612" t="s">
        <v>1350</v>
      </c>
      <c r="C612" t="s">
        <v>166</v>
      </c>
      <c r="D612" t="s">
        <v>136</v>
      </c>
      <c r="E612">
        <v>6338400</v>
      </c>
      <c r="F612" t="s">
        <v>166</v>
      </c>
      <c r="G612" t="s">
        <v>166</v>
      </c>
      <c r="H612" t="s">
        <v>160</v>
      </c>
    </row>
    <row r="613" spans="1:8" x14ac:dyDescent="0.2">
      <c r="A613" t="s">
        <v>1351</v>
      </c>
      <c r="B613" t="s">
        <v>1352</v>
      </c>
      <c r="C613" t="s">
        <v>142</v>
      </c>
      <c r="D613" t="s">
        <v>143</v>
      </c>
      <c r="E613">
        <v>30206622</v>
      </c>
      <c r="F613" t="s">
        <v>144</v>
      </c>
      <c r="G613" t="s">
        <v>144</v>
      </c>
      <c r="H613" t="s">
        <v>145</v>
      </c>
    </row>
    <row r="614" spans="1:8" x14ac:dyDescent="0.2">
      <c r="A614" t="s">
        <v>1353</v>
      </c>
      <c r="B614" t="s">
        <v>1354</v>
      </c>
      <c r="C614" t="s">
        <v>434</v>
      </c>
      <c r="D614" t="s">
        <v>136</v>
      </c>
      <c r="E614">
        <v>80058970</v>
      </c>
      <c r="F614" t="s">
        <v>326</v>
      </c>
      <c r="G614" t="s">
        <v>327</v>
      </c>
      <c r="H614" t="s">
        <v>217</v>
      </c>
    </row>
    <row r="615" spans="1:8" x14ac:dyDescent="0.2">
      <c r="A615" t="s">
        <v>674</v>
      </c>
      <c r="B615" t="s">
        <v>1355</v>
      </c>
      <c r="C615" t="s">
        <v>181</v>
      </c>
      <c r="D615" t="s">
        <v>136</v>
      </c>
      <c r="E615">
        <v>7872727</v>
      </c>
      <c r="F615" t="s">
        <v>182</v>
      </c>
      <c r="G615" t="s">
        <v>183</v>
      </c>
      <c r="H615" t="s">
        <v>184</v>
      </c>
    </row>
    <row r="616" spans="1:8" x14ac:dyDescent="0.2">
      <c r="A616" t="s">
        <v>117</v>
      </c>
      <c r="B616" t="s">
        <v>1356</v>
      </c>
      <c r="C616" t="s">
        <v>355</v>
      </c>
      <c r="D616" t="s">
        <v>143</v>
      </c>
      <c r="E616">
        <v>615982309</v>
      </c>
      <c r="F616" t="s">
        <v>356</v>
      </c>
      <c r="G616" t="s">
        <v>150</v>
      </c>
      <c r="H616" t="s">
        <v>145</v>
      </c>
    </row>
    <row r="617" spans="1:8" x14ac:dyDescent="0.2">
      <c r="A617" t="s">
        <v>1357</v>
      </c>
      <c r="B617" t="s">
        <v>1358</v>
      </c>
      <c r="C617" t="s">
        <v>293</v>
      </c>
      <c r="D617" t="s">
        <v>136</v>
      </c>
      <c r="E617">
        <v>10000000</v>
      </c>
      <c r="F617" t="s">
        <v>144</v>
      </c>
      <c r="G617" t="s">
        <v>144</v>
      </c>
      <c r="H617" t="s">
        <v>145</v>
      </c>
    </row>
    <row r="618" spans="1:8" x14ac:dyDescent="0.2">
      <c r="A618" t="s">
        <v>1359</v>
      </c>
      <c r="B618" t="s">
        <v>1360</v>
      </c>
      <c r="C618" t="s">
        <v>237</v>
      </c>
      <c r="D618" t="s">
        <v>143</v>
      </c>
      <c r="E618">
        <v>35383508</v>
      </c>
      <c r="F618" t="s">
        <v>154</v>
      </c>
      <c r="G618" t="s">
        <v>155</v>
      </c>
      <c r="H618" t="s">
        <v>139</v>
      </c>
    </row>
    <row r="619" spans="1:8" x14ac:dyDescent="0.2">
      <c r="A619" t="s">
        <v>1361</v>
      </c>
      <c r="B619" t="s">
        <v>1362</v>
      </c>
      <c r="C619" t="s">
        <v>163</v>
      </c>
      <c r="D619" t="s">
        <v>136</v>
      </c>
      <c r="E619">
        <v>20500000</v>
      </c>
      <c r="F619" t="s">
        <v>137</v>
      </c>
      <c r="G619" t="s">
        <v>138</v>
      </c>
      <c r="H619" t="s">
        <v>139</v>
      </c>
    </row>
    <row r="620" spans="1:8" x14ac:dyDescent="0.2">
      <c r="A620" t="s">
        <v>674</v>
      </c>
      <c r="B620" t="s">
        <v>1363</v>
      </c>
      <c r="C620" t="s">
        <v>194</v>
      </c>
      <c r="D620" t="s">
        <v>136</v>
      </c>
      <c r="E620">
        <v>12027086</v>
      </c>
      <c r="F620" t="s">
        <v>195</v>
      </c>
      <c r="G620" t="s">
        <v>195</v>
      </c>
      <c r="H620" t="s">
        <v>184</v>
      </c>
    </row>
    <row r="621" spans="1:8" x14ac:dyDescent="0.2">
      <c r="A621" t="s">
        <v>1364</v>
      </c>
      <c r="B621" t="s">
        <v>1365</v>
      </c>
      <c r="C621" t="s">
        <v>355</v>
      </c>
      <c r="D621" t="s">
        <v>136</v>
      </c>
      <c r="E621">
        <v>15749994</v>
      </c>
      <c r="F621" t="s">
        <v>356</v>
      </c>
      <c r="G621" t="s">
        <v>150</v>
      </c>
      <c r="H621" t="s">
        <v>145</v>
      </c>
    </row>
    <row r="622" spans="1:8" x14ac:dyDescent="0.2">
      <c r="A622" t="s">
        <v>674</v>
      </c>
      <c r="B622" t="s">
        <v>1367</v>
      </c>
      <c r="C622" t="s">
        <v>194</v>
      </c>
      <c r="D622" t="s">
        <v>143</v>
      </c>
      <c r="E622">
        <v>381589911</v>
      </c>
      <c r="F622" t="s">
        <v>195</v>
      </c>
      <c r="G622" t="s">
        <v>195</v>
      </c>
      <c r="H622" t="s">
        <v>184</v>
      </c>
    </row>
    <row r="623" spans="1:8" x14ac:dyDescent="0.2">
      <c r="A623" t="s">
        <v>1368</v>
      </c>
      <c r="B623" t="s">
        <v>1369</v>
      </c>
      <c r="C623" t="s">
        <v>310</v>
      </c>
      <c r="D623" t="s">
        <v>167</v>
      </c>
      <c r="E623">
        <v>16499993</v>
      </c>
      <c r="F623" t="s">
        <v>311</v>
      </c>
      <c r="G623" t="s">
        <v>312</v>
      </c>
      <c r="H623" t="s">
        <v>313</v>
      </c>
    </row>
    <row r="624" spans="1:8" x14ac:dyDescent="0.2">
      <c r="A624" t="s">
        <v>1370</v>
      </c>
      <c r="B624" t="s">
        <v>1371</v>
      </c>
      <c r="C624" t="s">
        <v>330</v>
      </c>
      <c r="D624" t="s">
        <v>136</v>
      </c>
      <c r="E624">
        <v>23608165</v>
      </c>
      <c r="F624" t="s">
        <v>330</v>
      </c>
      <c r="G624" t="s">
        <v>312</v>
      </c>
      <c r="H624" t="s">
        <v>313</v>
      </c>
    </row>
    <row r="625" spans="1:8" x14ac:dyDescent="0.2">
      <c r="A625" t="s">
        <v>1372</v>
      </c>
      <c r="B625" t="s">
        <v>1373</v>
      </c>
      <c r="C625" t="s">
        <v>163</v>
      </c>
      <c r="D625" t="s">
        <v>143</v>
      </c>
      <c r="E625">
        <v>36002708</v>
      </c>
      <c r="F625" t="s">
        <v>137</v>
      </c>
      <c r="G625" t="s">
        <v>138</v>
      </c>
      <c r="H625" t="s">
        <v>139</v>
      </c>
    </row>
    <row r="626" spans="1:8" x14ac:dyDescent="0.2">
      <c r="A626" t="s">
        <v>674</v>
      </c>
      <c r="B626" t="s">
        <v>1375</v>
      </c>
      <c r="C626" t="s">
        <v>208</v>
      </c>
      <c r="D626" t="s">
        <v>143</v>
      </c>
      <c r="E626">
        <v>24949200</v>
      </c>
      <c r="F626" t="s">
        <v>195</v>
      </c>
      <c r="G626" t="s">
        <v>195</v>
      </c>
      <c r="H626" t="s">
        <v>184</v>
      </c>
    </row>
    <row r="627" spans="1:8" x14ac:dyDescent="0.2">
      <c r="A627" t="s">
        <v>1376</v>
      </c>
      <c r="B627" t="s">
        <v>1377</v>
      </c>
      <c r="C627" t="s">
        <v>685</v>
      </c>
      <c r="D627" t="s">
        <v>143</v>
      </c>
      <c r="E627">
        <v>12000000</v>
      </c>
      <c r="F627" t="s">
        <v>686</v>
      </c>
      <c r="G627" t="s">
        <v>686</v>
      </c>
      <c r="H627" t="s">
        <v>139</v>
      </c>
    </row>
    <row r="628" spans="1:8" x14ac:dyDescent="0.2">
      <c r="A628" t="s">
        <v>1378</v>
      </c>
      <c r="B628" t="s">
        <v>1379</v>
      </c>
      <c r="C628" t="s">
        <v>519</v>
      </c>
      <c r="D628" t="s">
        <v>136</v>
      </c>
      <c r="E628">
        <v>220000000</v>
      </c>
      <c r="F628" t="s">
        <v>229</v>
      </c>
      <c r="G628" t="s">
        <v>229</v>
      </c>
      <c r="H628" t="s">
        <v>217</v>
      </c>
    </row>
    <row r="629" spans="1:8" x14ac:dyDescent="0.2">
      <c r="A629" t="s">
        <v>1380</v>
      </c>
      <c r="B629" t="s">
        <v>1381</v>
      </c>
      <c r="C629" t="s">
        <v>166</v>
      </c>
      <c r="D629" t="s">
        <v>143</v>
      </c>
      <c r="E629">
        <v>89116411</v>
      </c>
      <c r="F629" t="s">
        <v>166</v>
      </c>
      <c r="G629" t="s">
        <v>166</v>
      </c>
      <c r="H629" t="s">
        <v>160</v>
      </c>
    </row>
    <row r="630" spans="1:8" x14ac:dyDescent="0.2">
      <c r="A630" t="s">
        <v>3139</v>
      </c>
      <c r="B630" t="s">
        <v>3140</v>
      </c>
      <c r="C630" t="s">
        <v>215</v>
      </c>
      <c r="D630" t="s">
        <v>136</v>
      </c>
      <c r="E630">
        <v>91804980</v>
      </c>
      <c r="F630" t="s">
        <v>216</v>
      </c>
      <c r="G630" t="s">
        <v>216</v>
      </c>
      <c r="H630" t="s">
        <v>217</v>
      </c>
    </row>
    <row r="631" spans="1:8" x14ac:dyDescent="0.2">
      <c r="A631" t="s">
        <v>1382</v>
      </c>
      <c r="B631" t="s">
        <v>1383</v>
      </c>
      <c r="C631" t="s">
        <v>519</v>
      </c>
      <c r="D631" t="s">
        <v>136</v>
      </c>
      <c r="E631">
        <v>20000000</v>
      </c>
      <c r="F631" t="s">
        <v>229</v>
      </c>
      <c r="G631" t="s">
        <v>229</v>
      </c>
      <c r="H631" t="s">
        <v>217</v>
      </c>
    </row>
    <row r="632" spans="1:8" x14ac:dyDescent="0.2">
      <c r="A632" t="s">
        <v>674</v>
      </c>
      <c r="B632" t="s">
        <v>1384</v>
      </c>
      <c r="C632" t="s">
        <v>826</v>
      </c>
      <c r="D632" t="s">
        <v>143</v>
      </c>
      <c r="E632">
        <v>13104000</v>
      </c>
      <c r="F632" t="s">
        <v>212</v>
      </c>
      <c r="G632" t="s">
        <v>183</v>
      </c>
      <c r="H632" t="s">
        <v>184</v>
      </c>
    </row>
    <row r="633" spans="1:8" x14ac:dyDescent="0.2">
      <c r="A633" t="s">
        <v>674</v>
      </c>
      <c r="B633" t="s">
        <v>1386</v>
      </c>
      <c r="C633" t="s">
        <v>208</v>
      </c>
      <c r="D633" t="s">
        <v>143</v>
      </c>
      <c r="E633">
        <v>10000000</v>
      </c>
      <c r="F633" t="s">
        <v>195</v>
      </c>
      <c r="G633" t="s">
        <v>195</v>
      </c>
      <c r="H633" t="s">
        <v>184</v>
      </c>
    </row>
    <row r="634" spans="1:8" x14ac:dyDescent="0.2">
      <c r="A634" t="s">
        <v>674</v>
      </c>
      <c r="B634" t="s">
        <v>1387</v>
      </c>
      <c r="C634" t="s">
        <v>208</v>
      </c>
      <c r="D634" t="s">
        <v>136</v>
      </c>
      <c r="E634">
        <v>9999944</v>
      </c>
      <c r="F634" t="s">
        <v>195</v>
      </c>
      <c r="G634" t="s">
        <v>195</v>
      </c>
      <c r="H634" t="s">
        <v>184</v>
      </c>
    </row>
    <row r="635" spans="1:8" x14ac:dyDescent="0.2">
      <c r="A635" t="s">
        <v>674</v>
      </c>
      <c r="B635" t="s">
        <v>1388</v>
      </c>
      <c r="C635" t="s">
        <v>208</v>
      </c>
      <c r="D635" t="s">
        <v>136</v>
      </c>
      <c r="E635">
        <v>15000000</v>
      </c>
      <c r="F635" t="s">
        <v>195</v>
      </c>
      <c r="G635" t="s">
        <v>195</v>
      </c>
      <c r="H635" t="s">
        <v>184</v>
      </c>
    </row>
    <row r="636" spans="1:8" x14ac:dyDescent="0.2">
      <c r="A636" t="s">
        <v>1389</v>
      </c>
      <c r="B636" t="s">
        <v>1390</v>
      </c>
      <c r="C636" t="s">
        <v>166</v>
      </c>
      <c r="D636" t="s">
        <v>136</v>
      </c>
      <c r="E636">
        <v>7500000</v>
      </c>
      <c r="F636" t="s">
        <v>166</v>
      </c>
      <c r="G636" t="s">
        <v>166</v>
      </c>
      <c r="H636" t="s">
        <v>160</v>
      </c>
    </row>
    <row r="637" spans="1:8" x14ac:dyDescent="0.2">
      <c r="A637" t="s">
        <v>674</v>
      </c>
      <c r="B637" t="s">
        <v>1392</v>
      </c>
      <c r="C637" t="s">
        <v>208</v>
      </c>
      <c r="D637" t="s">
        <v>143</v>
      </c>
      <c r="E637">
        <v>26298437</v>
      </c>
      <c r="F637" t="s">
        <v>195</v>
      </c>
      <c r="G637" t="s">
        <v>195</v>
      </c>
      <c r="H637" t="s">
        <v>184</v>
      </c>
    </row>
    <row r="638" spans="1:8" x14ac:dyDescent="0.2">
      <c r="A638" t="s">
        <v>1393</v>
      </c>
      <c r="B638" t="s">
        <v>1394</v>
      </c>
      <c r="C638" t="s">
        <v>163</v>
      </c>
      <c r="D638" t="s">
        <v>136</v>
      </c>
      <c r="E638">
        <v>19511389</v>
      </c>
      <c r="F638" t="s">
        <v>137</v>
      </c>
      <c r="G638" t="s">
        <v>138</v>
      </c>
      <c r="H638" t="s">
        <v>139</v>
      </c>
    </row>
    <row r="639" spans="1:8" x14ac:dyDescent="0.2">
      <c r="A639" t="s">
        <v>1395</v>
      </c>
      <c r="B639" t="s">
        <v>1396</v>
      </c>
      <c r="C639" t="s">
        <v>685</v>
      </c>
      <c r="D639" t="s">
        <v>167</v>
      </c>
      <c r="E639">
        <v>892511965</v>
      </c>
      <c r="F639" t="s">
        <v>686</v>
      </c>
      <c r="G639" t="s">
        <v>686</v>
      </c>
      <c r="H639" t="s">
        <v>139</v>
      </c>
    </row>
    <row r="640" spans="1:8" x14ac:dyDescent="0.2">
      <c r="A640" t="s">
        <v>1397</v>
      </c>
      <c r="B640" t="s">
        <v>1398</v>
      </c>
      <c r="C640" t="s">
        <v>153</v>
      </c>
      <c r="D640" t="s">
        <v>136</v>
      </c>
      <c r="E640">
        <v>13650000</v>
      </c>
      <c r="F640" t="s">
        <v>154</v>
      </c>
      <c r="G640" t="s">
        <v>155</v>
      </c>
      <c r="H640" t="s">
        <v>139</v>
      </c>
    </row>
    <row r="641" spans="1:8" x14ac:dyDescent="0.2">
      <c r="A641" t="s">
        <v>1399</v>
      </c>
      <c r="B641" t="s">
        <v>1400</v>
      </c>
      <c r="C641" t="s">
        <v>153</v>
      </c>
      <c r="D641" t="s">
        <v>136</v>
      </c>
      <c r="E641">
        <v>227038291</v>
      </c>
      <c r="F641" t="s">
        <v>154</v>
      </c>
      <c r="G641" t="s">
        <v>155</v>
      </c>
      <c r="H641" t="s">
        <v>139</v>
      </c>
    </row>
    <row r="642" spans="1:8" x14ac:dyDescent="0.2">
      <c r="A642" t="s">
        <v>674</v>
      </c>
      <c r="B642" t="s">
        <v>1402</v>
      </c>
      <c r="C642" t="s">
        <v>208</v>
      </c>
      <c r="D642" t="s">
        <v>143</v>
      </c>
      <c r="E642">
        <v>40644830</v>
      </c>
      <c r="F642" t="s">
        <v>195</v>
      </c>
      <c r="G642" t="s">
        <v>195</v>
      </c>
      <c r="H642" t="s">
        <v>184</v>
      </c>
    </row>
    <row r="643" spans="1:8" x14ac:dyDescent="0.2">
      <c r="A643" t="s">
        <v>1403</v>
      </c>
      <c r="B643" t="s">
        <v>1404</v>
      </c>
      <c r="C643" t="s">
        <v>1405</v>
      </c>
      <c r="D643" t="s">
        <v>143</v>
      </c>
      <c r="E643">
        <v>2214394174</v>
      </c>
      <c r="F643" t="s">
        <v>326</v>
      </c>
      <c r="G643" t="s">
        <v>327</v>
      </c>
      <c r="H643" t="s">
        <v>217</v>
      </c>
    </row>
    <row r="644" spans="1:8" x14ac:dyDescent="0.2">
      <c r="A644" t="s">
        <v>1406</v>
      </c>
      <c r="B644" t="s">
        <v>1407</v>
      </c>
      <c r="C644" t="s">
        <v>293</v>
      </c>
      <c r="D644" t="s">
        <v>167</v>
      </c>
      <c r="E644">
        <v>10988059</v>
      </c>
      <c r="F644" t="s">
        <v>144</v>
      </c>
      <c r="G644" t="s">
        <v>144</v>
      </c>
      <c r="H644" t="s">
        <v>145</v>
      </c>
    </row>
    <row r="645" spans="1:8" x14ac:dyDescent="0.2">
      <c r="A645" t="s">
        <v>674</v>
      </c>
      <c r="B645" t="s">
        <v>1409</v>
      </c>
      <c r="C645" t="s">
        <v>194</v>
      </c>
      <c r="D645" t="s">
        <v>143</v>
      </c>
      <c r="E645">
        <v>38525250</v>
      </c>
      <c r="F645" t="s">
        <v>195</v>
      </c>
      <c r="G645" t="s">
        <v>195</v>
      </c>
      <c r="H645" t="s">
        <v>184</v>
      </c>
    </row>
    <row r="646" spans="1:8" x14ac:dyDescent="0.2">
      <c r="A646" t="s">
        <v>1410</v>
      </c>
      <c r="B646" t="s">
        <v>1411</v>
      </c>
      <c r="C646" t="s">
        <v>387</v>
      </c>
      <c r="D646" t="s">
        <v>136</v>
      </c>
      <c r="E646">
        <v>87600000</v>
      </c>
      <c r="F646" t="s">
        <v>311</v>
      </c>
      <c r="G646" t="s">
        <v>312</v>
      </c>
      <c r="H646" t="s">
        <v>313</v>
      </c>
    </row>
    <row r="647" spans="1:8" x14ac:dyDescent="0.2">
      <c r="A647" t="s">
        <v>1412</v>
      </c>
      <c r="B647" t="s">
        <v>1413</v>
      </c>
      <c r="C647" t="s">
        <v>367</v>
      </c>
      <c r="D647" t="s">
        <v>136</v>
      </c>
      <c r="E647">
        <v>83150661</v>
      </c>
      <c r="F647" t="s">
        <v>159</v>
      </c>
      <c r="G647" t="s">
        <v>159</v>
      </c>
      <c r="H647" t="s">
        <v>160</v>
      </c>
    </row>
    <row r="648" spans="1:8" x14ac:dyDescent="0.2">
      <c r="A648" t="s">
        <v>1414</v>
      </c>
      <c r="B648" t="s">
        <v>1415</v>
      </c>
      <c r="C648" t="s">
        <v>215</v>
      </c>
      <c r="D648" t="s">
        <v>136</v>
      </c>
      <c r="E648">
        <v>9000000</v>
      </c>
      <c r="F648" t="s">
        <v>216</v>
      </c>
      <c r="G648" t="s">
        <v>216</v>
      </c>
      <c r="H648" t="s">
        <v>217</v>
      </c>
    </row>
    <row r="649" spans="1:8" x14ac:dyDescent="0.2">
      <c r="A649" t="s">
        <v>674</v>
      </c>
      <c r="B649" t="s">
        <v>1416</v>
      </c>
      <c r="C649" t="s">
        <v>208</v>
      </c>
      <c r="D649" t="s">
        <v>136</v>
      </c>
      <c r="E649">
        <v>3800000</v>
      </c>
      <c r="F649" t="s">
        <v>195</v>
      </c>
      <c r="G649" t="s">
        <v>195</v>
      </c>
      <c r="H649" t="s">
        <v>184</v>
      </c>
    </row>
    <row r="650" spans="1:8" x14ac:dyDescent="0.2">
      <c r="A650" t="s">
        <v>1417</v>
      </c>
      <c r="B650" t="s">
        <v>1418</v>
      </c>
      <c r="C650" t="s">
        <v>153</v>
      </c>
      <c r="D650" t="s">
        <v>136</v>
      </c>
      <c r="E650">
        <v>12807000</v>
      </c>
      <c r="F650" t="s">
        <v>154</v>
      </c>
      <c r="G650" t="s">
        <v>155</v>
      </c>
      <c r="H650" t="s">
        <v>139</v>
      </c>
    </row>
    <row r="651" spans="1:8" x14ac:dyDescent="0.2">
      <c r="A651" t="s">
        <v>674</v>
      </c>
      <c r="B651" t="s">
        <v>1419</v>
      </c>
      <c r="C651" t="s">
        <v>208</v>
      </c>
      <c r="D651" t="s">
        <v>167</v>
      </c>
      <c r="E651">
        <v>20000000</v>
      </c>
      <c r="F651" t="s">
        <v>195</v>
      </c>
      <c r="G651" t="s">
        <v>195</v>
      </c>
      <c r="H651" t="s">
        <v>184</v>
      </c>
    </row>
    <row r="652" spans="1:8" x14ac:dyDescent="0.2">
      <c r="A652" t="s">
        <v>674</v>
      </c>
      <c r="B652" t="s">
        <v>1420</v>
      </c>
      <c r="C652" t="s">
        <v>208</v>
      </c>
      <c r="D652" t="s">
        <v>136</v>
      </c>
      <c r="E652">
        <v>4000000</v>
      </c>
      <c r="F652" t="s">
        <v>195</v>
      </c>
      <c r="G652" t="s">
        <v>195</v>
      </c>
      <c r="H652" t="s">
        <v>184</v>
      </c>
    </row>
    <row r="653" spans="1:8" x14ac:dyDescent="0.2">
      <c r="A653" t="s">
        <v>674</v>
      </c>
      <c r="B653" t="s">
        <v>1421</v>
      </c>
      <c r="C653" t="s">
        <v>208</v>
      </c>
      <c r="D653" t="s">
        <v>136</v>
      </c>
      <c r="E653">
        <v>20399960</v>
      </c>
      <c r="F653" t="s">
        <v>195</v>
      </c>
      <c r="G653" t="s">
        <v>195</v>
      </c>
      <c r="H653" t="s">
        <v>184</v>
      </c>
    </row>
    <row r="654" spans="1:8" x14ac:dyDescent="0.2">
      <c r="A654" t="s">
        <v>1422</v>
      </c>
      <c r="B654" t="s">
        <v>1423</v>
      </c>
      <c r="C654" t="s">
        <v>704</v>
      </c>
      <c r="D654" t="s">
        <v>143</v>
      </c>
      <c r="E654">
        <v>32185000</v>
      </c>
      <c r="F654" t="s">
        <v>693</v>
      </c>
      <c r="G654" t="s">
        <v>668</v>
      </c>
      <c r="H654" t="s">
        <v>668</v>
      </c>
    </row>
    <row r="655" spans="1:8" x14ac:dyDescent="0.2">
      <c r="A655" t="s">
        <v>1424</v>
      </c>
      <c r="B655" t="s">
        <v>1425</v>
      </c>
      <c r="C655" t="s">
        <v>166</v>
      </c>
      <c r="D655" t="s">
        <v>167</v>
      </c>
      <c r="E655">
        <v>329999929</v>
      </c>
      <c r="F655" t="s">
        <v>166</v>
      </c>
      <c r="G655" t="s">
        <v>166</v>
      </c>
      <c r="H655" t="s">
        <v>160</v>
      </c>
    </row>
    <row r="656" spans="1:8" x14ac:dyDescent="0.2">
      <c r="A656" t="s">
        <v>1426</v>
      </c>
      <c r="B656" t="s">
        <v>1427</v>
      </c>
      <c r="C656" t="s">
        <v>153</v>
      </c>
      <c r="D656" t="s">
        <v>143</v>
      </c>
      <c r="E656">
        <v>273172668</v>
      </c>
      <c r="F656" t="s">
        <v>154</v>
      </c>
      <c r="G656" t="s">
        <v>155</v>
      </c>
      <c r="H656" t="s">
        <v>139</v>
      </c>
    </row>
    <row r="657" spans="1:8" x14ac:dyDescent="0.2">
      <c r="A657" t="s">
        <v>1428</v>
      </c>
      <c r="B657" t="s">
        <v>1429</v>
      </c>
      <c r="C657" t="s">
        <v>166</v>
      </c>
      <c r="D657" t="s">
        <v>167</v>
      </c>
      <c r="E657">
        <v>173490193</v>
      </c>
      <c r="F657" t="s">
        <v>166</v>
      </c>
      <c r="G657" t="s">
        <v>166</v>
      </c>
      <c r="H657" t="s">
        <v>160</v>
      </c>
    </row>
    <row r="658" spans="1:8" x14ac:dyDescent="0.2">
      <c r="A658" t="s">
        <v>1430</v>
      </c>
      <c r="B658" t="s">
        <v>1431</v>
      </c>
      <c r="C658" t="s">
        <v>237</v>
      </c>
      <c r="D658" t="s">
        <v>136</v>
      </c>
      <c r="E658">
        <v>61804472</v>
      </c>
      <c r="F658" t="s">
        <v>154</v>
      </c>
      <c r="G658" t="s">
        <v>155</v>
      </c>
      <c r="H658" t="s">
        <v>139</v>
      </c>
    </row>
    <row r="659" spans="1:8" x14ac:dyDescent="0.2">
      <c r="A659" t="s">
        <v>1432</v>
      </c>
      <c r="B659" t="s">
        <v>1433</v>
      </c>
      <c r="C659" t="s">
        <v>166</v>
      </c>
      <c r="D659" t="s">
        <v>167</v>
      </c>
      <c r="E659">
        <v>35858385</v>
      </c>
      <c r="F659" t="s">
        <v>166</v>
      </c>
      <c r="G659" t="s">
        <v>166</v>
      </c>
      <c r="H659" t="s">
        <v>160</v>
      </c>
    </row>
    <row r="660" spans="1:8" x14ac:dyDescent="0.2">
      <c r="A660" t="s">
        <v>1434</v>
      </c>
      <c r="B660" t="s">
        <v>1435</v>
      </c>
      <c r="C660" t="s">
        <v>404</v>
      </c>
      <c r="D660" t="s">
        <v>136</v>
      </c>
      <c r="E660">
        <v>87140984</v>
      </c>
      <c r="F660" t="s">
        <v>348</v>
      </c>
      <c r="G660" t="s">
        <v>155</v>
      </c>
      <c r="H660" t="s">
        <v>139</v>
      </c>
    </row>
    <row r="661" spans="1:8" x14ac:dyDescent="0.2">
      <c r="A661" t="s">
        <v>1436</v>
      </c>
      <c r="B661" t="s">
        <v>1437</v>
      </c>
      <c r="C661" t="s">
        <v>215</v>
      </c>
      <c r="D661" t="s">
        <v>136</v>
      </c>
      <c r="E661">
        <v>2141928</v>
      </c>
      <c r="F661" t="s">
        <v>216</v>
      </c>
      <c r="G661" t="s">
        <v>216</v>
      </c>
      <c r="H661" t="s">
        <v>217</v>
      </c>
    </row>
    <row r="662" spans="1:8" x14ac:dyDescent="0.2">
      <c r="A662" t="s">
        <v>1438</v>
      </c>
      <c r="B662" t="s">
        <v>1439</v>
      </c>
      <c r="C662" t="s">
        <v>166</v>
      </c>
      <c r="D662" t="s">
        <v>143</v>
      </c>
      <c r="E662">
        <v>377748384</v>
      </c>
      <c r="F662" t="s">
        <v>166</v>
      </c>
      <c r="G662" t="s">
        <v>166</v>
      </c>
      <c r="H662" t="s">
        <v>160</v>
      </c>
    </row>
    <row r="663" spans="1:8" x14ac:dyDescent="0.2">
      <c r="A663" t="s">
        <v>1440</v>
      </c>
      <c r="B663" t="s">
        <v>1441</v>
      </c>
      <c r="C663" t="s">
        <v>153</v>
      </c>
      <c r="D663" t="s">
        <v>136</v>
      </c>
      <c r="E663">
        <v>18529939</v>
      </c>
      <c r="F663" t="s">
        <v>154</v>
      </c>
      <c r="G663" t="s">
        <v>155</v>
      </c>
      <c r="H663" t="s">
        <v>139</v>
      </c>
    </row>
    <row r="664" spans="1:8" x14ac:dyDescent="0.2">
      <c r="A664" t="s">
        <v>674</v>
      </c>
      <c r="B664" t="s">
        <v>1442</v>
      </c>
      <c r="C664" t="s">
        <v>211</v>
      </c>
      <c r="D664" t="s">
        <v>143</v>
      </c>
      <c r="E664">
        <v>24502245</v>
      </c>
      <c r="F664" t="s">
        <v>212</v>
      </c>
      <c r="G664" t="s">
        <v>183</v>
      </c>
      <c r="H664" t="s">
        <v>184</v>
      </c>
    </row>
    <row r="665" spans="1:8" x14ac:dyDescent="0.2">
      <c r="A665" t="s">
        <v>674</v>
      </c>
      <c r="B665" t="s">
        <v>1443</v>
      </c>
      <c r="C665" t="s">
        <v>575</v>
      </c>
      <c r="D665" t="s">
        <v>136</v>
      </c>
      <c r="E665">
        <v>6100391</v>
      </c>
      <c r="F665" t="s">
        <v>182</v>
      </c>
      <c r="G665" t="s">
        <v>183</v>
      </c>
      <c r="H665" t="s">
        <v>184</v>
      </c>
    </row>
    <row r="666" spans="1:8" x14ac:dyDescent="0.2">
      <c r="A666" t="s">
        <v>674</v>
      </c>
      <c r="B666" t="s">
        <v>1444</v>
      </c>
      <c r="C666" t="s">
        <v>283</v>
      </c>
      <c r="D666" t="s">
        <v>136</v>
      </c>
      <c r="E666">
        <v>36000000</v>
      </c>
      <c r="F666" t="s">
        <v>284</v>
      </c>
      <c r="G666" t="s">
        <v>183</v>
      </c>
      <c r="H666" t="s">
        <v>184</v>
      </c>
    </row>
    <row r="667" spans="1:8" x14ac:dyDescent="0.2">
      <c r="A667" t="s">
        <v>674</v>
      </c>
      <c r="B667" t="s">
        <v>1445</v>
      </c>
      <c r="C667" t="s">
        <v>289</v>
      </c>
      <c r="D667" t="s">
        <v>136</v>
      </c>
      <c r="E667">
        <v>3599948</v>
      </c>
      <c r="F667" t="s">
        <v>290</v>
      </c>
      <c r="G667" t="s">
        <v>183</v>
      </c>
      <c r="H667" t="s">
        <v>184</v>
      </c>
    </row>
    <row r="668" spans="1:8" x14ac:dyDescent="0.2">
      <c r="A668" t="s">
        <v>1446</v>
      </c>
      <c r="B668" t="s">
        <v>1447</v>
      </c>
      <c r="C668" t="s">
        <v>240</v>
      </c>
      <c r="D668" t="s">
        <v>143</v>
      </c>
      <c r="E668">
        <v>77038281</v>
      </c>
      <c r="F668" t="s">
        <v>240</v>
      </c>
      <c r="G668" t="s">
        <v>241</v>
      </c>
      <c r="H668" t="s">
        <v>242</v>
      </c>
    </row>
    <row r="669" spans="1:8" x14ac:dyDescent="0.2">
      <c r="A669" t="s">
        <v>1448</v>
      </c>
      <c r="B669" t="s">
        <v>1449</v>
      </c>
      <c r="C669" t="s">
        <v>215</v>
      </c>
      <c r="D669" t="s">
        <v>136</v>
      </c>
      <c r="E669">
        <v>1200000</v>
      </c>
      <c r="F669" t="s">
        <v>216</v>
      </c>
      <c r="G669" t="s">
        <v>216</v>
      </c>
      <c r="H669" t="s">
        <v>217</v>
      </c>
    </row>
    <row r="670" spans="1:8" x14ac:dyDescent="0.2">
      <c r="A670" t="s">
        <v>674</v>
      </c>
      <c r="B670" t="s">
        <v>1450</v>
      </c>
      <c r="C670" t="s">
        <v>208</v>
      </c>
      <c r="D670" t="s">
        <v>167</v>
      </c>
      <c r="E670">
        <v>1800000</v>
      </c>
      <c r="F670" t="s">
        <v>195</v>
      </c>
      <c r="G670" t="s">
        <v>195</v>
      </c>
      <c r="H670" t="s">
        <v>184</v>
      </c>
    </row>
    <row r="671" spans="1:8" x14ac:dyDescent="0.2">
      <c r="A671" t="s">
        <v>674</v>
      </c>
      <c r="B671" t="s">
        <v>1451</v>
      </c>
      <c r="C671" t="s">
        <v>208</v>
      </c>
      <c r="D671" t="s">
        <v>136</v>
      </c>
      <c r="E671">
        <v>20809702</v>
      </c>
      <c r="F671" t="s">
        <v>195</v>
      </c>
      <c r="G671" t="s">
        <v>195</v>
      </c>
      <c r="H671" t="s">
        <v>184</v>
      </c>
    </row>
    <row r="672" spans="1:8" x14ac:dyDescent="0.2">
      <c r="A672" t="s">
        <v>674</v>
      </c>
      <c r="B672" t="s">
        <v>1452</v>
      </c>
      <c r="C672" t="s">
        <v>283</v>
      </c>
      <c r="D672" t="s">
        <v>167</v>
      </c>
      <c r="E672">
        <v>18000000</v>
      </c>
      <c r="F672" t="s">
        <v>284</v>
      </c>
      <c r="G672" t="s">
        <v>183</v>
      </c>
      <c r="H672" t="s">
        <v>184</v>
      </c>
    </row>
    <row r="673" spans="1:8" x14ac:dyDescent="0.2">
      <c r="A673" t="s">
        <v>674</v>
      </c>
      <c r="B673" t="s">
        <v>1453</v>
      </c>
      <c r="C673" t="s">
        <v>181</v>
      </c>
      <c r="D673" t="s">
        <v>167</v>
      </c>
      <c r="E673">
        <v>213835775</v>
      </c>
      <c r="F673" t="s">
        <v>182</v>
      </c>
      <c r="G673" t="s">
        <v>183</v>
      </c>
      <c r="H673" t="s">
        <v>184</v>
      </c>
    </row>
    <row r="674" spans="1:8" x14ac:dyDescent="0.2">
      <c r="A674" t="s">
        <v>1454</v>
      </c>
      <c r="B674" t="s">
        <v>1455</v>
      </c>
      <c r="C674" t="s">
        <v>142</v>
      </c>
      <c r="D674" t="s">
        <v>136</v>
      </c>
      <c r="E674">
        <v>17500000</v>
      </c>
      <c r="F674" t="s">
        <v>144</v>
      </c>
      <c r="G674" t="s">
        <v>144</v>
      </c>
      <c r="H674" t="s">
        <v>145</v>
      </c>
    </row>
    <row r="675" spans="1:8" x14ac:dyDescent="0.2">
      <c r="A675" t="s">
        <v>674</v>
      </c>
      <c r="B675" t="s">
        <v>1456</v>
      </c>
      <c r="C675" t="s">
        <v>826</v>
      </c>
      <c r="D675" t="s">
        <v>136</v>
      </c>
      <c r="E675">
        <v>8800000</v>
      </c>
      <c r="F675" t="s">
        <v>212</v>
      </c>
      <c r="G675" t="s">
        <v>183</v>
      </c>
      <c r="H675" t="s">
        <v>184</v>
      </c>
    </row>
    <row r="676" spans="1:8" x14ac:dyDescent="0.2">
      <c r="A676" t="s">
        <v>1457</v>
      </c>
      <c r="B676" t="s">
        <v>1458</v>
      </c>
      <c r="C676" t="s">
        <v>330</v>
      </c>
      <c r="D676" t="s">
        <v>136</v>
      </c>
      <c r="E676">
        <v>45000000</v>
      </c>
      <c r="F676" t="s">
        <v>330</v>
      </c>
      <c r="G676" t="s">
        <v>312</v>
      </c>
      <c r="H676" t="s">
        <v>313</v>
      </c>
    </row>
    <row r="677" spans="1:8" x14ac:dyDescent="0.2">
      <c r="A677" t="s">
        <v>674</v>
      </c>
      <c r="B677" t="s">
        <v>1459</v>
      </c>
      <c r="C677" t="s">
        <v>211</v>
      </c>
      <c r="D677" t="s">
        <v>136</v>
      </c>
      <c r="E677">
        <v>12008672</v>
      </c>
      <c r="F677" t="s">
        <v>212</v>
      </c>
      <c r="G677" t="s">
        <v>183</v>
      </c>
      <c r="H677" t="s">
        <v>184</v>
      </c>
    </row>
    <row r="678" spans="1:8" x14ac:dyDescent="0.2">
      <c r="A678" t="s">
        <v>1460</v>
      </c>
      <c r="B678" t="s">
        <v>1461</v>
      </c>
      <c r="C678" t="s">
        <v>166</v>
      </c>
      <c r="D678" t="s">
        <v>143</v>
      </c>
      <c r="E678">
        <v>938463607</v>
      </c>
      <c r="F678" t="s">
        <v>166</v>
      </c>
      <c r="G678" t="s">
        <v>166</v>
      </c>
      <c r="H678" t="s">
        <v>160</v>
      </c>
    </row>
    <row r="679" spans="1:8" x14ac:dyDescent="0.2">
      <c r="A679" t="s">
        <v>1462</v>
      </c>
      <c r="B679" t="s">
        <v>1463</v>
      </c>
      <c r="C679" t="s">
        <v>166</v>
      </c>
      <c r="D679" t="s">
        <v>143</v>
      </c>
      <c r="E679">
        <v>96375409</v>
      </c>
      <c r="F679" t="s">
        <v>166</v>
      </c>
      <c r="G679" t="s">
        <v>166</v>
      </c>
      <c r="H679" t="s">
        <v>160</v>
      </c>
    </row>
    <row r="680" spans="1:8" x14ac:dyDescent="0.2">
      <c r="A680" t="s">
        <v>1464</v>
      </c>
      <c r="B680" t="s">
        <v>1465</v>
      </c>
      <c r="C680" t="s">
        <v>704</v>
      </c>
      <c r="D680" t="s">
        <v>143</v>
      </c>
      <c r="E680">
        <v>24533591</v>
      </c>
      <c r="F680" t="s">
        <v>693</v>
      </c>
      <c r="G680" t="s">
        <v>668</v>
      </c>
      <c r="H680" t="s">
        <v>668</v>
      </c>
    </row>
    <row r="681" spans="1:8" x14ac:dyDescent="0.2">
      <c r="A681" t="s">
        <v>1467</v>
      </c>
      <c r="B681" t="s">
        <v>1468</v>
      </c>
      <c r="C681" t="s">
        <v>355</v>
      </c>
      <c r="D681" t="s">
        <v>167</v>
      </c>
      <c r="E681">
        <v>31843305</v>
      </c>
      <c r="F681" t="s">
        <v>356</v>
      </c>
      <c r="G681" t="s">
        <v>150</v>
      </c>
      <c r="H681" t="s">
        <v>145</v>
      </c>
    </row>
    <row r="682" spans="1:8" x14ac:dyDescent="0.2">
      <c r="A682" t="s">
        <v>674</v>
      </c>
      <c r="B682" t="s">
        <v>1469</v>
      </c>
      <c r="C682" t="s">
        <v>289</v>
      </c>
      <c r="D682" t="s">
        <v>136</v>
      </c>
      <c r="E682">
        <v>26459924</v>
      </c>
      <c r="F682" t="s">
        <v>290</v>
      </c>
      <c r="G682" t="s">
        <v>183</v>
      </c>
      <c r="H682" t="s">
        <v>184</v>
      </c>
    </row>
    <row r="683" spans="1:8" x14ac:dyDescent="0.2">
      <c r="A683" t="s">
        <v>1470</v>
      </c>
      <c r="B683" t="s">
        <v>1471</v>
      </c>
      <c r="C683" t="s">
        <v>158</v>
      </c>
      <c r="D683" t="s">
        <v>167</v>
      </c>
      <c r="E683">
        <v>69350000</v>
      </c>
      <c r="F683" t="s">
        <v>159</v>
      </c>
      <c r="G683" t="s">
        <v>159</v>
      </c>
      <c r="H683" t="s">
        <v>160</v>
      </c>
    </row>
    <row r="684" spans="1:8" x14ac:dyDescent="0.2">
      <c r="A684" t="s">
        <v>1472</v>
      </c>
      <c r="B684" t="s">
        <v>1473</v>
      </c>
      <c r="C684" t="s">
        <v>153</v>
      </c>
      <c r="D684" t="s">
        <v>136</v>
      </c>
      <c r="E684">
        <v>15322723</v>
      </c>
      <c r="F684" t="s">
        <v>154</v>
      </c>
      <c r="G684" t="s">
        <v>155</v>
      </c>
      <c r="H684" t="s">
        <v>139</v>
      </c>
    </row>
    <row r="685" spans="1:8" x14ac:dyDescent="0.2">
      <c r="A685" t="s">
        <v>1474</v>
      </c>
      <c r="B685" t="s">
        <v>1475</v>
      </c>
      <c r="C685" t="s">
        <v>268</v>
      </c>
      <c r="D685" t="s">
        <v>143</v>
      </c>
      <c r="E685">
        <v>112500171</v>
      </c>
      <c r="F685" t="s">
        <v>269</v>
      </c>
      <c r="G685" t="s">
        <v>241</v>
      </c>
      <c r="H685" t="s">
        <v>242</v>
      </c>
    </row>
    <row r="686" spans="1:8" x14ac:dyDescent="0.2">
      <c r="A686" t="s">
        <v>1476</v>
      </c>
      <c r="B686" t="s">
        <v>1477</v>
      </c>
      <c r="C686" t="s">
        <v>166</v>
      </c>
      <c r="D686" t="s">
        <v>136</v>
      </c>
      <c r="E686">
        <v>23999999</v>
      </c>
      <c r="F686" t="s">
        <v>166</v>
      </c>
      <c r="G686" t="s">
        <v>166</v>
      </c>
      <c r="H686" t="s">
        <v>160</v>
      </c>
    </row>
    <row r="687" spans="1:8" x14ac:dyDescent="0.2">
      <c r="A687" t="s">
        <v>1478</v>
      </c>
      <c r="B687" t="s">
        <v>1479</v>
      </c>
      <c r="C687" t="s">
        <v>166</v>
      </c>
      <c r="D687" t="s">
        <v>143</v>
      </c>
      <c r="E687">
        <v>767604759</v>
      </c>
      <c r="F687" t="s">
        <v>166</v>
      </c>
      <c r="G687" t="s">
        <v>166</v>
      </c>
      <c r="H687" t="s">
        <v>160</v>
      </c>
    </row>
    <row r="688" spans="1:8" x14ac:dyDescent="0.2">
      <c r="A688" t="s">
        <v>1480</v>
      </c>
      <c r="B688" t="s">
        <v>1481</v>
      </c>
      <c r="C688" t="s">
        <v>149</v>
      </c>
      <c r="D688" t="s">
        <v>136</v>
      </c>
      <c r="E688">
        <v>8000000</v>
      </c>
      <c r="F688" t="s">
        <v>149</v>
      </c>
      <c r="G688" t="s">
        <v>150</v>
      </c>
      <c r="H688" t="s">
        <v>145</v>
      </c>
    </row>
    <row r="689" spans="1:8" x14ac:dyDescent="0.2">
      <c r="A689" t="s">
        <v>674</v>
      </c>
      <c r="B689" t="s">
        <v>1482</v>
      </c>
      <c r="C689" t="s">
        <v>194</v>
      </c>
      <c r="D689" t="s">
        <v>136</v>
      </c>
      <c r="E689">
        <v>1500000</v>
      </c>
      <c r="F689" t="s">
        <v>195</v>
      </c>
      <c r="G689" t="s">
        <v>195</v>
      </c>
      <c r="H689" t="s">
        <v>184</v>
      </c>
    </row>
    <row r="690" spans="1:8" x14ac:dyDescent="0.2">
      <c r="A690" t="s">
        <v>1483</v>
      </c>
      <c r="B690" t="s">
        <v>1484</v>
      </c>
      <c r="C690" t="s">
        <v>237</v>
      </c>
      <c r="D690" t="s">
        <v>143</v>
      </c>
      <c r="E690">
        <v>289806316</v>
      </c>
      <c r="F690" t="s">
        <v>154</v>
      </c>
      <c r="G690" t="s">
        <v>155</v>
      </c>
      <c r="H690" t="s">
        <v>139</v>
      </c>
    </row>
    <row r="691" spans="1:8" x14ac:dyDescent="0.2">
      <c r="A691" t="s">
        <v>1485</v>
      </c>
      <c r="B691" t="s">
        <v>1486</v>
      </c>
      <c r="C691" t="s">
        <v>166</v>
      </c>
      <c r="D691" t="s">
        <v>143</v>
      </c>
      <c r="E691">
        <v>909403715</v>
      </c>
      <c r="F691" t="s">
        <v>166</v>
      </c>
      <c r="G691" t="s">
        <v>166</v>
      </c>
      <c r="H691" t="s">
        <v>160</v>
      </c>
    </row>
    <row r="692" spans="1:8" x14ac:dyDescent="0.2">
      <c r="A692" t="s">
        <v>674</v>
      </c>
      <c r="B692" t="s">
        <v>1487</v>
      </c>
      <c r="C692" t="s">
        <v>208</v>
      </c>
      <c r="D692" t="s">
        <v>167</v>
      </c>
      <c r="E692">
        <v>7596981</v>
      </c>
      <c r="F692" t="s">
        <v>195</v>
      </c>
      <c r="G692" t="s">
        <v>195</v>
      </c>
      <c r="H692" t="s">
        <v>184</v>
      </c>
    </row>
    <row r="693" spans="1:8" x14ac:dyDescent="0.2">
      <c r="A693" t="s">
        <v>1488</v>
      </c>
      <c r="B693" t="s">
        <v>1489</v>
      </c>
      <c r="C693" t="s">
        <v>519</v>
      </c>
      <c r="D693" t="s">
        <v>136</v>
      </c>
      <c r="E693">
        <v>25430000</v>
      </c>
      <c r="F693" t="s">
        <v>229</v>
      </c>
      <c r="G693" t="s">
        <v>229</v>
      </c>
      <c r="H693" t="s">
        <v>217</v>
      </c>
    </row>
    <row r="694" spans="1:8" x14ac:dyDescent="0.2">
      <c r="A694" t="s">
        <v>1490</v>
      </c>
      <c r="B694" t="s">
        <v>1491</v>
      </c>
      <c r="C694" t="s">
        <v>149</v>
      </c>
      <c r="D694" t="s">
        <v>136</v>
      </c>
      <c r="E694">
        <v>3262818</v>
      </c>
      <c r="F694" t="s">
        <v>149</v>
      </c>
      <c r="G694" t="s">
        <v>150</v>
      </c>
      <c r="H694" t="s">
        <v>145</v>
      </c>
    </row>
    <row r="695" spans="1:8" x14ac:dyDescent="0.2">
      <c r="A695" t="s">
        <v>1492</v>
      </c>
      <c r="B695" t="s">
        <v>1493</v>
      </c>
      <c r="C695" t="s">
        <v>166</v>
      </c>
      <c r="D695" t="s">
        <v>143</v>
      </c>
      <c r="E695">
        <v>449435205</v>
      </c>
      <c r="F695" t="s">
        <v>166</v>
      </c>
      <c r="G695" t="s">
        <v>166</v>
      </c>
      <c r="H695" t="s">
        <v>160</v>
      </c>
    </row>
    <row r="696" spans="1:8" x14ac:dyDescent="0.2">
      <c r="A696" t="s">
        <v>674</v>
      </c>
      <c r="B696" t="s">
        <v>1494</v>
      </c>
      <c r="C696" t="s">
        <v>194</v>
      </c>
      <c r="D696" t="s">
        <v>136</v>
      </c>
      <c r="E696">
        <v>12000000</v>
      </c>
      <c r="F696" t="s">
        <v>195</v>
      </c>
      <c r="G696" t="s">
        <v>195</v>
      </c>
      <c r="H696" t="s">
        <v>184</v>
      </c>
    </row>
    <row r="697" spans="1:8" x14ac:dyDescent="0.2">
      <c r="A697" t="s">
        <v>1495</v>
      </c>
      <c r="B697" t="s">
        <v>1496</v>
      </c>
      <c r="C697" t="s">
        <v>330</v>
      </c>
      <c r="D697" t="s">
        <v>143</v>
      </c>
      <c r="E697">
        <v>60405967</v>
      </c>
      <c r="F697" t="s">
        <v>330</v>
      </c>
      <c r="G697" t="s">
        <v>312</v>
      </c>
      <c r="H697" t="s">
        <v>313</v>
      </c>
    </row>
    <row r="698" spans="1:8" x14ac:dyDescent="0.2">
      <c r="A698" t="s">
        <v>1497</v>
      </c>
      <c r="B698" t="s">
        <v>1498</v>
      </c>
      <c r="C698" t="s">
        <v>153</v>
      </c>
      <c r="D698" t="s">
        <v>167</v>
      </c>
      <c r="E698">
        <v>12090969</v>
      </c>
      <c r="F698" t="s">
        <v>154</v>
      </c>
      <c r="G698" t="s">
        <v>155</v>
      </c>
      <c r="H698" t="s">
        <v>139</v>
      </c>
    </row>
    <row r="699" spans="1:8" x14ac:dyDescent="0.2">
      <c r="A699" t="s">
        <v>1499</v>
      </c>
      <c r="B699" t="s">
        <v>1500</v>
      </c>
      <c r="C699" t="s">
        <v>387</v>
      </c>
      <c r="D699" t="s">
        <v>136</v>
      </c>
      <c r="E699">
        <v>28599996</v>
      </c>
      <c r="F699" t="s">
        <v>311</v>
      </c>
      <c r="G699" t="s">
        <v>312</v>
      </c>
      <c r="H699" t="s">
        <v>313</v>
      </c>
    </row>
    <row r="700" spans="1:8" x14ac:dyDescent="0.2">
      <c r="A700" t="s">
        <v>674</v>
      </c>
      <c r="B700" t="s">
        <v>1501</v>
      </c>
      <c r="C700" t="s">
        <v>259</v>
      </c>
      <c r="D700" t="s">
        <v>136</v>
      </c>
      <c r="E700">
        <v>9800000</v>
      </c>
      <c r="F700" t="s">
        <v>260</v>
      </c>
      <c r="G700" t="s">
        <v>183</v>
      </c>
      <c r="H700" t="s">
        <v>184</v>
      </c>
    </row>
    <row r="701" spans="1:8" x14ac:dyDescent="0.2">
      <c r="A701" t="s">
        <v>1502</v>
      </c>
      <c r="B701" t="s">
        <v>1503</v>
      </c>
      <c r="C701" t="s">
        <v>355</v>
      </c>
      <c r="D701" t="s">
        <v>167</v>
      </c>
      <c r="E701">
        <v>5200000</v>
      </c>
      <c r="F701" t="s">
        <v>356</v>
      </c>
      <c r="G701" t="s">
        <v>150</v>
      </c>
      <c r="H701" t="s">
        <v>145</v>
      </c>
    </row>
    <row r="702" spans="1:8" x14ac:dyDescent="0.2">
      <c r="A702" t="s">
        <v>1504</v>
      </c>
      <c r="B702" t="s">
        <v>1505</v>
      </c>
      <c r="C702" t="s">
        <v>170</v>
      </c>
      <c r="D702" t="s">
        <v>136</v>
      </c>
      <c r="E702">
        <v>365281878</v>
      </c>
      <c r="F702" t="s">
        <v>170</v>
      </c>
      <c r="G702" t="s">
        <v>170</v>
      </c>
      <c r="H702" t="s">
        <v>170</v>
      </c>
    </row>
    <row r="703" spans="1:8" x14ac:dyDescent="0.2">
      <c r="A703" t="s">
        <v>1506</v>
      </c>
      <c r="B703" t="s">
        <v>1507</v>
      </c>
      <c r="C703" t="s">
        <v>897</v>
      </c>
      <c r="D703" t="s">
        <v>136</v>
      </c>
      <c r="E703">
        <v>165352561</v>
      </c>
      <c r="F703" t="s">
        <v>326</v>
      </c>
      <c r="G703" t="s">
        <v>327</v>
      </c>
      <c r="H703" t="s">
        <v>217</v>
      </c>
    </row>
    <row r="704" spans="1:8" x14ac:dyDescent="0.2">
      <c r="A704" t="s">
        <v>1509</v>
      </c>
      <c r="B704" t="s">
        <v>1510</v>
      </c>
      <c r="C704" t="s">
        <v>163</v>
      </c>
      <c r="D704" t="s">
        <v>143</v>
      </c>
      <c r="E704">
        <v>56881443</v>
      </c>
      <c r="F704" t="s">
        <v>137</v>
      </c>
      <c r="G704" t="s">
        <v>138</v>
      </c>
      <c r="H704" t="s">
        <v>139</v>
      </c>
    </row>
    <row r="705" spans="1:8" x14ac:dyDescent="0.2">
      <c r="A705" t="s">
        <v>1511</v>
      </c>
      <c r="B705" t="s">
        <v>1512</v>
      </c>
      <c r="C705" t="s">
        <v>355</v>
      </c>
      <c r="D705" t="s">
        <v>167</v>
      </c>
      <c r="E705">
        <v>9846562</v>
      </c>
      <c r="F705" t="s">
        <v>356</v>
      </c>
      <c r="G705" t="s">
        <v>150</v>
      </c>
      <c r="H705" t="s">
        <v>145</v>
      </c>
    </row>
    <row r="706" spans="1:8" x14ac:dyDescent="0.2">
      <c r="A706" t="s">
        <v>1513</v>
      </c>
      <c r="B706" t="s">
        <v>1514</v>
      </c>
      <c r="C706" t="s">
        <v>166</v>
      </c>
      <c r="D706" t="s">
        <v>143</v>
      </c>
      <c r="E706">
        <v>216481335</v>
      </c>
      <c r="F706" t="s">
        <v>166</v>
      </c>
      <c r="G706" t="s">
        <v>166</v>
      </c>
      <c r="H706" t="s">
        <v>160</v>
      </c>
    </row>
    <row r="707" spans="1:8" x14ac:dyDescent="0.2">
      <c r="A707" t="s">
        <v>674</v>
      </c>
      <c r="B707" t="s">
        <v>1516</v>
      </c>
      <c r="C707" t="s">
        <v>194</v>
      </c>
      <c r="D707" t="s">
        <v>143</v>
      </c>
      <c r="E707">
        <v>60867241</v>
      </c>
      <c r="F707" t="s">
        <v>195</v>
      </c>
      <c r="G707" t="s">
        <v>195</v>
      </c>
      <c r="H707" t="s">
        <v>184</v>
      </c>
    </row>
    <row r="708" spans="1:8" x14ac:dyDescent="0.2">
      <c r="A708" t="s">
        <v>1517</v>
      </c>
      <c r="B708" t="s">
        <v>1518</v>
      </c>
      <c r="C708" t="s">
        <v>149</v>
      </c>
      <c r="D708" t="s">
        <v>143</v>
      </c>
      <c r="E708">
        <v>114779103</v>
      </c>
      <c r="F708" t="s">
        <v>149</v>
      </c>
      <c r="G708" t="s">
        <v>150</v>
      </c>
      <c r="H708" t="s">
        <v>145</v>
      </c>
    </row>
    <row r="709" spans="1:8" x14ac:dyDescent="0.2">
      <c r="A709" t="s">
        <v>1519</v>
      </c>
      <c r="B709" t="s">
        <v>1520</v>
      </c>
      <c r="C709" t="s">
        <v>1521</v>
      </c>
      <c r="D709" t="s">
        <v>167</v>
      </c>
      <c r="E709">
        <v>12000000</v>
      </c>
      <c r="F709" t="s">
        <v>820</v>
      </c>
      <c r="G709" t="s">
        <v>138</v>
      </c>
      <c r="H709" t="s">
        <v>139</v>
      </c>
    </row>
    <row r="710" spans="1:8" x14ac:dyDescent="0.2">
      <c r="A710" t="s">
        <v>1522</v>
      </c>
      <c r="B710" t="s">
        <v>1523</v>
      </c>
      <c r="C710" t="s">
        <v>166</v>
      </c>
      <c r="D710" t="s">
        <v>167</v>
      </c>
      <c r="E710">
        <v>300000000</v>
      </c>
      <c r="F710" t="s">
        <v>166</v>
      </c>
      <c r="G710" t="s">
        <v>166</v>
      </c>
      <c r="H710" t="s">
        <v>160</v>
      </c>
    </row>
    <row r="711" spans="1:8" x14ac:dyDescent="0.2">
      <c r="A711" t="s">
        <v>1524</v>
      </c>
      <c r="B711" t="s">
        <v>1525</v>
      </c>
      <c r="C711" t="s">
        <v>149</v>
      </c>
      <c r="D711" t="s">
        <v>136</v>
      </c>
      <c r="E711">
        <v>57509675</v>
      </c>
      <c r="F711" t="s">
        <v>149</v>
      </c>
      <c r="G711" t="s">
        <v>150</v>
      </c>
      <c r="H711" t="s">
        <v>145</v>
      </c>
    </row>
    <row r="712" spans="1:8" x14ac:dyDescent="0.2">
      <c r="A712" t="s">
        <v>1526</v>
      </c>
      <c r="B712" t="s">
        <v>1527</v>
      </c>
      <c r="C712" t="s">
        <v>149</v>
      </c>
      <c r="D712" t="s">
        <v>167</v>
      </c>
      <c r="E712">
        <v>30000000</v>
      </c>
      <c r="F712" t="s">
        <v>149</v>
      </c>
      <c r="G712" t="s">
        <v>150</v>
      </c>
      <c r="H712" t="s">
        <v>145</v>
      </c>
    </row>
    <row r="713" spans="1:8" x14ac:dyDescent="0.2">
      <c r="A713" t="s">
        <v>1528</v>
      </c>
      <c r="B713" t="s">
        <v>1529</v>
      </c>
      <c r="C713" t="s">
        <v>149</v>
      </c>
      <c r="D713" t="s">
        <v>136</v>
      </c>
      <c r="E713">
        <v>49432500</v>
      </c>
      <c r="F713" t="s">
        <v>149</v>
      </c>
      <c r="G713" t="s">
        <v>150</v>
      </c>
      <c r="H713" t="s">
        <v>145</v>
      </c>
    </row>
    <row r="714" spans="1:8" x14ac:dyDescent="0.2">
      <c r="A714" t="s">
        <v>1530</v>
      </c>
      <c r="B714" t="s">
        <v>1531</v>
      </c>
      <c r="C714" t="s">
        <v>666</v>
      </c>
      <c r="D714" t="s">
        <v>167</v>
      </c>
      <c r="E714">
        <v>5992020</v>
      </c>
      <c r="F714" t="s">
        <v>667</v>
      </c>
      <c r="G714" t="s">
        <v>668</v>
      </c>
      <c r="H714" t="s">
        <v>668</v>
      </c>
    </row>
    <row r="715" spans="1:8" x14ac:dyDescent="0.2">
      <c r="A715" t="s">
        <v>1532</v>
      </c>
      <c r="B715" t="s">
        <v>1533</v>
      </c>
      <c r="C715" t="s">
        <v>149</v>
      </c>
      <c r="D715" t="s">
        <v>167</v>
      </c>
      <c r="E715">
        <v>200000000</v>
      </c>
      <c r="F715" t="s">
        <v>149</v>
      </c>
      <c r="G715" t="s">
        <v>150</v>
      </c>
      <c r="H715" t="s">
        <v>145</v>
      </c>
    </row>
    <row r="716" spans="1:8" x14ac:dyDescent="0.2">
      <c r="A716" t="s">
        <v>1534</v>
      </c>
      <c r="B716" t="s">
        <v>1535</v>
      </c>
      <c r="C716" t="s">
        <v>237</v>
      </c>
      <c r="D716" t="s">
        <v>136</v>
      </c>
      <c r="E716">
        <v>36473833</v>
      </c>
      <c r="F716" t="s">
        <v>154</v>
      </c>
      <c r="G716" t="s">
        <v>155</v>
      </c>
      <c r="H716" t="s">
        <v>139</v>
      </c>
    </row>
    <row r="717" spans="1:8" x14ac:dyDescent="0.2">
      <c r="A717" t="s">
        <v>1536</v>
      </c>
      <c r="B717" t="s">
        <v>1537</v>
      </c>
      <c r="C717" t="s">
        <v>355</v>
      </c>
      <c r="D717" t="s">
        <v>136</v>
      </c>
      <c r="E717">
        <v>6519500</v>
      </c>
      <c r="F717" t="s">
        <v>356</v>
      </c>
      <c r="G717" t="s">
        <v>150</v>
      </c>
      <c r="H717" t="s">
        <v>145</v>
      </c>
    </row>
    <row r="718" spans="1:8" x14ac:dyDescent="0.2">
      <c r="A718" t="s">
        <v>1538</v>
      </c>
      <c r="B718" t="s">
        <v>1539</v>
      </c>
      <c r="C718" t="s">
        <v>237</v>
      </c>
      <c r="D718" t="s">
        <v>167</v>
      </c>
      <c r="E718">
        <v>5070000</v>
      </c>
      <c r="F718" t="s">
        <v>154</v>
      </c>
      <c r="G718" t="s">
        <v>155</v>
      </c>
      <c r="H718" t="s">
        <v>139</v>
      </c>
    </row>
    <row r="719" spans="1:8" x14ac:dyDescent="0.2">
      <c r="A719" t="s">
        <v>674</v>
      </c>
      <c r="B719" t="s">
        <v>1540</v>
      </c>
      <c r="C719" t="s">
        <v>208</v>
      </c>
      <c r="D719" t="s">
        <v>167</v>
      </c>
      <c r="E719">
        <v>2955000</v>
      </c>
      <c r="F719" t="s">
        <v>195</v>
      </c>
      <c r="G719" t="s">
        <v>195</v>
      </c>
      <c r="H719" t="s">
        <v>184</v>
      </c>
    </row>
    <row r="720" spans="1:8" x14ac:dyDescent="0.2">
      <c r="A720" t="s">
        <v>1541</v>
      </c>
      <c r="B720" t="s">
        <v>1542</v>
      </c>
      <c r="C720" t="s">
        <v>387</v>
      </c>
      <c r="D720" t="s">
        <v>136</v>
      </c>
      <c r="E720">
        <v>8330200</v>
      </c>
      <c r="F720" t="s">
        <v>311</v>
      </c>
      <c r="G720" t="s">
        <v>312</v>
      </c>
      <c r="H720" t="s">
        <v>313</v>
      </c>
    </row>
    <row r="721" spans="1:8" x14ac:dyDescent="0.2">
      <c r="A721" t="s">
        <v>1543</v>
      </c>
      <c r="B721" t="s">
        <v>1544</v>
      </c>
      <c r="C721" t="s">
        <v>355</v>
      </c>
      <c r="D721" t="s">
        <v>136</v>
      </c>
      <c r="E721">
        <v>49500000</v>
      </c>
      <c r="F721" t="s">
        <v>356</v>
      </c>
      <c r="G721" t="s">
        <v>150</v>
      </c>
      <c r="H721" t="s">
        <v>145</v>
      </c>
    </row>
    <row r="722" spans="1:8" x14ac:dyDescent="0.2">
      <c r="A722" t="s">
        <v>674</v>
      </c>
      <c r="B722" t="s">
        <v>1546</v>
      </c>
      <c r="C722" t="s">
        <v>289</v>
      </c>
      <c r="D722" t="s">
        <v>143</v>
      </c>
      <c r="E722">
        <v>9890000</v>
      </c>
      <c r="F722" t="s">
        <v>290</v>
      </c>
      <c r="G722" t="s">
        <v>183</v>
      </c>
      <c r="H722" t="s">
        <v>184</v>
      </c>
    </row>
    <row r="723" spans="1:8" x14ac:dyDescent="0.2">
      <c r="A723" t="s">
        <v>674</v>
      </c>
      <c r="B723" t="s">
        <v>1547</v>
      </c>
      <c r="C723" t="s">
        <v>208</v>
      </c>
      <c r="D723" t="s">
        <v>136</v>
      </c>
      <c r="E723">
        <v>7000000</v>
      </c>
      <c r="F723" t="s">
        <v>195</v>
      </c>
      <c r="G723" t="s">
        <v>195</v>
      </c>
      <c r="H723" t="s">
        <v>184</v>
      </c>
    </row>
    <row r="724" spans="1:8" x14ac:dyDescent="0.2">
      <c r="A724" t="s">
        <v>674</v>
      </c>
      <c r="B724" t="s">
        <v>1548</v>
      </c>
      <c r="C724" t="s">
        <v>208</v>
      </c>
      <c r="D724" t="s">
        <v>167</v>
      </c>
      <c r="E724">
        <v>30859515</v>
      </c>
      <c r="F724" t="s">
        <v>195</v>
      </c>
      <c r="G724" t="s">
        <v>195</v>
      </c>
      <c r="H724" t="s">
        <v>184</v>
      </c>
    </row>
    <row r="725" spans="1:8" x14ac:dyDescent="0.2">
      <c r="A725" t="s">
        <v>674</v>
      </c>
      <c r="B725" t="s">
        <v>1549</v>
      </c>
      <c r="C725" t="s">
        <v>208</v>
      </c>
      <c r="D725" t="s">
        <v>167</v>
      </c>
      <c r="E725">
        <v>38116528</v>
      </c>
      <c r="F725" t="s">
        <v>195</v>
      </c>
      <c r="G725" t="s">
        <v>195</v>
      </c>
      <c r="H725" t="s">
        <v>184</v>
      </c>
    </row>
    <row r="726" spans="1:8" x14ac:dyDescent="0.2">
      <c r="A726" t="s">
        <v>674</v>
      </c>
      <c r="B726" t="s">
        <v>1550</v>
      </c>
      <c r="C726" t="s">
        <v>289</v>
      </c>
      <c r="D726" t="s">
        <v>136</v>
      </c>
      <c r="E726">
        <v>3265155</v>
      </c>
      <c r="F726" t="s">
        <v>290</v>
      </c>
      <c r="G726" t="s">
        <v>183</v>
      </c>
      <c r="H726" t="s">
        <v>184</v>
      </c>
    </row>
    <row r="727" spans="1:8" x14ac:dyDescent="0.2">
      <c r="A727" t="s">
        <v>674</v>
      </c>
      <c r="B727" t="s">
        <v>1551</v>
      </c>
      <c r="C727" t="s">
        <v>208</v>
      </c>
      <c r="D727" t="s">
        <v>167</v>
      </c>
      <c r="E727">
        <v>3600000</v>
      </c>
      <c r="F727" t="s">
        <v>195</v>
      </c>
      <c r="G727" t="s">
        <v>195</v>
      </c>
      <c r="H727" t="s">
        <v>184</v>
      </c>
    </row>
    <row r="728" spans="1:8" x14ac:dyDescent="0.2">
      <c r="A728" t="s">
        <v>674</v>
      </c>
      <c r="B728" t="s">
        <v>1552</v>
      </c>
      <c r="C728" t="s">
        <v>289</v>
      </c>
      <c r="D728" t="s">
        <v>136</v>
      </c>
      <c r="E728">
        <v>3500000</v>
      </c>
      <c r="F728" t="s">
        <v>290</v>
      </c>
      <c r="G728" t="s">
        <v>183</v>
      </c>
      <c r="H728" t="s">
        <v>184</v>
      </c>
    </row>
    <row r="729" spans="1:8" x14ac:dyDescent="0.2">
      <c r="A729" t="s">
        <v>674</v>
      </c>
      <c r="B729" t="s">
        <v>1553</v>
      </c>
      <c r="C729" t="s">
        <v>289</v>
      </c>
      <c r="D729" t="s">
        <v>136</v>
      </c>
      <c r="E729">
        <v>4000000</v>
      </c>
      <c r="F729" t="s">
        <v>290</v>
      </c>
      <c r="G729" t="s">
        <v>183</v>
      </c>
      <c r="H729" t="s">
        <v>184</v>
      </c>
    </row>
    <row r="730" spans="1:8" x14ac:dyDescent="0.2">
      <c r="A730" t="s">
        <v>674</v>
      </c>
      <c r="B730" t="s">
        <v>1554</v>
      </c>
      <c r="C730" t="s">
        <v>208</v>
      </c>
      <c r="D730" t="s">
        <v>136</v>
      </c>
      <c r="E730">
        <v>4800000</v>
      </c>
      <c r="F730" t="s">
        <v>195</v>
      </c>
      <c r="G730" t="s">
        <v>195</v>
      </c>
      <c r="H730" t="s">
        <v>184</v>
      </c>
    </row>
    <row r="731" spans="1:8" x14ac:dyDescent="0.2">
      <c r="A731" t="s">
        <v>674</v>
      </c>
      <c r="B731" t="s">
        <v>1555</v>
      </c>
      <c r="C731" t="s">
        <v>289</v>
      </c>
      <c r="D731" t="s">
        <v>136</v>
      </c>
      <c r="E731">
        <v>7576200</v>
      </c>
      <c r="F731" t="s">
        <v>290</v>
      </c>
      <c r="G731" t="s">
        <v>183</v>
      </c>
      <c r="H731" t="s">
        <v>184</v>
      </c>
    </row>
    <row r="732" spans="1:8" x14ac:dyDescent="0.2">
      <c r="A732" t="s">
        <v>674</v>
      </c>
      <c r="B732" t="s">
        <v>1556</v>
      </c>
      <c r="C732" t="s">
        <v>289</v>
      </c>
      <c r="D732" t="s">
        <v>136</v>
      </c>
      <c r="E732">
        <v>8298243</v>
      </c>
      <c r="F732" t="s">
        <v>290</v>
      </c>
      <c r="G732" t="s">
        <v>183</v>
      </c>
      <c r="H732" t="s">
        <v>184</v>
      </c>
    </row>
    <row r="733" spans="1:8" x14ac:dyDescent="0.2">
      <c r="A733" t="s">
        <v>674</v>
      </c>
      <c r="B733" t="s">
        <v>1557</v>
      </c>
      <c r="C733" t="s">
        <v>289</v>
      </c>
      <c r="D733" t="s">
        <v>136</v>
      </c>
      <c r="E733">
        <v>8279361</v>
      </c>
      <c r="F733" t="s">
        <v>290</v>
      </c>
      <c r="G733" t="s">
        <v>183</v>
      </c>
      <c r="H733" t="s">
        <v>184</v>
      </c>
    </row>
    <row r="734" spans="1:8" x14ac:dyDescent="0.2">
      <c r="A734" t="s">
        <v>1558</v>
      </c>
      <c r="B734" t="s">
        <v>1559</v>
      </c>
      <c r="C734" t="s">
        <v>237</v>
      </c>
      <c r="D734" t="s">
        <v>143</v>
      </c>
      <c r="E734">
        <v>15228019</v>
      </c>
      <c r="F734" t="s">
        <v>154</v>
      </c>
      <c r="G734" t="s">
        <v>155</v>
      </c>
      <c r="H734" t="s">
        <v>139</v>
      </c>
    </row>
    <row r="735" spans="1:8" x14ac:dyDescent="0.2">
      <c r="A735" t="s">
        <v>674</v>
      </c>
      <c r="B735" t="s">
        <v>1560</v>
      </c>
      <c r="C735" t="s">
        <v>208</v>
      </c>
      <c r="D735" t="s">
        <v>136</v>
      </c>
      <c r="E735">
        <v>8550000</v>
      </c>
      <c r="F735" t="s">
        <v>195</v>
      </c>
      <c r="G735" t="s">
        <v>195</v>
      </c>
      <c r="H735" t="s">
        <v>184</v>
      </c>
    </row>
    <row r="736" spans="1:8" x14ac:dyDescent="0.2">
      <c r="A736" t="s">
        <v>1561</v>
      </c>
      <c r="B736" t="s">
        <v>1562</v>
      </c>
      <c r="C736" t="s">
        <v>293</v>
      </c>
      <c r="D736" t="s">
        <v>167</v>
      </c>
      <c r="E736">
        <v>112856400</v>
      </c>
      <c r="F736" t="s">
        <v>144</v>
      </c>
      <c r="G736" t="s">
        <v>144</v>
      </c>
      <c r="H736" t="s">
        <v>145</v>
      </c>
    </row>
    <row r="737" spans="1:8" x14ac:dyDescent="0.2">
      <c r="A737" t="s">
        <v>1563</v>
      </c>
      <c r="B737" t="s">
        <v>1564</v>
      </c>
      <c r="C737" t="s">
        <v>387</v>
      </c>
      <c r="D737" t="s">
        <v>136</v>
      </c>
      <c r="E737">
        <v>12200000</v>
      </c>
      <c r="F737" t="s">
        <v>311</v>
      </c>
      <c r="G737" t="s">
        <v>312</v>
      </c>
      <c r="H737" t="s">
        <v>313</v>
      </c>
    </row>
    <row r="738" spans="1:8" x14ac:dyDescent="0.2">
      <c r="A738" t="s">
        <v>1565</v>
      </c>
      <c r="B738" t="s">
        <v>1566</v>
      </c>
      <c r="C738" t="s">
        <v>519</v>
      </c>
      <c r="D738" t="s">
        <v>136</v>
      </c>
      <c r="E738">
        <v>1500000</v>
      </c>
      <c r="F738" t="s">
        <v>229</v>
      </c>
      <c r="G738" t="s">
        <v>229</v>
      </c>
      <c r="H738" t="s">
        <v>217</v>
      </c>
    </row>
    <row r="739" spans="1:8" x14ac:dyDescent="0.2">
      <c r="A739" t="s">
        <v>1567</v>
      </c>
      <c r="B739" t="s">
        <v>1568</v>
      </c>
      <c r="C739" t="s">
        <v>215</v>
      </c>
      <c r="D739" t="s">
        <v>167</v>
      </c>
      <c r="E739">
        <v>1999934</v>
      </c>
      <c r="F739" t="s">
        <v>216</v>
      </c>
      <c r="G739" t="s">
        <v>216</v>
      </c>
      <c r="H739" t="s">
        <v>217</v>
      </c>
    </row>
    <row r="740" spans="1:8" x14ac:dyDescent="0.2">
      <c r="A740" t="s">
        <v>674</v>
      </c>
      <c r="B740" t="s">
        <v>1570</v>
      </c>
      <c r="C740" t="s">
        <v>194</v>
      </c>
      <c r="D740" t="s">
        <v>143</v>
      </c>
      <c r="E740">
        <v>40000000</v>
      </c>
      <c r="F740" t="s">
        <v>195</v>
      </c>
      <c r="G740" t="s">
        <v>195</v>
      </c>
      <c r="H740" t="s">
        <v>184</v>
      </c>
    </row>
    <row r="741" spans="1:8" x14ac:dyDescent="0.2">
      <c r="A741" t="s">
        <v>674</v>
      </c>
      <c r="B741" t="s">
        <v>1571</v>
      </c>
      <c r="C741" t="s">
        <v>194</v>
      </c>
      <c r="D741" t="s">
        <v>136</v>
      </c>
      <c r="E741">
        <v>5838999</v>
      </c>
      <c r="F741" t="s">
        <v>195</v>
      </c>
      <c r="G741" t="s">
        <v>195</v>
      </c>
      <c r="H741" t="s">
        <v>184</v>
      </c>
    </row>
    <row r="742" spans="1:8" x14ac:dyDescent="0.2">
      <c r="A742" t="s">
        <v>674</v>
      </c>
      <c r="B742" t="s">
        <v>1572</v>
      </c>
      <c r="C742" t="s">
        <v>208</v>
      </c>
      <c r="D742" t="s">
        <v>167</v>
      </c>
      <c r="E742">
        <v>1474000</v>
      </c>
      <c r="F742" t="s">
        <v>195</v>
      </c>
      <c r="G742" t="s">
        <v>195</v>
      </c>
      <c r="H742" t="s">
        <v>184</v>
      </c>
    </row>
    <row r="743" spans="1:8" x14ac:dyDescent="0.2">
      <c r="A743" t="s">
        <v>674</v>
      </c>
      <c r="B743" t="s">
        <v>1574</v>
      </c>
      <c r="C743" t="s">
        <v>208</v>
      </c>
      <c r="D743" t="s">
        <v>143</v>
      </c>
      <c r="E743">
        <v>195091170</v>
      </c>
      <c r="F743" t="s">
        <v>195</v>
      </c>
      <c r="G743" t="s">
        <v>195</v>
      </c>
      <c r="H743" t="s">
        <v>184</v>
      </c>
    </row>
    <row r="744" spans="1:8" x14ac:dyDescent="0.2">
      <c r="A744" t="s">
        <v>1575</v>
      </c>
      <c r="B744" t="s">
        <v>1576</v>
      </c>
      <c r="C744" t="s">
        <v>149</v>
      </c>
      <c r="D744" t="s">
        <v>136</v>
      </c>
      <c r="E744">
        <v>24633000</v>
      </c>
      <c r="F744" t="s">
        <v>149</v>
      </c>
      <c r="G744" t="s">
        <v>150</v>
      </c>
      <c r="H744" t="s">
        <v>145</v>
      </c>
    </row>
    <row r="745" spans="1:8" x14ac:dyDescent="0.2">
      <c r="A745" t="s">
        <v>674</v>
      </c>
      <c r="B745" t="s">
        <v>1577</v>
      </c>
      <c r="C745" t="s">
        <v>208</v>
      </c>
      <c r="D745" t="s">
        <v>136</v>
      </c>
      <c r="E745">
        <v>7600000</v>
      </c>
      <c r="F745" t="s">
        <v>195</v>
      </c>
      <c r="G745" t="s">
        <v>195</v>
      </c>
      <c r="H745" t="s">
        <v>184</v>
      </c>
    </row>
    <row r="746" spans="1:8" x14ac:dyDescent="0.2">
      <c r="A746" t="s">
        <v>1578</v>
      </c>
      <c r="B746" t="s">
        <v>1579</v>
      </c>
      <c r="C746" t="s">
        <v>419</v>
      </c>
      <c r="D746" t="s">
        <v>143</v>
      </c>
      <c r="E746">
        <v>256972585</v>
      </c>
      <c r="F746" t="s">
        <v>166</v>
      </c>
      <c r="G746" t="s">
        <v>166</v>
      </c>
      <c r="H746" t="s">
        <v>160</v>
      </c>
    </row>
    <row r="747" spans="1:8" x14ac:dyDescent="0.2">
      <c r="A747" t="s">
        <v>1580</v>
      </c>
      <c r="B747" t="s">
        <v>1581</v>
      </c>
      <c r="C747" t="s">
        <v>240</v>
      </c>
      <c r="D747" t="s">
        <v>167</v>
      </c>
      <c r="E747">
        <v>12703167</v>
      </c>
      <c r="F747" t="s">
        <v>240</v>
      </c>
      <c r="G747" t="s">
        <v>241</v>
      </c>
      <c r="H747" t="s">
        <v>242</v>
      </c>
    </row>
    <row r="748" spans="1:8" x14ac:dyDescent="0.2">
      <c r="A748" t="s">
        <v>1582</v>
      </c>
      <c r="B748" t="s">
        <v>1583</v>
      </c>
      <c r="C748" t="s">
        <v>387</v>
      </c>
      <c r="D748" t="s">
        <v>136</v>
      </c>
      <c r="E748">
        <v>78800000</v>
      </c>
      <c r="F748" t="s">
        <v>311</v>
      </c>
      <c r="G748" t="s">
        <v>312</v>
      </c>
      <c r="H748" t="s">
        <v>313</v>
      </c>
    </row>
    <row r="749" spans="1:8" x14ac:dyDescent="0.2">
      <c r="A749" t="s">
        <v>1584</v>
      </c>
      <c r="B749" t="s">
        <v>1585</v>
      </c>
      <c r="C749" t="s">
        <v>166</v>
      </c>
      <c r="D749" t="s">
        <v>143</v>
      </c>
      <c r="E749">
        <v>26100000</v>
      </c>
      <c r="F749" t="s">
        <v>166</v>
      </c>
      <c r="G749" t="s">
        <v>166</v>
      </c>
      <c r="H749" t="s">
        <v>160</v>
      </c>
    </row>
    <row r="750" spans="1:8" x14ac:dyDescent="0.2">
      <c r="A750" t="s">
        <v>674</v>
      </c>
      <c r="B750" t="s">
        <v>1586</v>
      </c>
      <c r="C750" t="s">
        <v>208</v>
      </c>
      <c r="D750" t="s">
        <v>136</v>
      </c>
      <c r="E750">
        <v>5026600</v>
      </c>
      <c r="F750" t="s">
        <v>195</v>
      </c>
      <c r="G750" t="s">
        <v>195</v>
      </c>
      <c r="H750" t="s">
        <v>184</v>
      </c>
    </row>
    <row r="751" spans="1:8" x14ac:dyDescent="0.2">
      <c r="A751" t="s">
        <v>674</v>
      </c>
      <c r="B751" t="s">
        <v>1588</v>
      </c>
      <c r="C751" t="s">
        <v>208</v>
      </c>
      <c r="D751" t="s">
        <v>143</v>
      </c>
      <c r="E751">
        <v>192854765</v>
      </c>
      <c r="F751" t="s">
        <v>195</v>
      </c>
      <c r="G751" t="s">
        <v>195</v>
      </c>
      <c r="H751" t="s">
        <v>184</v>
      </c>
    </row>
    <row r="752" spans="1:8" x14ac:dyDescent="0.2">
      <c r="A752" t="s">
        <v>1589</v>
      </c>
      <c r="B752" t="s">
        <v>1590</v>
      </c>
      <c r="C752" t="s">
        <v>166</v>
      </c>
      <c r="D752" t="s">
        <v>143</v>
      </c>
      <c r="E752">
        <v>51500000</v>
      </c>
      <c r="F752" t="s">
        <v>166</v>
      </c>
      <c r="G752" t="s">
        <v>166</v>
      </c>
      <c r="H752" t="s">
        <v>160</v>
      </c>
    </row>
    <row r="753" spans="1:8" x14ac:dyDescent="0.2">
      <c r="A753" t="s">
        <v>1591</v>
      </c>
      <c r="B753" t="s">
        <v>1592</v>
      </c>
      <c r="C753" t="s">
        <v>163</v>
      </c>
      <c r="D753" t="s">
        <v>136</v>
      </c>
      <c r="E753">
        <v>7400000</v>
      </c>
      <c r="F753" t="s">
        <v>137</v>
      </c>
      <c r="G753" t="s">
        <v>138</v>
      </c>
      <c r="H753" t="s">
        <v>139</v>
      </c>
    </row>
    <row r="754" spans="1:8" x14ac:dyDescent="0.2">
      <c r="A754" t="s">
        <v>674</v>
      </c>
      <c r="B754" t="s">
        <v>1593</v>
      </c>
      <c r="C754" t="s">
        <v>208</v>
      </c>
      <c r="D754" t="s">
        <v>167</v>
      </c>
      <c r="E754">
        <v>14400000</v>
      </c>
      <c r="F754" t="s">
        <v>195</v>
      </c>
      <c r="G754" t="s">
        <v>195</v>
      </c>
      <c r="H754" t="s">
        <v>184</v>
      </c>
    </row>
    <row r="755" spans="1:8" x14ac:dyDescent="0.2">
      <c r="A755" t="s">
        <v>1594</v>
      </c>
      <c r="B755" t="s">
        <v>1595</v>
      </c>
      <c r="C755" t="s">
        <v>166</v>
      </c>
      <c r="D755" t="s">
        <v>143</v>
      </c>
      <c r="E755">
        <v>50012010</v>
      </c>
      <c r="F755" t="s">
        <v>166</v>
      </c>
      <c r="G755" t="s">
        <v>166</v>
      </c>
      <c r="H755" t="s">
        <v>160</v>
      </c>
    </row>
    <row r="756" spans="1:8" x14ac:dyDescent="0.2">
      <c r="A756" t="s">
        <v>674</v>
      </c>
      <c r="B756" t="s">
        <v>1596</v>
      </c>
      <c r="C756" t="s">
        <v>208</v>
      </c>
      <c r="D756" t="s">
        <v>136</v>
      </c>
      <c r="E756">
        <v>90000000</v>
      </c>
      <c r="F756" t="s">
        <v>195</v>
      </c>
      <c r="G756" t="s">
        <v>195</v>
      </c>
      <c r="H756" t="s">
        <v>184</v>
      </c>
    </row>
    <row r="757" spans="1:8" x14ac:dyDescent="0.2">
      <c r="A757" t="s">
        <v>674</v>
      </c>
      <c r="B757" t="s">
        <v>1597</v>
      </c>
      <c r="C757" t="s">
        <v>208</v>
      </c>
      <c r="D757" t="s">
        <v>167</v>
      </c>
      <c r="E757">
        <v>95084569</v>
      </c>
      <c r="F757" t="s">
        <v>195</v>
      </c>
      <c r="G757" t="s">
        <v>195</v>
      </c>
      <c r="H757" t="s">
        <v>184</v>
      </c>
    </row>
    <row r="758" spans="1:8" x14ac:dyDescent="0.2">
      <c r="A758" t="s">
        <v>1598</v>
      </c>
      <c r="B758" t="s">
        <v>1599</v>
      </c>
      <c r="C758" t="s">
        <v>137</v>
      </c>
      <c r="D758" t="s">
        <v>143</v>
      </c>
      <c r="E758">
        <v>64800000</v>
      </c>
      <c r="F758" t="s">
        <v>137</v>
      </c>
      <c r="G758" t="s">
        <v>138</v>
      </c>
      <c r="H758" t="s">
        <v>139</v>
      </c>
    </row>
    <row r="759" spans="1:8" x14ac:dyDescent="0.2">
      <c r="A759" t="s">
        <v>1600</v>
      </c>
      <c r="B759" t="s">
        <v>1601</v>
      </c>
      <c r="C759" t="s">
        <v>387</v>
      </c>
      <c r="D759" t="s">
        <v>136</v>
      </c>
      <c r="E759">
        <v>2500000</v>
      </c>
      <c r="F759" t="s">
        <v>311</v>
      </c>
      <c r="G759" t="s">
        <v>312</v>
      </c>
      <c r="H759" t="s">
        <v>313</v>
      </c>
    </row>
    <row r="760" spans="1:8" x14ac:dyDescent="0.2">
      <c r="A760" t="s">
        <v>674</v>
      </c>
      <c r="B760" t="s">
        <v>1602</v>
      </c>
      <c r="C760" t="s">
        <v>289</v>
      </c>
      <c r="D760" t="s">
        <v>136</v>
      </c>
      <c r="E760">
        <v>79726104</v>
      </c>
      <c r="F760" t="s">
        <v>290</v>
      </c>
      <c r="G760" t="s">
        <v>183</v>
      </c>
      <c r="H760" t="s">
        <v>184</v>
      </c>
    </row>
    <row r="761" spans="1:8" x14ac:dyDescent="0.2">
      <c r="A761" t="s">
        <v>674</v>
      </c>
      <c r="B761" t="s">
        <v>1603</v>
      </c>
      <c r="C761" t="s">
        <v>208</v>
      </c>
      <c r="D761" t="s">
        <v>136</v>
      </c>
      <c r="E761">
        <v>5150000</v>
      </c>
      <c r="F761" t="s">
        <v>195</v>
      </c>
      <c r="G761" t="s">
        <v>195</v>
      </c>
      <c r="H761" t="s">
        <v>184</v>
      </c>
    </row>
    <row r="762" spans="1:8" x14ac:dyDescent="0.2">
      <c r="A762" t="s">
        <v>674</v>
      </c>
      <c r="B762" t="s">
        <v>1604</v>
      </c>
      <c r="C762" t="s">
        <v>289</v>
      </c>
      <c r="D762" t="s">
        <v>136</v>
      </c>
      <c r="E762">
        <v>4957000</v>
      </c>
      <c r="F762" t="s">
        <v>290</v>
      </c>
      <c r="G762" t="s">
        <v>183</v>
      </c>
      <c r="H762" t="s">
        <v>184</v>
      </c>
    </row>
    <row r="763" spans="1:8" x14ac:dyDescent="0.2">
      <c r="A763" t="s">
        <v>674</v>
      </c>
      <c r="B763" t="s">
        <v>1606</v>
      </c>
      <c r="C763" t="s">
        <v>208</v>
      </c>
      <c r="D763" t="s">
        <v>143</v>
      </c>
      <c r="E763">
        <v>9388682</v>
      </c>
      <c r="F763" t="s">
        <v>195</v>
      </c>
      <c r="G763" t="s">
        <v>195</v>
      </c>
      <c r="H763" t="s">
        <v>184</v>
      </c>
    </row>
    <row r="764" spans="1:8" x14ac:dyDescent="0.2">
      <c r="A764" t="s">
        <v>1607</v>
      </c>
      <c r="B764" t="s">
        <v>1608</v>
      </c>
      <c r="C764" t="s">
        <v>149</v>
      </c>
      <c r="D764" t="s">
        <v>136</v>
      </c>
      <c r="E764">
        <v>1500000</v>
      </c>
      <c r="F764" t="s">
        <v>149</v>
      </c>
      <c r="G764" t="s">
        <v>150</v>
      </c>
      <c r="H764" t="s">
        <v>145</v>
      </c>
    </row>
    <row r="765" spans="1:8" x14ac:dyDescent="0.2">
      <c r="A765" t="s">
        <v>1609</v>
      </c>
      <c r="B765" t="s">
        <v>1610</v>
      </c>
      <c r="C765" t="s">
        <v>166</v>
      </c>
      <c r="D765" t="s">
        <v>136</v>
      </c>
      <c r="E765">
        <v>25629995</v>
      </c>
      <c r="F765" t="s">
        <v>166</v>
      </c>
      <c r="G765" t="s">
        <v>166</v>
      </c>
      <c r="H765" t="s">
        <v>160</v>
      </c>
    </row>
    <row r="766" spans="1:8" x14ac:dyDescent="0.2">
      <c r="A766" t="s">
        <v>674</v>
      </c>
      <c r="B766" t="s">
        <v>1611</v>
      </c>
      <c r="C766" t="s">
        <v>289</v>
      </c>
      <c r="D766" t="s">
        <v>136</v>
      </c>
      <c r="E766">
        <v>5500000</v>
      </c>
      <c r="F766" t="s">
        <v>290</v>
      </c>
      <c r="G766" t="s">
        <v>183</v>
      </c>
      <c r="H766" t="s">
        <v>184</v>
      </c>
    </row>
    <row r="767" spans="1:8" x14ac:dyDescent="0.2">
      <c r="A767" t="s">
        <v>1612</v>
      </c>
      <c r="B767" t="s">
        <v>1613</v>
      </c>
      <c r="C767" t="s">
        <v>142</v>
      </c>
      <c r="D767" t="s">
        <v>136</v>
      </c>
      <c r="E767">
        <v>8230067</v>
      </c>
      <c r="F767" t="s">
        <v>144</v>
      </c>
      <c r="G767" t="s">
        <v>144</v>
      </c>
      <c r="H767" t="s">
        <v>145</v>
      </c>
    </row>
    <row r="768" spans="1:8" x14ac:dyDescent="0.2">
      <c r="A768" t="s">
        <v>674</v>
      </c>
      <c r="B768" t="s">
        <v>1614</v>
      </c>
      <c r="C768" t="s">
        <v>289</v>
      </c>
      <c r="D768" t="s">
        <v>136</v>
      </c>
      <c r="E768">
        <v>5149791</v>
      </c>
      <c r="F768" t="s">
        <v>290</v>
      </c>
      <c r="G768" t="s">
        <v>183</v>
      </c>
      <c r="H768" t="s">
        <v>184</v>
      </c>
    </row>
    <row r="769" spans="1:8" x14ac:dyDescent="0.2">
      <c r="A769" t="s">
        <v>1615</v>
      </c>
      <c r="B769" t="s">
        <v>3068</v>
      </c>
      <c r="C769" t="s">
        <v>170</v>
      </c>
      <c r="D769" t="s">
        <v>143</v>
      </c>
      <c r="E769">
        <v>2557616416</v>
      </c>
      <c r="F769" t="s">
        <v>170</v>
      </c>
      <c r="G769" t="s">
        <v>170</v>
      </c>
      <c r="H769" t="s">
        <v>170</v>
      </c>
    </row>
    <row r="770" spans="1:8" x14ac:dyDescent="0.2">
      <c r="A770" t="s">
        <v>674</v>
      </c>
      <c r="B770" t="s">
        <v>1616</v>
      </c>
      <c r="C770" t="s">
        <v>575</v>
      </c>
      <c r="D770" t="s">
        <v>136</v>
      </c>
      <c r="E770">
        <v>12000000</v>
      </c>
      <c r="F770" t="s">
        <v>182</v>
      </c>
      <c r="G770" t="s">
        <v>183</v>
      </c>
      <c r="H770" t="s">
        <v>184</v>
      </c>
    </row>
    <row r="771" spans="1:8" x14ac:dyDescent="0.2">
      <c r="A771" t="s">
        <v>674</v>
      </c>
      <c r="B771" t="s">
        <v>1617</v>
      </c>
      <c r="C771" t="s">
        <v>289</v>
      </c>
      <c r="D771" t="s">
        <v>136</v>
      </c>
      <c r="E771">
        <v>1893540</v>
      </c>
      <c r="F771" t="s">
        <v>290</v>
      </c>
      <c r="G771" t="s">
        <v>183</v>
      </c>
      <c r="H771" t="s">
        <v>184</v>
      </c>
    </row>
    <row r="772" spans="1:8" x14ac:dyDescent="0.2">
      <c r="A772" t="s">
        <v>1618</v>
      </c>
      <c r="B772" t="s">
        <v>1619</v>
      </c>
      <c r="C772" t="s">
        <v>166</v>
      </c>
      <c r="D772" t="s">
        <v>136</v>
      </c>
      <c r="E772">
        <v>90000000</v>
      </c>
      <c r="F772" t="s">
        <v>166</v>
      </c>
      <c r="G772" t="s">
        <v>166</v>
      </c>
      <c r="H772" t="s">
        <v>160</v>
      </c>
    </row>
    <row r="773" spans="1:8" x14ac:dyDescent="0.2">
      <c r="A773" t="s">
        <v>1620</v>
      </c>
      <c r="B773" t="s">
        <v>1621</v>
      </c>
      <c r="C773" t="s">
        <v>237</v>
      </c>
      <c r="D773" t="s">
        <v>143</v>
      </c>
      <c r="E773">
        <v>80135051</v>
      </c>
      <c r="F773" t="s">
        <v>154</v>
      </c>
      <c r="G773" t="s">
        <v>155</v>
      </c>
      <c r="H773" t="s">
        <v>139</v>
      </c>
    </row>
    <row r="774" spans="1:8" x14ac:dyDescent="0.2">
      <c r="A774" t="s">
        <v>1622</v>
      </c>
      <c r="B774" t="s">
        <v>1623</v>
      </c>
      <c r="C774" t="s">
        <v>1466</v>
      </c>
      <c r="D774" t="s">
        <v>136</v>
      </c>
      <c r="E774">
        <v>4586000</v>
      </c>
      <c r="F774" t="s">
        <v>667</v>
      </c>
      <c r="G774" t="s">
        <v>668</v>
      </c>
      <c r="H774" t="s">
        <v>668</v>
      </c>
    </row>
    <row r="775" spans="1:8" x14ac:dyDescent="0.2">
      <c r="A775" t="s">
        <v>1624</v>
      </c>
      <c r="B775" t="s">
        <v>1625</v>
      </c>
      <c r="C775" t="s">
        <v>153</v>
      </c>
      <c r="D775" t="s">
        <v>136</v>
      </c>
      <c r="E775">
        <v>100741465</v>
      </c>
      <c r="F775" t="s">
        <v>154</v>
      </c>
      <c r="G775" t="s">
        <v>155</v>
      </c>
      <c r="H775" t="s">
        <v>139</v>
      </c>
    </row>
    <row r="776" spans="1:8" x14ac:dyDescent="0.2">
      <c r="A776" t="s">
        <v>674</v>
      </c>
      <c r="B776" t="s">
        <v>1626</v>
      </c>
      <c r="C776" t="s">
        <v>208</v>
      </c>
      <c r="D776" t="s">
        <v>136</v>
      </c>
      <c r="E776">
        <v>15000000</v>
      </c>
      <c r="F776" t="s">
        <v>195</v>
      </c>
      <c r="G776" t="s">
        <v>195</v>
      </c>
      <c r="H776" t="s">
        <v>184</v>
      </c>
    </row>
    <row r="777" spans="1:8" x14ac:dyDescent="0.2">
      <c r="A777" t="s">
        <v>1627</v>
      </c>
      <c r="B777" t="s">
        <v>1628</v>
      </c>
      <c r="C777" t="s">
        <v>163</v>
      </c>
      <c r="D777" t="s">
        <v>136</v>
      </c>
      <c r="E777">
        <v>31751000</v>
      </c>
      <c r="F777" t="s">
        <v>137</v>
      </c>
      <c r="G777" t="s">
        <v>138</v>
      </c>
      <c r="H777" t="s">
        <v>139</v>
      </c>
    </row>
    <row r="778" spans="1:8" x14ac:dyDescent="0.2">
      <c r="A778" t="s">
        <v>1629</v>
      </c>
      <c r="B778" t="s">
        <v>1630</v>
      </c>
      <c r="C778" t="s">
        <v>166</v>
      </c>
      <c r="D778" t="s">
        <v>136</v>
      </c>
      <c r="E778">
        <v>5289715</v>
      </c>
      <c r="F778" t="s">
        <v>166</v>
      </c>
      <c r="G778" t="s">
        <v>166</v>
      </c>
      <c r="H778" t="s">
        <v>160</v>
      </c>
    </row>
    <row r="779" spans="1:8" x14ac:dyDescent="0.2">
      <c r="A779" t="s">
        <v>674</v>
      </c>
      <c r="B779" t="s">
        <v>1631</v>
      </c>
      <c r="C779" t="s">
        <v>792</v>
      </c>
      <c r="D779" t="s">
        <v>167</v>
      </c>
      <c r="E779">
        <v>15139745</v>
      </c>
      <c r="F779" t="s">
        <v>290</v>
      </c>
      <c r="G779" t="s">
        <v>183</v>
      </c>
      <c r="H779" t="s">
        <v>184</v>
      </c>
    </row>
    <row r="780" spans="1:8" x14ac:dyDescent="0.2">
      <c r="A780" t="s">
        <v>1632</v>
      </c>
      <c r="B780" t="s">
        <v>1633</v>
      </c>
      <c r="C780" t="s">
        <v>434</v>
      </c>
      <c r="D780" t="s">
        <v>167</v>
      </c>
      <c r="E780">
        <v>4267683</v>
      </c>
      <c r="F780" t="s">
        <v>326</v>
      </c>
      <c r="G780" t="s">
        <v>327</v>
      </c>
      <c r="H780" t="s">
        <v>217</v>
      </c>
    </row>
    <row r="781" spans="1:8" x14ac:dyDescent="0.2">
      <c r="A781" t="s">
        <v>1634</v>
      </c>
      <c r="B781" t="s">
        <v>1635</v>
      </c>
      <c r="C781" t="s">
        <v>170</v>
      </c>
      <c r="D781" t="s">
        <v>143</v>
      </c>
      <c r="E781">
        <v>5287084052</v>
      </c>
      <c r="F781" t="s">
        <v>170</v>
      </c>
      <c r="G781" t="s">
        <v>170</v>
      </c>
      <c r="H781" t="s">
        <v>170</v>
      </c>
    </row>
    <row r="782" spans="1:8" x14ac:dyDescent="0.2">
      <c r="A782" t="s">
        <v>674</v>
      </c>
      <c r="B782" t="s">
        <v>1636</v>
      </c>
      <c r="C782" t="s">
        <v>194</v>
      </c>
      <c r="D782" t="s">
        <v>167</v>
      </c>
      <c r="E782">
        <v>120218540</v>
      </c>
      <c r="F782" t="s">
        <v>195</v>
      </c>
      <c r="G782" t="s">
        <v>195</v>
      </c>
      <c r="H782" t="s">
        <v>184</v>
      </c>
    </row>
    <row r="783" spans="1:8" x14ac:dyDescent="0.2">
      <c r="A783" t="s">
        <v>674</v>
      </c>
      <c r="B783" t="s">
        <v>1637</v>
      </c>
      <c r="C783" t="s">
        <v>441</v>
      </c>
      <c r="D783" t="s">
        <v>136</v>
      </c>
      <c r="E783">
        <v>5750000</v>
      </c>
      <c r="F783" t="s">
        <v>182</v>
      </c>
      <c r="G783" t="s">
        <v>183</v>
      </c>
      <c r="H783" t="s">
        <v>184</v>
      </c>
    </row>
    <row r="784" spans="1:8" x14ac:dyDescent="0.2">
      <c r="A784" t="s">
        <v>1638</v>
      </c>
      <c r="B784" t="s">
        <v>1639</v>
      </c>
      <c r="C784" t="s">
        <v>158</v>
      </c>
      <c r="D784" t="s">
        <v>167</v>
      </c>
      <c r="E784">
        <v>437669993</v>
      </c>
      <c r="F784" t="s">
        <v>159</v>
      </c>
      <c r="G784" t="s">
        <v>159</v>
      </c>
      <c r="H784" t="s">
        <v>160</v>
      </c>
    </row>
    <row r="785" spans="1:8" x14ac:dyDescent="0.2">
      <c r="A785" t="s">
        <v>674</v>
      </c>
      <c r="B785" t="s">
        <v>1640</v>
      </c>
      <c r="C785" t="s">
        <v>194</v>
      </c>
      <c r="D785" t="s">
        <v>167</v>
      </c>
      <c r="E785">
        <v>5016124</v>
      </c>
      <c r="F785" t="s">
        <v>195</v>
      </c>
      <c r="G785" t="s">
        <v>195</v>
      </c>
      <c r="H785" t="s">
        <v>184</v>
      </c>
    </row>
    <row r="786" spans="1:8" x14ac:dyDescent="0.2">
      <c r="A786" t="s">
        <v>1641</v>
      </c>
      <c r="B786" t="s">
        <v>1642</v>
      </c>
      <c r="C786" t="s">
        <v>237</v>
      </c>
      <c r="D786" t="s">
        <v>167</v>
      </c>
      <c r="E786">
        <v>10777838</v>
      </c>
      <c r="F786" t="s">
        <v>154</v>
      </c>
      <c r="G786" t="s">
        <v>155</v>
      </c>
      <c r="H786" t="s">
        <v>139</v>
      </c>
    </row>
    <row r="787" spans="1:8" x14ac:dyDescent="0.2">
      <c r="A787" t="s">
        <v>674</v>
      </c>
      <c r="B787" t="s">
        <v>1643</v>
      </c>
      <c r="C787" t="s">
        <v>208</v>
      </c>
      <c r="D787" t="s">
        <v>136</v>
      </c>
      <c r="E787">
        <v>57510000</v>
      </c>
      <c r="F787" t="s">
        <v>195</v>
      </c>
      <c r="G787" t="s">
        <v>195</v>
      </c>
      <c r="H787" t="s">
        <v>184</v>
      </c>
    </row>
    <row r="788" spans="1:8" x14ac:dyDescent="0.2">
      <c r="A788" t="s">
        <v>1644</v>
      </c>
      <c r="B788" t="s">
        <v>1645</v>
      </c>
      <c r="C788" t="s">
        <v>237</v>
      </c>
      <c r="D788" t="s">
        <v>136</v>
      </c>
      <c r="E788">
        <v>728422544</v>
      </c>
      <c r="F788" t="s">
        <v>154</v>
      </c>
      <c r="G788" t="s">
        <v>155</v>
      </c>
      <c r="H788" t="s">
        <v>139</v>
      </c>
    </row>
    <row r="789" spans="1:8" x14ac:dyDescent="0.2">
      <c r="A789" t="s">
        <v>3069</v>
      </c>
      <c r="B789" t="s">
        <v>3070</v>
      </c>
      <c r="C789" t="s">
        <v>237</v>
      </c>
      <c r="D789" t="s">
        <v>143</v>
      </c>
      <c r="E789">
        <v>110000000</v>
      </c>
      <c r="F789" t="s">
        <v>154</v>
      </c>
      <c r="G789" t="s">
        <v>155</v>
      </c>
      <c r="H789" t="s">
        <v>139</v>
      </c>
    </row>
    <row r="790" spans="1:8" x14ac:dyDescent="0.2">
      <c r="A790" t="s">
        <v>674</v>
      </c>
      <c r="B790" t="s">
        <v>1646</v>
      </c>
      <c r="C790" t="s">
        <v>208</v>
      </c>
      <c r="D790" t="s">
        <v>167</v>
      </c>
      <c r="E790">
        <v>4103929</v>
      </c>
      <c r="F790" t="s">
        <v>195</v>
      </c>
      <c r="G790" t="s">
        <v>195</v>
      </c>
      <c r="H790" t="s">
        <v>184</v>
      </c>
    </row>
    <row r="791" spans="1:8" x14ac:dyDescent="0.2">
      <c r="A791" t="s">
        <v>674</v>
      </c>
      <c r="B791" t="s">
        <v>1647</v>
      </c>
      <c r="C791" t="s">
        <v>283</v>
      </c>
      <c r="D791" t="s">
        <v>143</v>
      </c>
      <c r="E791">
        <v>15071337</v>
      </c>
      <c r="F791" t="s">
        <v>284</v>
      </c>
      <c r="G791" t="s">
        <v>183</v>
      </c>
      <c r="H791" t="s">
        <v>184</v>
      </c>
    </row>
    <row r="792" spans="1:8" x14ac:dyDescent="0.2">
      <c r="A792" t="s">
        <v>674</v>
      </c>
      <c r="B792" t="s">
        <v>1648</v>
      </c>
      <c r="C792" t="s">
        <v>441</v>
      </c>
      <c r="D792" t="s">
        <v>136</v>
      </c>
      <c r="E792">
        <v>1200000</v>
      </c>
      <c r="F792" t="s">
        <v>182</v>
      </c>
      <c r="G792" t="s">
        <v>183</v>
      </c>
      <c r="H792" t="s">
        <v>184</v>
      </c>
    </row>
    <row r="793" spans="1:8" x14ac:dyDescent="0.2">
      <c r="A793" t="s">
        <v>1649</v>
      </c>
      <c r="B793" t="s">
        <v>1650</v>
      </c>
      <c r="C793" t="s">
        <v>148</v>
      </c>
      <c r="D793" t="s">
        <v>167</v>
      </c>
      <c r="E793">
        <v>21418346</v>
      </c>
      <c r="F793" t="s">
        <v>149</v>
      </c>
      <c r="G793" t="s">
        <v>150</v>
      </c>
      <c r="H793" t="s">
        <v>145</v>
      </c>
    </row>
    <row r="794" spans="1:8" x14ac:dyDescent="0.2">
      <c r="A794" t="s">
        <v>1651</v>
      </c>
      <c r="B794" t="s">
        <v>1652</v>
      </c>
      <c r="C794" t="s">
        <v>200</v>
      </c>
      <c r="D794" t="s">
        <v>136</v>
      </c>
      <c r="E794">
        <v>55113595</v>
      </c>
      <c r="F794" t="s">
        <v>201</v>
      </c>
      <c r="G794" t="s">
        <v>150</v>
      </c>
      <c r="H794" t="s">
        <v>145</v>
      </c>
    </row>
    <row r="795" spans="1:8" x14ac:dyDescent="0.2">
      <c r="A795" t="s">
        <v>674</v>
      </c>
      <c r="B795" t="s">
        <v>1653</v>
      </c>
      <c r="C795" t="s">
        <v>194</v>
      </c>
      <c r="D795" t="s">
        <v>143</v>
      </c>
      <c r="E795">
        <v>10889031</v>
      </c>
      <c r="F795" t="s">
        <v>195</v>
      </c>
      <c r="G795" t="s">
        <v>195</v>
      </c>
      <c r="H795" t="s">
        <v>184</v>
      </c>
    </row>
    <row r="796" spans="1:8" x14ac:dyDescent="0.2">
      <c r="A796" t="s">
        <v>674</v>
      </c>
      <c r="B796" t="s">
        <v>1654</v>
      </c>
      <c r="C796" t="s">
        <v>208</v>
      </c>
      <c r="D796" t="s">
        <v>136</v>
      </c>
      <c r="E796">
        <v>8353620</v>
      </c>
      <c r="F796" t="s">
        <v>195</v>
      </c>
      <c r="G796" t="s">
        <v>195</v>
      </c>
      <c r="H796" t="s">
        <v>184</v>
      </c>
    </row>
    <row r="797" spans="1:8" x14ac:dyDescent="0.2">
      <c r="A797" t="s">
        <v>1655</v>
      </c>
      <c r="B797" t="s">
        <v>1656</v>
      </c>
      <c r="C797" t="s">
        <v>240</v>
      </c>
      <c r="D797" t="s">
        <v>167</v>
      </c>
      <c r="E797">
        <v>12410000</v>
      </c>
      <c r="F797" t="s">
        <v>240</v>
      </c>
      <c r="G797" t="s">
        <v>241</v>
      </c>
      <c r="H797" t="s">
        <v>242</v>
      </c>
    </row>
    <row r="798" spans="1:8" x14ac:dyDescent="0.2">
      <c r="A798" t="s">
        <v>1657</v>
      </c>
      <c r="B798" t="s">
        <v>1658</v>
      </c>
      <c r="C798" t="s">
        <v>891</v>
      </c>
      <c r="D798" t="s">
        <v>136</v>
      </c>
      <c r="E798">
        <v>3940522</v>
      </c>
      <c r="F798" t="s">
        <v>269</v>
      </c>
      <c r="G798" t="s">
        <v>241</v>
      </c>
      <c r="H798" t="s">
        <v>242</v>
      </c>
    </row>
    <row r="799" spans="1:8" x14ac:dyDescent="0.2">
      <c r="A799" t="s">
        <v>1659</v>
      </c>
      <c r="B799" t="s">
        <v>1660</v>
      </c>
      <c r="C799" t="s">
        <v>355</v>
      </c>
      <c r="D799" t="s">
        <v>167</v>
      </c>
      <c r="E799">
        <v>15000000</v>
      </c>
      <c r="F799" t="s">
        <v>356</v>
      </c>
      <c r="G799" t="s">
        <v>150</v>
      </c>
      <c r="H799" t="s">
        <v>145</v>
      </c>
    </row>
    <row r="800" spans="1:8" x14ac:dyDescent="0.2">
      <c r="A800" t="s">
        <v>674</v>
      </c>
      <c r="B800" t="s">
        <v>1661</v>
      </c>
      <c r="C800" t="s">
        <v>208</v>
      </c>
      <c r="D800" t="s">
        <v>136</v>
      </c>
      <c r="E800">
        <v>18600000</v>
      </c>
      <c r="F800" t="s">
        <v>195</v>
      </c>
      <c r="G800" t="s">
        <v>195</v>
      </c>
      <c r="H800" t="s">
        <v>184</v>
      </c>
    </row>
    <row r="801" spans="1:8" x14ac:dyDescent="0.2">
      <c r="A801" t="s">
        <v>1662</v>
      </c>
      <c r="B801" t="s">
        <v>1663</v>
      </c>
      <c r="C801" t="s">
        <v>173</v>
      </c>
      <c r="D801" t="s">
        <v>136</v>
      </c>
      <c r="E801">
        <v>7062979</v>
      </c>
      <c r="F801" t="s">
        <v>173</v>
      </c>
      <c r="G801" t="s">
        <v>174</v>
      </c>
      <c r="H801" t="s">
        <v>174</v>
      </c>
    </row>
    <row r="802" spans="1:8" x14ac:dyDescent="0.2">
      <c r="A802" t="s">
        <v>1664</v>
      </c>
      <c r="B802" t="s">
        <v>1665</v>
      </c>
      <c r="C802" t="s">
        <v>149</v>
      </c>
      <c r="D802" t="s">
        <v>136</v>
      </c>
      <c r="E802">
        <v>10800000</v>
      </c>
      <c r="F802" t="s">
        <v>149</v>
      </c>
      <c r="G802" t="s">
        <v>150</v>
      </c>
      <c r="H802" t="s">
        <v>145</v>
      </c>
    </row>
    <row r="803" spans="1:8" x14ac:dyDescent="0.2">
      <c r="A803" t="s">
        <v>1666</v>
      </c>
      <c r="B803" t="s">
        <v>1667</v>
      </c>
      <c r="C803" t="s">
        <v>163</v>
      </c>
      <c r="D803" t="s">
        <v>136</v>
      </c>
      <c r="E803">
        <v>8999622</v>
      </c>
      <c r="F803" t="s">
        <v>137</v>
      </c>
      <c r="G803" t="s">
        <v>138</v>
      </c>
      <c r="H803" t="s">
        <v>139</v>
      </c>
    </row>
    <row r="804" spans="1:8" x14ac:dyDescent="0.2">
      <c r="A804" t="s">
        <v>1668</v>
      </c>
      <c r="B804" t="s">
        <v>1669</v>
      </c>
      <c r="C804" t="s">
        <v>166</v>
      </c>
      <c r="D804" t="s">
        <v>136</v>
      </c>
      <c r="E804">
        <v>20000000</v>
      </c>
      <c r="F804" t="s">
        <v>166</v>
      </c>
      <c r="G804" t="s">
        <v>166</v>
      </c>
      <c r="H804" t="s">
        <v>160</v>
      </c>
    </row>
    <row r="805" spans="1:8" x14ac:dyDescent="0.2">
      <c r="A805" t="s">
        <v>1670</v>
      </c>
      <c r="B805" t="s">
        <v>1671</v>
      </c>
      <c r="C805" t="s">
        <v>166</v>
      </c>
      <c r="D805" t="s">
        <v>136</v>
      </c>
      <c r="E805">
        <v>24000000</v>
      </c>
      <c r="F805" t="s">
        <v>166</v>
      </c>
      <c r="G805" t="s">
        <v>166</v>
      </c>
      <c r="H805" t="s">
        <v>160</v>
      </c>
    </row>
    <row r="806" spans="1:8" x14ac:dyDescent="0.2">
      <c r="A806" t="s">
        <v>674</v>
      </c>
      <c r="B806" t="s">
        <v>1673</v>
      </c>
      <c r="C806" t="s">
        <v>903</v>
      </c>
      <c r="D806" t="s">
        <v>143</v>
      </c>
      <c r="E806">
        <v>41406964</v>
      </c>
      <c r="F806" t="s">
        <v>212</v>
      </c>
      <c r="G806" t="s">
        <v>183</v>
      </c>
      <c r="H806" t="s">
        <v>184</v>
      </c>
    </row>
    <row r="807" spans="1:8" x14ac:dyDescent="0.2">
      <c r="A807" t="s">
        <v>1674</v>
      </c>
      <c r="B807" t="s">
        <v>1675</v>
      </c>
      <c r="C807" t="s">
        <v>149</v>
      </c>
      <c r="D807" t="s">
        <v>136</v>
      </c>
      <c r="E807">
        <v>5544946</v>
      </c>
      <c r="F807" t="s">
        <v>149</v>
      </c>
      <c r="G807" t="s">
        <v>150</v>
      </c>
      <c r="H807" t="s">
        <v>145</v>
      </c>
    </row>
    <row r="808" spans="1:8" x14ac:dyDescent="0.2">
      <c r="A808" t="s">
        <v>674</v>
      </c>
      <c r="B808" t="s">
        <v>1676</v>
      </c>
      <c r="C808" t="s">
        <v>289</v>
      </c>
      <c r="D808" t="s">
        <v>136</v>
      </c>
      <c r="E808">
        <v>141991500</v>
      </c>
      <c r="F808" t="s">
        <v>290</v>
      </c>
      <c r="G808" t="s">
        <v>183</v>
      </c>
      <c r="H808" t="s">
        <v>184</v>
      </c>
    </row>
    <row r="809" spans="1:8" x14ac:dyDescent="0.2">
      <c r="A809" t="s">
        <v>1677</v>
      </c>
      <c r="B809" t="s">
        <v>1678</v>
      </c>
      <c r="C809" t="s">
        <v>177</v>
      </c>
      <c r="D809" t="s">
        <v>143</v>
      </c>
      <c r="E809">
        <v>172672500</v>
      </c>
      <c r="F809" t="s">
        <v>177</v>
      </c>
      <c r="G809" t="s">
        <v>178</v>
      </c>
      <c r="H809" t="s">
        <v>160</v>
      </c>
    </row>
    <row r="810" spans="1:8" x14ac:dyDescent="0.2">
      <c r="A810" t="s">
        <v>1679</v>
      </c>
      <c r="B810" t="s">
        <v>1680</v>
      </c>
      <c r="C810" t="s">
        <v>149</v>
      </c>
      <c r="D810" t="s">
        <v>136</v>
      </c>
      <c r="E810">
        <v>3409860</v>
      </c>
      <c r="F810" t="s">
        <v>149</v>
      </c>
      <c r="G810" t="s">
        <v>150</v>
      </c>
      <c r="H810" t="s">
        <v>145</v>
      </c>
    </row>
    <row r="811" spans="1:8" x14ac:dyDescent="0.2">
      <c r="A811" t="s">
        <v>1681</v>
      </c>
      <c r="B811" t="s">
        <v>1682</v>
      </c>
      <c r="C811" t="s">
        <v>240</v>
      </c>
      <c r="D811" t="s">
        <v>136</v>
      </c>
      <c r="E811">
        <v>25545867</v>
      </c>
      <c r="F811" t="s">
        <v>240</v>
      </c>
      <c r="G811" t="s">
        <v>241</v>
      </c>
      <c r="H811" t="s">
        <v>242</v>
      </c>
    </row>
    <row r="812" spans="1:8" x14ac:dyDescent="0.2">
      <c r="A812" t="s">
        <v>1683</v>
      </c>
      <c r="B812" t="s">
        <v>1684</v>
      </c>
      <c r="C812" t="s">
        <v>240</v>
      </c>
      <c r="D812" t="s">
        <v>167</v>
      </c>
      <c r="E812">
        <v>5000038</v>
      </c>
      <c r="F812" t="s">
        <v>240</v>
      </c>
      <c r="G812" t="s">
        <v>241</v>
      </c>
      <c r="H812" t="s">
        <v>242</v>
      </c>
    </row>
    <row r="813" spans="1:8" x14ac:dyDescent="0.2">
      <c r="A813" t="s">
        <v>674</v>
      </c>
      <c r="B813" t="s">
        <v>1685</v>
      </c>
      <c r="C813" t="s">
        <v>441</v>
      </c>
      <c r="D813" t="s">
        <v>136</v>
      </c>
      <c r="E813">
        <v>4171175</v>
      </c>
      <c r="F813" t="s">
        <v>182</v>
      </c>
      <c r="G813" t="s">
        <v>183</v>
      </c>
      <c r="H813" t="s">
        <v>184</v>
      </c>
    </row>
    <row r="814" spans="1:8" x14ac:dyDescent="0.2">
      <c r="A814" t="s">
        <v>1686</v>
      </c>
      <c r="B814" t="s">
        <v>1687</v>
      </c>
      <c r="C814" t="s">
        <v>153</v>
      </c>
      <c r="D814" t="s">
        <v>136</v>
      </c>
      <c r="E814">
        <v>4000000</v>
      </c>
      <c r="F814" t="s">
        <v>154</v>
      </c>
      <c r="G814" t="s">
        <v>155</v>
      </c>
      <c r="H814" t="s">
        <v>139</v>
      </c>
    </row>
    <row r="815" spans="1:8" x14ac:dyDescent="0.2">
      <c r="A815" t="s">
        <v>1688</v>
      </c>
      <c r="B815" t="s">
        <v>1689</v>
      </c>
      <c r="C815" t="s">
        <v>237</v>
      </c>
      <c r="D815" t="s">
        <v>136</v>
      </c>
      <c r="E815">
        <v>327417947</v>
      </c>
      <c r="F815" t="s">
        <v>154</v>
      </c>
      <c r="G815" t="s">
        <v>155</v>
      </c>
      <c r="H815" t="s">
        <v>139</v>
      </c>
    </row>
    <row r="816" spans="1:8" x14ac:dyDescent="0.2">
      <c r="A816" t="s">
        <v>1690</v>
      </c>
      <c r="B816" t="s">
        <v>1691</v>
      </c>
      <c r="C816" t="s">
        <v>163</v>
      </c>
      <c r="D816" t="s">
        <v>136</v>
      </c>
      <c r="E816">
        <v>20000000</v>
      </c>
      <c r="F816" t="s">
        <v>137</v>
      </c>
      <c r="G816" t="s">
        <v>138</v>
      </c>
      <c r="H816" t="s">
        <v>139</v>
      </c>
    </row>
    <row r="817" spans="1:8" x14ac:dyDescent="0.2">
      <c r="A817" t="s">
        <v>674</v>
      </c>
      <c r="B817" t="s">
        <v>1692</v>
      </c>
      <c r="C817" t="s">
        <v>441</v>
      </c>
      <c r="D817" t="s">
        <v>136</v>
      </c>
      <c r="E817">
        <v>2194475</v>
      </c>
      <c r="F817" t="s">
        <v>182</v>
      </c>
      <c r="G817" t="s">
        <v>183</v>
      </c>
      <c r="H817" t="s">
        <v>184</v>
      </c>
    </row>
    <row r="818" spans="1:8" x14ac:dyDescent="0.2">
      <c r="A818" t="s">
        <v>1693</v>
      </c>
      <c r="B818" t="s">
        <v>1694</v>
      </c>
      <c r="C818" t="s">
        <v>153</v>
      </c>
      <c r="D818" t="s">
        <v>136</v>
      </c>
      <c r="E818">
        <v>399887300</v>
      </c>
      <c r="F818" t="s">
        <v>154</v>
      </c>
      <c r="G818" t="s">
        <v>155</v>
      </c>
      <c r="H818" t="s">
        <v>139</v>
      </c>
    </row>
    <row r="819" spans="1:8" x14ac:dyDescent="0.2">
      <c r="A819" t="s">
        <v>1695</v>
      </c>
      <c r="B819" t="s">
        <v>1696</v>
      </c>
      <c r="C819" t="s">
        <v>163</v>
      </c>
      <c r="D819" t="s">
        <v>136</v>
      </c>
      <c r="E819">
        <v>17107164</v>
      </c>
      <c r="F819" t="s">
        <v>137</v>
      </c>
      <c r="G819" t="s">
        <v>138</v>
      </c>
      <c r="H819" t="s">
        <v>139</v>
      </c>
    </row>
    <row r="820" spans="1:8" x14ac:dyDescent="0.2">
      <c r="A820" t="s">
        <v>674</v>
      </c>
      <c r="B820" t="s">
        <v>1697</v>
      </c>
      <c r="C820" t="s">
        <v>441</v>
      </c>
      <c r="D820" t="s">
        <v>136</v>
      </c>
      <c r="E820">
        <v>6143000</v>
      </c>
      <c r="F820" t="s">
        <v>182</v>
      </c>
      <c r="G820" t="s">
        <v>183</v>
      </c>
      <c r="H820" t="s">
        <v>184</v>
      </c>
    </row>
    <row r="821" spans="1:8" x14ac:dyDescent="0.2">
      <c r="A821" t="s">
        <v>674</v>
      </c>
      <c r="B821" t="s">
        <v>1698</v>
      </c>
      <c r="C821" t="s">
        <v>441</v>
      </c>
      <c r="D821" t="s">
        <v>136</v>
      </c>
      <c r="E821">
        <v>3675675</v>
      </c>
      <c r="F821" t="s">
        <v>182</v>
      </c>
      <c r="G821" t="s">
        <v>183</v>
      </c>
      <c r="H821" t="s">
        <v>184</v>
      </c>
    </row>
    <row r="822" spans="1:8" x14ac:dyDescent="0.2">
      <c r="A822" t="s">
        <v>674</v>
      </c>
      <c r="B822" t="s">
        <v>1699</v>
      </c>
      <c r="C822" t="s">
        <v>441</v>
      </c>
      <c r="D822" t="s">
        <v>136</v>
      </c>
      <c r="E822">
        <v>5800882</v>
      </c>
      <c r="F822" t="s">
        <v>182</v>
      </c>
      <c r="G822" t="s">
        <v>183</v>
      </c>
      <c r="H822" t="s">
        <v>184</v>
      </c>
    </row>
    <row r="823" spans="1:8" x14ac:dyDescent="0.2">
      <c r="A823" t="s">
        <v>1700</v>
      </c>
      <c r="B823" t="s">
        <v>1701</v>
      </c>
      <c r="C823" t="s">
        <v>268</v>
      </c>
      <c r="D823" t="s">
        <v>136</v>
      </c>
      <c r="E823">
        <v>6796172</v>
      </c>
      <c r="F823" t="s">
        <v>269</v>
      </c>
      <c r="G823" t="s">
        <v>241</v>
      </c>
      <c r="H823" t="s">
        <v>242</v>
      </c>
    </row>
    <row r="824" spans="1:8" x14ac:dyDescent="0.2">
      <c r="A824" t="s">
        <v>1702</v>
      </c>
      <c r="B824" t="s">
        <v>1703</v>
      </c>
      <c r="C824" t="s">
        <v>170</v>
      </c>
      <c r="D824" t="s">
        <v>143</v>
      </c>
      <c r="E824">
        <v>2000000000</v>
      </c>
      <c r="F824" t="s">
        <v>170</v>
      </c>
      <c r="G824" t="s">
        <v>170</v>
      </c>
      <c r="H824" t="s">
        <v>170</v>
      </c>
    </row>
    <row r="825" spans="1:8" x14ac:dyDescent="0.2">
      <c r="A825" t="s">
        <v>1704</v>
      </c>
      <c r="B825" t="s">
        <v>1705</v>
      </c>
      <c r="C825" t="s">
        <v>163</v>
      </c>
      <c r="D825" t="s">
        <v>143</v>
      </c>
      <c r="E825">
        <v>75014100</v>
      </c>
      <c r="F825" t="s">
        <v>137</v>
      </c>
      <c r="G825" t="s">
        <v>138</v>
      </c>
      <c r="H825" t="s">
        <v>139</v>
      </c>
    </row>
    <row r="826" spans="1:8" x14ac:dyDescent="0.2">
      <c r="A826" t="s">
        <v>1706</v>
      </c>
      <c r="B826" t="s">
        <v>1707</v>
      </c>
      <c r="C826" t="s">
        <v>237</v>
      </c>
      <c r="D826" t="s">
        <v>143</v>
      </c>
      <c r="E826">
        <v>1438351617</v>
      </c>
      <c r="F826" t="s">
        <v>154</v>
      </c>
      <c r="G826" t="s">
        <v>155</v>
      </c>
      <c r="H826" t="s">
        <v>139</v>
      </c>
    </row>
    <row r="827" spans="1:8" x14ac:dyDescent="0.2">
      <c r="A827" t="s">
        <v>1708</v>
      </c>
      <c r="B827" t="s">
        <v>1709</v>
      </c>
      <c r="C827" t="s">
        <v>149</v>
      </c>
      <c r="D827" t="s">
        <v>136</v>
      </c>
      <c r="E827">
        <v>1099155420</v>
      </c>
      <c r="F827" t="s">
        <v>149</v>
      </c>
      <c r="G827" t="s">
        <v>150</v>
      </c>
      <c r="H827" t="s">
        <v>145</v>
      </c>
    </row>
    <row r="828" spans="1:8" x14ac:dyDescent="0.2">
      <c r="A828" t="s">
        <v>674</v>
      </c>
      <c r="B828" t="s">
        <v>1710</v>
      </c>
      <c r="C828" t="s">
        <v>208</v>
      </c>
      <c r="D828" t="s">
        <v>167</v>
      </c>
      <c r="E828">
        <v>76004301</v>
      </c>
      <c r="F828" t="s">
        <v>195</v>
      </c>
      <c r="G828" t="s">
        <v>195</v>
      </c>
      <c r="H828" t="s">
        <v>184</v>
      </c>
    </row>
    <row r="829" spans="1:8" x14ac:dyDescent="0.2">
      <c r="A829" t="s">
        <v>1711</v>
      </c>
      <c r="B829" t="s">
        <v>1712</v>
      </c>
      <c r="C829" t="s">
        <v>149</v>
      </c>
      <c r="D829" t="s">
        <v>136</v>
      </c>
      <c r="E829">
        <v>110113591</v>
      </c>
      <c r="F829" t="s">
        <v>149</v>
      </c>
      <c r="G829" t="s">
        <v>150</v>
      </c>
      <c r="H829" t="s">
        <v>145</v>
      </c>
    </row>
    <row r="830" spans="1:8" x14ac:dyDescent="0.2">
      <c r="A830" t="s">
        <v>674</v>
      </c>
      <c r="B830" t="s">
        <v>1713</v>
      </c>
      <c r="C830" t="s">
        <v>441</v>
      </c>
      <c r="D830" t="s">
        <v>136</v>
      </c>
      <c r="E830">
        <v>6278259</v>
      </c>
      <c r="F830" t="s">
        <v>182</v>
      </c>
      <c r="G830" t="s">
        <v>183</v>
      </c>
      <c r="H830" t="s">
        <v>184</v>
      </c>
    </row>
    <row r="831" spans="1:8" x14ac:dyDescent="0.2">
      <c r="A831" t="s">
        <v>1714</v>
      </c>
      <c r="B831" t="s">
        <v>1715</v>
      </c>
      <c r="C831" t="s">
        <v>325</v>
      </c>
      <c r="D831" t="s">
        <v>136</v>
      </c>
      <c r="E831">
        <v>5200000</v>
      </c>
      <c r="F831" t="s">
        <v>326</v>
      </c>
      <c r="G831" t="s">
        <v>327</v>
      </c>
      <c r="H831" t="s">
        <v>217</v>
      </c>
    </row>
    <row r="832" spans="1:8" x14ac:dyDescent="0.2">
      <c r="A832" t="s">
        <v>1716</v>
      </c>
      <c r="B832" t="s">
        <v>1717</v>
      </c>
      <c r="C832" t="s">
        <v>310</v>
      </c>
      <c r="D832" t="s">
        <v>136</v>
      </c>
      <c r="E832">
        <v>10450000</v>
      </c>
      <c r="F832" t="s">
        <v>311</v>
      </c>
      <c r="G832" t="s">
        <v>312</v>
      </c>
      <c r="H832" t="s">
        <v>313</v>
      </c>
    </row>
    <row r="833" spans="1:8" x14ac:dyDescent="0.2">
      <c r="A833" t="s">
        <v>674</v>
      </c>
      <c r="B833" t="s">
        <v>1718</v>
      </c>
      <c r="C833" t="s">
        <v>441</v>
      </c>
      <c r="D833" t="s">
        <v>136</v>
      </c>
      <c r="E833">
        <v>4787910</v>
      </c>
      <c r="F833" t="s">
        <v>182</v>
      </c>
      <c r="G833" t="s">
        <v>183</v>
      </c>
      <c r="H833" t="s">
        <v>184</v>
      </c>
    </row>
    <row r="834" spans="1:8" x14ac:dyDescent="0.2">
      <c r="A834" t="s">
        <v>674</v>
      </c>
      <c r="B834" t="s">
        <v>1719</v>
      </c>
      <c r="C834" t="s">
        <v>441</v>
      </c>
      <c r="D834" t="s">
        <v>136</v>
      </c>
      <c r="E834">
        <v>6000000</v>
      </c>
      <c r="F834" t="s">
        <v>182</v>
      </c>
      <c r="G834" t="s">
        <v>183</v>
      </c>
      <c r="H834" t="s">
        <v>184</v>
      </c>
    </row>
    <row r="835" spans="1:8" x14ac:dyDescent="0.2">
      <c r="A835" t="s">
        <v>1720</v>
      </c>
      <c r="B835" t="s">
        <v>1721</v>
      </c>
      <c r="C835" t="s">
        <v>240</v>
      </c>
      <c r="D835" t="s">
        <v>136</v>
      </c>
      <c r="E835">
        <v>7455406</v>
      </c>
      <c r="F835" t="s">
        <v>240</v>
      </c>
      <c r="G835" t="s">
        <v>241</v>
      </c>
      <c r="H835" t="s">
        <v>242</v>
      </c>
    </row>
    <row r="836" spans="1:8" x14ac:dyDescent="0.2">
      <c r="A836" t="s">
        <v>674</v>
      </c>
      <c r="B836" t="s">
        <v>1722</v>
      </c>
      <c r="C836" t="s">
        <v>265</v>
      </c>
      <c r="D836" t="s">
        <v>136</v>
      </c>
      <c r="E836">
        <v>15000000</v>
      </c>
      <c r="F836" t="s">
        <v>182</v>
      </c>
      <c r="G836" t="s">
        <v>183</v>
      </c>
      <c r="H836" t="s">
        <v>184</v>
      </c>
    </row>
    <row r="837" spans="1:8" x14ac:dyDescent="0.2">
      <c r="A837" t="s">
        <v>674</v>
      </c>
      <c r="B837" t="s">
        <v>1723</v>
      </c>
      <c r="C837" t="s">
        <v>441</v>
      </c>
      <c r="D837" t="s">
        <v>136</v>
      </c>
      <c r="E837">
        <v>5400000</v>
      </c>
      <c r="F837" t="s">
        <v>182</v>
      </c>
      <c r="G837" t="s">
        <v>183</v>
      </c>
      <c r="H837" t="s">
        <v>184</v>
      </c>
    </row>
    <row r="838" spans="1:8" x14ac:dyDescent="0.2">
      <c r="A838" t="s">
        <v>674</v>
      </c>
      <c r="B838" t="s">
        <v>3148</v>
      </c>
      <c r="C838" t="s">
        <v>441</v>
      </c>
      <c r="D838" t="s">
        <v>136</v>
      </c>
      <c r="E838">
        <v>645000</v>
      </c>
      <c r="F838" t="s">
        <v>182</v>
      </c>
      <c r="G838" t="s">
        <v>183</v>
      </c>
      <c r="H838" t="s">
        <v>184</v>
      </c>
    </row>
    <row r="839" spans="1:8" x14ac:dyDescent="0.2">
      <c r="A839" t="s">
        <v>1724</v>
      </c>
      <c r="B839" t="s">
        <v>1725</v>
      </c>
      <c r="C839" t="s">
        <v>149</v>
      </c>
      <c r="D839" t="s">
        <v>167</v>
      </c>
      <c r="E839">
        <v>105000000</v>
      </c>
      <c r="F839" t="s">
        <v>149</v>
      </c>
      <c r="G839" t="s">
        <v>150</v>
      </c>
      <c r="H839" t="s">
        <v>145</v>
      </c>
    </row>
    <row r="840" spans="1:8" x14ac:dyDescent="0.2">
      <c r="A840" t="s">
        <v>674</v>
      </c>
      <c r="B840" t="s">
        <v>1726</v>
      </c>
      <c r="C840" t="s">
        <v>194</v>
      </c>
      <c r="D840" t="s">
        <v>136</v>
      </c>
      <c r="E840">
        <v>100000000</v>
      </c>
      <c r="F840" t="s">
        <v>195</v>
      </c>
      <c r="G840" t="s">
        <v>195</v>
      </c>
      <c r="H840" t="s">
        <v>184</v>
      </c>
    </row>
    <row r="841" spans="1:8" x14ac:dyDescent="0.2">
      <c r="A841" t="s">
        <v>674</v>
      </c>
      <c r="B841" t="s">
        <v>1727</v>
      </c>
      <c r="C841" t="s">
        <v>826</v>
      </c>
      <c r="D841" t="s">
        <v>136</v>
      </c>
      <c r="E841">
        <v>6374700</v>
      </c>
      <c r="F841" t="s">
        <v>212</v>
      </c>
      <c r="G841" t="s">
        <v>183</v>
      </c>
      <c r="H841" t="s">
        <v>184</v>
      </c>
    </row>
    <row r="842" spans="1:8" x14ac:dyDescent="0.2">
      <c r="A842" t="s">
        <v>1728</v>
      </c>
      <c r="B842" t="s">
        <v>1729</v>
      </c>
      <c r="C842" t="s">
        <v>316</v>
      </c>
      <c r="D842" t="s">
        <v>143</v>
      </c>
      <c r="E842">
        <v>1462244177</v>
      </c>
      <c r="F842" t="s">
        <v>229</v>
      </c>
      <c r="G842" t="s">
        <v>229</v>
      </c>
      <c r="H842" t="s">
        <v>217</v>
      </c>
    </row>
    <row r="843" spans="1:8" x14ac:dyDescent="0.2">
      <c r="A843" t="s">
        <v>1730</v>
      </c>
      <c r="B843" t="s">
        <v>1731</v>
      </c>
      <c r="C843" t="s">
        <v>170</v>
      </c>
      <c r="D843" t="s">
        <v>143</v>
      </c>
      <c r="E843">
        <v>1322550553</v>
      </c>
      <c r="F843" t="s">
        <v>170</v>
      </c>
      <c r="G843" t="s">
        <v>170</v>
      </c>
      <c r="H843" t="s">
        <v>170</v>
      </c>
    </row>
    <row r="844" spans="1:8" x14ac:dyDescent="0.2">
      <c r="A844" t="s">
        <v>674</v>
      </c>
      <c r="B844" t="s">
        <v>1732</v>
      </c>
      <c r="C844" t="s">
        <v>208</v>
      </c>
      <c r="D844" t="s">
        <v>136</v>
      </c>
      <c r="E844">
        <v>2835000</v>
      </c>
      <c r="F844" t="s">
        <v>195</v>
      </c>
      <c r="G844" t="s">
        <v>195</v>
      </c>
      <c r="H844" t="s">
        <v>184</v>
      </c>
    </row>
    <row r="845" spans="1:8" x14ac:dyDescent="0.2">
      <c r="A845" t="s">
        <v>1733</v>
      </c>
      <c r="B845" t="s">
        <v>1734</v>
      </c>
      <c r="C845" t="s">
        <v>404</v>
      </c>
      <c r="D845" t="s">
        <v>143</v>
      </c>
      <c r="E845">
        <v>50564152</v>
      </c>
      <c r="F845" t="s">
        <v>348</v>
      </c>
      <c r="G845" t="s">
        <v>155</v>
      </c>
      <c r="H845" t="s">
        <v>139</v>
      </c>
    </row>
    <row r="846" spans="1:8" x14ac:dyDescent="0.2">
      <c r="A846" t="s">
        <v>674</v>
      </c>
      <c r="B846" t="s">
        <v>1735</v>
      </c>
      <c r="C846" t="s">
        <v>578</v>
      </c>
      <c r="D846" t="s">
        <v>167</v>
      </c>
      <c r="E846">
        <v>31646541</v>
      </c>
      <c r="F846" t="s">
        <v>260</v>
      </c>
      <c r="G846" t="s">
        <v>183</v>
      </c>
      <c r="H846" t="s">
        <v>184</v>
      </c>
    </row>
    <row r="847" spans="1:8" x14ac:dyDescent="0.2">
      <c r="A847" t="s">
        <v>674</v>
      </c>
      <c r="B847" t="s">
        <v>1736</v>
      </c>
      <c r="C847" t="s">
        <v>211</v>
      </c>
      <c r="D847" t="s">
        <v>167</v>
      </c>
      <c r="E847">
        <v>21517200</v>
      </c>
      <c r="F847" t="s">
        <v>212</v>
      </c>
      <c r="G847" t="s">
        <v>183</v>
      </c>
      <c r="H847" t="s">
        <v>184</v>
      </c>
    </row>
    <row r="848" spans="1:8" x14ac:dyDescent="0.2">
      <c r="A848" t="s">
        <v>674</v>
      </c>
      <c r="B848" t="s">
        <v>1737</v>
      </c>
      <c r="C848" t="s">
        <v>211</v>
      </c>
      <c r="D848" t="s">
        <v>136</v>
      </c>
      <c r="E848">
        <v>8315764</v>
      </c>
      <c r="F848" t="s">
        <v>212</v>
      </c>
      <c r="G848" t="s">
        <v>183</v>
      </c>
      <c r="H848" t="s">
        <v>184</v>
      </c>
    </row>
    <row r="849" spans="1:8" x14ac:dyDescent="0.2">
      <c r="A849" t="s">
        <v>674</v>
      </c>
      <c r="B849" t="s">
        <v>1738</v>
      </c>
      <c r="C849" t="s">
        <v>441</v>
      </c>
      <c r="D849" t="s">
        <v>136</v>
      </c>
      <c r="E849">
        <v>3669999</v>
      </c>
      <c r="F849" t="s">
        <v>182</v>
      </c>
      <c r="G849" t="s">
        <v>183</v>
      </c>
      <c r="H849" t="s">
        <v>184</v>
      </c>
    </row>
    <row r="850" spans="1:8" x14ac:dyDescent="0.2">
      <c r="A850" t="s">
        <v>674</v>
      </c>
      <c r="B850" t="s">
        <v>273</v>
      </c>
      <c r="C850" t="s">
        <v>194</v>
      </c>
      <c r="D850" t="s">
        <v>143</v>
      </c>
      <c r="E850">
        <v>8000000</v>
      </c>
      <c r="F850" t="s">
        <v>195</v>
      </c>
      <c r="G850" t="s">
        <v>195</v>
      </c>
      <c r="H850" t="s">
        <v>184</v>
      </c>
    </row>
    <row r="851" spans="1:8" x14ac:dyDescent="0.2">
      <c r="A851" t="s">
        <v>1739</v>
      </c>
      <c r="B851" t="s">
        <v>1740</v>
      </c>
      <c r="C851" t="s">
        <v>387</v>
      </c>
      <c r="D851" t="s">
        <v>136</v>
      </c>
      <c r="E851">
        <v>37385983</v>
      </c>
      <c r="F851" t="s">
        <v>311</v>
      </c>
      <c r="G851" t="s">
        <v>312</v>
      </c>
      <c r="H851" t="s">
        <v>313</v>
      </c>
    </row>
    <row r="852" spans="1:8" x14ac:dyDescent="0.2">
      <c r="A852" t="s">
        <v>1741</v>
      </c>
      <c r="B852" t="s">
        <v>1742</v>
      </c>
      <c r="C852" t="s">
        <v>166</v>
      </c>
      <c r="D852" t="s">
        <v>143</v>
      </c>
      <c r="E852">
        <v>100475656</v>
      </c>
      <c r="F852" t="s">
        <v>166</v>
      </c>
      <c r="G852" t="s">
        <v>166</v>
      </c>
      <c r="H852" t="s">
        <v>160</v>
      </c>
    </row>
    <row r="853" spans="1:8" x14ac:dyDescent="0.2">
      <c r="A853" t="s">
        <v>1743</v>
      </c>
      <c r="B853" t="s">
        <v>1744</v>
      </c>
      <c r="C853" t="s">
        <v>148</v>
      </c>
      <c r="D853" t="s">
        <v>167</v>
      </c>
      <c r="E853">
        <v>36999124</v>
      </c>
      <c r="F853" t="s">
        <v>149</v>
      </c>
      <c r="G853" t="s">
        <v>150</v>
      </c>
      <c r="H853" t="s">
        <v>145</v>
      </c>
    </row>
    <row r="854" spans="1:8" x14ac:dyDescent="0.2">
      <c r="A854" t="s">
        <v>1745</v>
      </c>
      <c r="B854" t="s">
        <v>1746</v>
      </c>
      <c r="C854" t="s">
        <v>215</v>
      </c>
      <c r="D854" t="s">
        <v>136</v>
      </c>
      <c r="E854">
        <v>5000000</v>
      </c>
      <c r="F854" t="s">
        <v>216</v>
      </c>
      <c r="G854" t="s">
        <v>216</v>
      </c>
      <c r="H854" t="s">
        <v>217</v>
      </c>
    </row>
    <row r="855" spans="1:8" x14ac:dyDescent="0.2">
      <c r="A855" t="s">
        <v>1747</v>
      </c>
      <c r="B855" t="s">
        <v>1748</v>
      </c>
      <c r="C855" t="s">
        <v>330</v>
      </c>
      <c r="D855" t="s">
        <v>167</v>
      </c>
      <c r="E855">
        <v>12865500</v>
      </c>
      <c r="F855" t="s">
        <v>330</v>
      </c>
      <c r="G855" t="s">
        <v>312</v>
      </c>
      <c r="H855" t="s">
        <v>313</v>
      </c>
    </row>
    <row r="856" spans="1:8" x14ac:dyDescent="0.2">
      <c r="A856" t="s">
        <v>1749</v>
      </c>
      <c r="B856" t="s">
        <v>1750</v>
      </c>
      <c r="C856" t="s">
        <v>387</v>
      </c>
      <c r="D856" t="s">
        <v>136</v>
      </c>
      <c r="E856">
        <v>29400000</v>
      </c>
      <c r="F856" t="s">
        <v>311</v>
      </c>
      <c r="G856" t="s">
        <v>312</v>
      </c>
      <c r="H856" t="s">
        <v>313</v>
      </c>
    </row>
    <row r="857" spans="1:8" x14ac:dyDescent="0.2">
      <c r="A857" t="s">
        <v>1751</v>
      </c>
      <c r="B857" t="s">
        <v>1752</v>
      </c>
      <c r="C857" t="s">
        <v>387</v>
      </c>
      <c r="D857" t="s">
        <v>167</v>
      </c>
      <c r="E857">
        <v>10900000</v>
      </c>
      <c r="F857" t="s">
        <v>311</v>
      </c>
      <c r="G857" t="s">
        <v>312</v>
      </c>
      <c r="H857" t="s">
        <v>313</v>
      </c>
    </row>
    <row r="858" spans="1:8" x14ac:dyDescent="0.2">
      <c r="A858" t="s">
        <v>1753</v>
      </c>
      <c r="B858" t="s">
        <v>1754</v>
      </c>
      <c r="C858" t="s">
        <v>153</v>
      </c>
      <c r="D858" t="s">
        <v>136</v>
      </c>
      <c r="E858">
        <v>119784325</v>
      </c>
      <c r="F858" t="s">
        <v>154</v>
      </c>
      <c r="G858" t="s">
        <v>155</v>
      </c>
      <c r="H858" t="s">
        <v>139</v>
      </c>
    </row>
    <row r="859" spans="1:8" x14ac:dyDescent="0.2">
      <c r="A859" t="s">
        <v>1755</v>
      </c>
      <c r="B859" t="s">
        <v>1756</v>
      </c>
      <c r="C859" t="s">
        <v>237</v>
      </c>
      <c r="D859" t="s">
        <v>136</v>
      </c>
      <c r="E859">
        <v>17949098</v>
      </c>
      <c r="F859" t="s">
        <v>154</v>
      </c>
      <c r="G859" t="s">
        <v>155</v>
      </c>
      <c r="H859" t="s">
        <v>139</v>
      </c>
    </row>
    <row r="860" spans="1:8" x14ac:dyDescent="0.2">
      <c r="A860" t="s">
        <v>674</v>
      </c>
      <c r="B860" t="s">
        <v>1758</v>
      </c>
      <c r="C860" t="s">
        <v>211</v>
      </c>
      <c r="D860" t="s">
        <v>143</v>
      </c>
      <c r="E860">
        <v>26166940</v>
      </c>
      <c r="F860" t="s">
        <v>212</v>
      </c>
      <c r="G860" t="s">
        <v>183</v>
      </c>
      <c r="H860" t="s">
        <v>184</v>
      </c>
    </row>
    <row r="861" spans="1:8" x14ac:dyDescent="0.2">
      <c r="A861" t="s">
        <v>1759</v>
      </c>
      <c r="B861" t="s">
        <v>1760</v>
      </c>
      <c r="C861" t="s">
        <v>330</v>
      </c>
      <c r="D861" t="s">
        <v>136</v>
      </c>
      <c r="E861">
        <v>49993960</v>
      </c>
      <c r="F861" t="s">
        <v>330</v>
      </c>
      <c r="G861" t="s">
        <v>312</v>
      </c>
      <c r="H861" t="s">
        <v>313</v>
      </c>
    </row>
    <row r="862" spans="1:8" x14ac:dyDescent="0.2">
      <c r="A862" t="s">
        <v>1761</v>
      </c>
      <c r="B862" t="s">
        <v>1762</v>
      </c>
      <c r="C862" t="s">
        <v>240</v>
      </c>
      <c r="D862" t="s">
        <v>136</v>
      </c>
      <c r="E862">
        <v>5964000</v>
      </c>
      <c r="F862" t="s">
        <v>240</v>
      </c>
      <c r="G862" t="s">
        <v>241</v>
      </c>
      <c r="H862" t="s">
        <v>242</v>
      </c>
    </row>
    <row r="863" spans="1:8" x14ac:dyDescent="0.2">
      <c r="A863" t="s">
        <v>1763</v>
      </c>
      <c r="B863" t="s">
        <v>1764</v>
      </c>
      <c r="C863" t="s">
        <v>237</v>
      </c>
      <c r="D863" t="s">
        <v>136</v>
      </c>
      <c r="E863">
        <v>7853800</v>
      </c>
      <c r="F863" t="s">
        <v>154</v>
      </c>
      <c r="G863" t="s">
        <v>155</v>
      </c>
      <c r="H863" t="s">
        <v>139</v>
      </c>
    </row>
    <row r="864" spans="1:8" x14ac:dyDescent="0.2">
      <c r="A864" t="s">
        <v>1765</v>
      </c>
      <c r="B864" t="s">
        <v>1766</v>
      </c>
      <c r="C864" t="s">
        <v>166</v>
      </c>
      <c r="D864" t="s">
        <v>167</v>
      </c>
      <c r="E864">
        <v>71657936</v>
      </c>
      <c r="F864" t="s">
        <v>166</v>
      </c>
      <c r="G864" t="s">
        <v>166</v>
      </c>
      <c r="H864" t="s">
        <v>160</v>
      </c>
    </row>
    <row r="865" spans="1:8" x14ac:dyDescent="0.2">
      <c r="A865" t="s">
        <v>1767</v>
      </c>
      <c r="B865" t="s">
        <v>1768</v>
      </c>
      <c r="C865" t="s">
        <v>240</v>
      </c>
      <c r="D865" t="s">
        <v>136</v>
      </c>
      <c r="E865">
        <v>11100000</v>
      </c>
      <c r="F865" t="s">
        <v>240</v>
      </c>
      <c r="G865" t="s">
        <v>241</v>
      </c>
      <c r="H865" t="s">
        <v>242</v>
      </c>
    </row>
    <row r="866" spans="1:8" x14ac:dyDescent="0.2">
      <c r="A866" t="s">
        <v>1769</v>
      </c>
      <c r="B866" t="s">
        <v>1770</v>
      </c>
      <c r="C866" t="s">
        <v>163</v>
      </c>
      <c r="D866" t="s">
        <v>136</v>
      </c>
      <c r="E866">
        <v>15639976</v>
      </c>
      <c r="F866" t="s">
        <v>137</v>
      </c>
      <c r="G866" t="s">
        <v>138</v>
      </c>
      <c r="H866" t="s">
        <v>139</v>
      </c>
    </row>
    <row r="867" spans="1:8" x14ac:dyDescent="0.2">
      <c r="A867" t="s">
        <v>1771</v>
      </c>
      <c r="B867" t="s">
        <v>1772</v>
      </c>
      <c r="C867" t="s">
        <v>387</v>
      </c>
      <c r="D867" t="s">
        <v>136</v>
      </c>
      <c r="E867">
        <v>34311748</v>
      </c>
      <c r="F867" t="s">
        <v>311</v>
      </c>
      <c r="G867" t="s">
        <v>312</v>
      </c>
      <c r="H867" t="s">
        <v>313</v>
      </c>
    </row>
    <row r="868" spans="1:8" x14ac:dyDescent="0.2">
      <c r="A868" t="s">
        <v>674</v>
      </c>
      <c r="B868" t="s">
        <v>1773</v>
      </c>
      <c r="C868" t="s">
        <v>194</v>
      </c>
      <c r="D868" t="s">
        <v>167</v>
      </c>
      <c r="E868">
        <v>9987557</v>
      </c>
      <c r="F868" t="s">
        <v>195</v>
      </c>
      <c r="G868" t="s">
        <v>195</v>
      </c>
      <c r="H868" t="s">
        <v>184</v>
      </c>
    </row>
    <row r="869" spans="1:8" x14ac:dyDescent="0.2">
      <c r="A869" t="s">
        <v>674</v>
      </c>
      <c r="B869" t="s">
        <v>1774</v>
      </c>
      <c r="C869" t="s">
        <v>208</v>
      </c>
      <c r="D869" t="s">
        <v>136</v>
      </c>
      <c r="E869">
        <v>40500000</v>
      </c>
      <c r="F869" t="s">
        <v>195</v>
      </c>
      <c r="G869" t="s">
        <v>195</v>
      </c>
      <c r="H869" t="s">
        <v>184</v>
      </c>
    </row>
    <row r="870" spans="1:8" x14ac:dyDescent="0.2">
      <c r="A870" t="s">
        <v>674</v>
      </c>
      <c r="B870" t="s">
        <v>1775</v>
      </c>
      <c r="C870" t="s">
        <v>259</v>
      </c>
      <c r="D870" t="s">
        <v>136</v>
      </c>
      <c r="E870">
        <v>8848500</v>
      </c>
      <c r="F870" t="s">
        <v>260</v>
      </c>
      <c r="G870" t="s">
        <v>183</v>
      </c>
      <c r="H870" t="s">
        <v>184</v>
      </c>
    </row>
    <row r="871" spans="1:8" x14ac:dyDescent="0.2">
      <c r="A871" t="s">
        <v>1776</v>
      </c>
      <c r="B871" t="s">
        <v>1777</v>
      </c>
      <c r="C871" t="s">
        <v>137</v>
      </c>
      <c r="D871" t="s">
        <v>167</v>
      </c>
      <c r="E871">
        <v>22398374</v>
      </c>
      <c r="F871" t="s">
        <v>137</v>
      </c>
      <c r="G871" t="s">
        <v>138</v>
      </c>
      <c r="H871" t="s">
        <v>139</v>
      </c>
    </row>
    <row r="872" spans="1:8" x14ac:dyDescent="0.2">
      <c r="A872" t="s">
        <v>1778</v>
      </c>
      <c r="B872" t="s">
        <v>1779</v>
      </c>
      <c r="C872" t="s">
        <v>293</v>
      </c>
      <c r="D872" t="s">
        <v>167</v>
      </c>
      <c r="E872">
        <v>15731260</v>
      </c>
      <c r="F872" t="s">
        <v>144</v>
      </c>
      <c r="G872" t="s">
        <v>144</v>
      </c>
      <c r="H872" t="s">
        <v>145</v>
      </c>
    </row>
    <row r="873" spans="1:8" x14ac:dyDescent="0.2">
      <c r="A873" t="s">
        <v>1780</v>
      </c>
      <c r="B873" t="s">
        <v>1781</v>
      </c>
      <c r="C873" t="s">
        <v>153</v>
      </c>
      <c r="D873" t="s">
        <v>136</v>
      </c>
      <c r="E873">
        <v>2299854</v>
      </c>
      <c r="F873" t="s">
        <v>154</v>
      </c>
      <c r="G873" t="s">
        <v>155</v>
      </c>
      <c r="H873" t="s">
        <v>139</v>
      </c>
    </row>
    <row r="874" spans="1:8" x14ac:dyDescent="0.2">
      <c r="A874" t="s">
        <v>674</v>
      </c>
      <c r="B874" t="s">
        <v>1783</v>
      </c>
      <c r="C874" t="s">
        <v>208</v>
      </c>
      <c r="D874" t="s">
        <v>143</v>
      </c>
      <c r="E874">
        <v>42174520</v>
      </c>
      <c r="F874" t="s">
        <v>195</v>
      </c>
      <c r="G874" t="s">
        <v>195</v>
      </c>
      <c r="H874" t="s">
        <v>184</v>
      </c>
    </row>
    <row r="875" spans="1:8" x14ac:dyDescent="0.2">
      <c r="A875" t="s">
        <v>674</v>
      </c>
      <c r="B875" t="s">
        <v>1784</v>
      </c>
      <c r="C875" t="s">
        <v>194</v>
      </c>
      <c r="D875" t="s">
        <v>167</v>
      </c>
      <c r="E875">
        <v>3041542</v>
      </c>
      <c r="F875" t="s">
        <v>195</v>
      </c>
      <c r="G875" t="s">
        <v>195</v>
      </c>
      <c r="H875" t="s">
        <v>184</v>
      </c>
    </row>
    <row r="876" spans="1:8" x14ac:dyDescent="0.2">
      <c r="A876" t="s">
        <v>1785</v>
      </c>
      <c r="B876" t="s">
        <v>1786</v>
      </c>
      <c r="C876" t="s">
        <v>142</v>
      </c>
      <c r="D876" t="s">
        <v>143</v>
      </c>
      <c r="E876">
        <v>72880000</v>
      </c>
      <c r="F876" t="s">
        <v>144</v>
      </c>
      <c r="G876" t="s">
        <v>144</v>
      </c>
      <c r="H876" t="s">
        <v>145</v>
      </c>
    </row>
    <row r="877" spans="1:8" x14ac:dyDescent="0.2">
      <c r="A877" t="s">
        <v>674</v>
      </c>
      <c r="B877" t="s">
        <v>1787</v>
      </c>
      <c r="C877" t="s">
        <v>283</v>
      </c>
      <c r="D877" t="s">
        <v>136</v>
      </c>
      <c r="E877">
        <v>27576490</v>
      </c>
      <c r="F877" t="s">
        <v>284</v>
      </c>
      <c r="G877" t="s">
        <v>183</v>
      </c>
      <c r="H877" t="s">
        <v>184</v>
      </c>
    </row>
    <row r="878" spans="1:8" x14ac:dyDescent="0.2">
      <c r="A878" t="s">
        <v>1788</v>
      </c>
      <c r="B878" t="s">
        <v>1789</v>
      </c>
      <c r="C878" t="s">
        <v>1790</v>
      </c>
      <c r="D878" t="s">
        <v>143</v>
      </c>
      <c r="E878">
        <v>24028169</v>
      </c>
      <c r="F878" t="s">
        <v>393</v>
      </c>
      <c r="G878" t="s">
        <v>138</v>
      </c>
      <c r="H878" t="s">
        <v>139</v>
      </c>
    </row>
    <row r="879" spans="1:8" x14ac:dyDescent="0.2">
      <c r="A879" t="s">
        <v>1791</v>
      </c>
      <c r="B879" t="s">
        <v>1792</v>
      </c>
      <c r="C879" t="s">
        <v>1508</v>
      </c>
      <c r="D879" t="s">
        <v>136</v>
      </c>
      <c r="E879">
        <v>5480112</v>
      </c>
      <c r="F879" t="s">
        <v>356</v>
      </c>
      <c r="G879" t="s">
        <v>150</v>
      </c>
      <c r="H879" t="s">
        <v>145</v>
      </c>
    </row>
    <row r="880" spans="1:8" x14ac:dyDescent="0.2">
      <c r="A880" t="s">
        <v>1793</v>
      </c>
      <c r="B880" t="s">
        <v>1794</v>
      </c>
      <c r="C880" t="s">
        <v>163</v>
      </c>
      <c r="D880" t="s">
        <v>136</v>
      </c>
      <c r="E880">
        <v>3150000</v>
      </c>
      <c r="F880" t="s">
        <v>137</v>
      </c>
      <c r="G880" t="s">
        <v>138</v>
      </c>
      <c r="H880" t="s">
        <v>139</v>
      </c>
    </row>
    <row r="881" spans="1:8" x14ac:dyDescent="0.2">
      <c r="A881" t="s">
        <v>1795</v>
      </c>
      <c r="B881" t="s">
        <v>1796</v>
      </c>
      <c r="C881" t="s">
        <v>355</v>
      </c>
      <c r="D881" t="s">
        <v>143</v>
      </c>
      <c r="E881">
        <v>263277806</v>
      </c>
      <c r="F881" t="s">
        <v>356</v>
      </c>
      <c r="G881" t="s">
        <v>150</v>
      </c>
      <c r="H881" t="s">
        <v>145</v>
      </c>
    </row>
    <row r="882" spans="1:8" x14ac:dyDescent="0.2">
      <c r="A882" t="s">
        <v>1797</v>
      </c>
      <c r="B882" t="s">
        <v>1798</v>
      </c>
      <c r="C882" t="s">
        <v>166</v>
      </c>
      <c r="D882" t="s">
        <v>143</v>
      </c>
      <c r="E882">
        <v>384777471</v>
      </c>
      <c r="F882" t="s">
        <v>166</v>
      </c>
      <c r="G882" t="s">
        <v>166</v>
      </c>
      <c r="H882" t="s">
        <v>160</v>
      </c>
    </row>
    <row r="883" spans="1:8" x14ac:dyDescent="0.2">
      <c r="A883" t="s">
        <v>1799</v>
      </c>
      <c r="B883" t="s">
        <v>1800</v>
      </c>
      <c r="C883" t="s">
        <v>387</v>
      </c>
      <c r="D883" t="s">
        <v>136</v>
      </c>
      <c r="E883">
        <v>5009800</v>
      </c>
      <c r="F883" t="s">
        <v>311</v>
      </c>
      <c r="G883" t="s">
        <v>312</v>
      </c>
      <c r="H883" t="s">
        <v>313</v>
      </c>
    </row>
    <row r="884" spans="1:8" x14ac:dyDescent="0.2">
      <c r="A884" t="s">
        <v>674</v>
      </c>
      <c r="B884" t="s">
        <v>1802</v>
      </c>
      <c r="C884" t="s">
        <v>194</v>
      </c>
      <c r="D884" t="s">
        <v>143</v>
      </c>
      <c r="E884">
        <v>21920000</v>
      </c>
      <c r="F884" t="s">
        <v>195</v>
      </c>
      <c r="G884" t="s">
        <v>195</v>
      </c>
      <c r="H884" t="s">
        <v>184</v>
      </c>
    </row>
    <row r="885" spans="1:8" x14ac:dyDescent="0.2">
      <c r="A885" t="s">
        <v>1803</v>
      </c>
      <c r="B885" t="s">
        <v>1804</v>
      </c>
      <c r="C885" t="s">
        <v>387</v>
      </c>
      <c r="D885" t="s">
        <v>136</v>
      </c>
      <c r="E885">
        <v>9490841</v>
      </c>
      <c r="F885" t="s">
        <v>311</v>
      </c>
      <c r="G885" t="s">
        <v>312</v>
      </c>
      <c r="H885" t="s">
        <v>313</v>
      </c>
    </row>
    <row r="886" spans="1:8" x14ac:dyDescent="0.2">
      <c r="A886" t="s">
        <v>674</v>
      </c>
      <c r="B886" t="s">
        <v>1806</v>
      </c>
      <c r="C886" t="s">
        <v>289</v>
      </c>
      <c r="D886" t="s">
        <v>143</v>
      </c>
      <c r="E886">
        <v>24000000</v>
      </c>
      <c r="F886" t="s">
        <v>290</v>
      </c>
      <c r="G886" t="s">
        <v>183</v>
      </c>
      <c r="H886" t="s">
        <v>184</v>
      </c>
    </row>
    <row r="887" spans="1:8" x14ac:dyDescent="0.2">
      <c r="A887" t="s">
        <v>674</v>
      </c>
      <c r="B887" t="s">
        <v>1807</v>
      </c>
      <c r="C887" t="s">
        <v>826</v>
      </c>
      <c r="D887" t="s">
        <v>136</v>
      </c>
      <c r="E887">
        <v>20056000</v>
      </c>
      <c r="F887" t="s">
        <v>212</v>
      </c>
      <c r="G887" t="s">
        <v>183</v>
      </c>
      <c r="H887" t="s">
        <v>184</v>
      </c>
    </row>
    <row r="888" spans="1:8" x14ac:dyDescent="0.2">
      <c r="A888" t="s">
        <v>1808</v>
      </c>
      <c r="B888" t="s">
        <v>1809</v>
      </c>
      <c r="C888" t="s">
        <v>387</v>
      </c>
      <c r="D888" t="s">
        <v>136</v>
      </c>
      <c r="E888">
        <v>17230204</v>
      </c>
      <c r="F888" t="s">
        <v>311</v>
      </c>
      <c r="G888" t="s">
        <v>312</v>
      </c>
      <c r="H888" t="s">
        <v>313</v>
      </c>
    </row>
    <row r="889" spans="1:8" x14ac:dyDescent="0.2">
      <c r="A889" t="s">
        <v>1810</v>
      </c>
      <c r="B889" t="s">
        <v>1811</v>
      </c>
      <c r="C889" t="s">
        <v>387</v>
      </c>
      <c r="D889" t="s">
        <v>136</v>
      </c>
      <c r="E889">
        <v>50831593</v>
      </c>
      <c r="F889" t="s">
        <v>311</v>
      </c>
      <c r="G889" t="s">
        <v>312</v>
      </c>
      <c r="H889" t="s">
        <v>313</v>
      </c>
    </row>
    <row r="890" spans="1:8" x14ac:dyDescent="0.2">
      <c r="A890" t="s">
        <v>1812</v>
      </c>
      <c r="B890" t="s">
        <v>1813</v>
      </c>
      <c r="C890" t="s">
        <v>387</v>
      </c>
      <c r="D890" t="s">
        <v>136</v>
      </c>
      <c r="E890">
        <v>18233269</v>
      </c>
      <c r="F890" t="s">
        <v>311</v>
      </c>
      <c r="G890" t="s">
        <v>312</v>
      </c>
      <c r="H890" t="s">
        <v>313</v>
      </c>
    </row>
    <row r="891" spans="1:8" x14ac:dyDescent="0.2">
      <c r="A891" t="s">
        <v>1814</v>
      </c>
      <c r="B891" t="s">
        <v>1815</v>
      </c>
      <c r="C891" t="s">
        <v>166</v>
      </c>
      <c r="D891" t="s">
        <v>167</v>
      </c>
      <c r="E891">
        <v>92597762</v>
      </c>
      <c r="F891" t="s">
        <v>166</v>
      </c>
      <c r="G891" t="s">
        <v>166</v>
      </c>
      <c r="H891" t="s">
        <v>160</v>
      </c>
    </row>
    <row r="892" spans="1:8" x14ac:dyDescent="0.2">
      <c r="A892" t="s">
        <v>1816</v>
      </c>
      <c r="B892" t="s">
        <v>1817</v>
      </c>
      <c r="C892" t="s">
        <v>387</v>
      </c>
      <c r="D892" t="s">
        <v>136</v>
      </c>
      <c r="E892">
        <v>56800000</v>
      </c>
      <c r="F892" t="s">
        <v>311</v>
      </c>
      <c r="G892" t="s">
        <v>312</v>
      </c>
      <c r="H892" t="s">
        <v>313</v>
      </c>
    </row>
    <row r="893" spans="1:8" x14ac:dyDescent="0.2">
      <c r="A893" t="s">
        <v>1818</v>
      </c>
      <c r="B893" t="s">
        <v>1819</v>
      </c>
      <c r="C893" t="s">
        <v>153</v>
      </c>
      <c r="D893" t="s">
        <v>143</v>
      </c>
      <c r="E893">
        <v>17586988</v>
      </c>
      <c r="F893" t="s">
        <v>154</v>
      </c>
      <c r="G893" t="s">
        <v>155</v>
      </c>
      <c r="H893" t="s">
        <v>139</v>
      </c>
    </row>
    <row r="894" spans="1:8" x14ac:dyDescent="0.2">
      <c r="A894" t="s">
        <v>1820</v>
      </c>
      <c r="B894" t="s">
        <v>1821</v>
      </c>
      <c r="C894" t="s">
        <v>142</v>
      </c>
      <c r="D894" t="s">
        <v>136</v>
      </c>
      <c r="E894">
        <v>8639208</v>
      </c>
      <c r="F894" t="s">
        <v>144</v>
      </c>
      <c r="G894" t="s">
        <v>144</v>
      </c>
      <c r="H894" t="s">
        <v>145</v>
      </c>
    </row>
    <row r="895" spans="1:8" x14ac:dyDescent="0.2">
      <c r="A895" t="s">
        <v>1822</v>
      </c>
      <c r="B895" t="s">
        <v>1823</v>
      </c>
      <c r="C895" t="s">
        <v>1824</v>
      </c>
      <c r="D895" t="s">
        <v>167</v>
      </c>
      <c r="E895">
        <v>20693437</v>
      </c>
      <c r="F895" t="s">
        <v>356</v>
      </c>
      <c r="G895" t="s">
        <v>150</v>
      </c>
      <c r="H895" t="s">
        <v>145</v>
      </c>
    </row>
    <row r="896" spans="1:8" x14ac:dyDescent="0.2">
      <c r="A896" t="s">
        <v>1825</v>
      </c>
      <c r="B896" t="s">
        <v>1826</v>
      </c>
      <c r="C896" t="s">
        <v>387</v>
      </c>
      <c r="D896" t="s">
        <v>136</v>
      </c>
      <c r="E896">
        <v>10000000</v>
      </c>
      <c r="F896" t="s">
        <v>311</v>
      </c>
      <c r="G896" t="s">
        <v>312</v>
      </c>
      <c r="H896" t="s">
        <v>313</v>
      </c>
    </row>
    <row r="897" spans="1:8" x14ac:dyDescent="0.2">
      <c r="A897" t="s">
        <v>1827</v>
      </c>
      <c r="B897" t="s">
        <v>1828</v>
      </c>
      <c r="C897" t="s">
        <v>153</v>
      </c>
      <c r="D897" t="s">
        <v>136</v>
      </c>
      <c r="E897">
        <v>10263942</v>
      </c>
      <c r="F897" t="s">
        <v>154</v>
      </c>
      <c r="G897" t="s">
        <v>155</v>
      </c>
      <c r="H897" t="s">
        <v>139</v>
      </c>
    </row>
    <row r="898" spans="1:8" x14ac:dyDescent="0.2">
      <c r="A898" t="s">
        <v>1829</v>
      </c>
      <c r="B898" t="s">
        <v>1830</v>
      </c>
      <c r="C898" t="s">
        <v>671</v>
      </c>
      <c r="D898" t="s">
        <v>167</v>
      </c>
      <c r="E898">
        <v>11202003</v>
      </c>
      <c r="F898" t="s">
        <v>671</v>
      </c>
      <c r="G898" t="s">
        <v>138</v>
      </c>
      <c r="H898" t="s">
        <v>139</v>
      </c>
    </row>
    <row r="899" spans="1:8" x14ac:dyDescent="0.2">
      <c r="A899" t="s">
        <v>1831</v>
      </c>
      <c r="B899" t="s">
        <v>1832</v>
      </c>
      <c r="C899" t="s">
        <v>330</v>
      </c>
      <c r="D899" t="s">
        <v>143</v>
      </c>
      <c r="E899">
        <v>287876029</v>
      </c>
      <c r="F899" t="s">
        <v>330</v>
      </c>
      <c r="G899" t="s">
        <v>312</v>
      </c>
      <c r="H899" t="s">
        <v>313</v>
      </c>
    </row>
    <row r="900" spans="1:8" x14ac:dyDescent="0.2">
      <c r="A900" t="s">
        <v>1833</v>
      </c>
      <c r="B900" t="s">
        <v>1834</v>
      </c>
      <c r="C900" t="s">
        <v>166</v>
      </c>
      <c r="D900" t="s">
        <v>136</v>
      </c>
      <c r="E900">
        <v>39779577</v>
      </c>
      <c r="F900" t="s">
        <v>166</v>
      </c>
      <c r="G900" t="s">
        <v>166</v>
      </c>
      <c r="H900" t="s">
        <v>160</v>
      </c>
    </row>
    <row r="901" spans="1:8" x14ac:dyDescent="0.2">
      <c r="A901" t="s">
        <v>1835</v>
      </c>
      <c r="B901" t="s">
        <v>1836</v>
      </c>
      <c r="C901" t="s">
        <v>166</v>
      </c>
      <c r="D901" t="s">
        <v>136</v>
      </c>
      <c r="E901">
        <v>23999980</v>
      </c>
      <c r="F901" t="s">
        <v>166</v>
      </c>
      <c r="G901" t="s">
        <v>166</v>
      </c>
      <c r="H901" t="s">
        <v>160</v>
      </c>
    </row>
    <row r="902" spans="1:8" x14ac:dyDescent="0.2">
      <c r="A902" t="s">
        <v>1837</v>
      </c>
      <c r="B902" t="s">
        <v>1838</v>
      </c>
      <c r="C902" t="s">
        <v>240</v>
      </c>
      <c r="D902" t="s">
        <v>136</v>
      </c>
      <c r="E902">
        <v>6000000</v>
      </c>
      <c r="F902" t="s">
        <v>240</v>
      </c>
      <c r="G902" t="s">
        <v>241</v>
      </c>
      <c r="H902" t="s">
        <v>242</v>
      </c>
    </row>
    <row r="903" spans="1:8" x14ac:dyDescent="0.2">
      <c r="A903" t="s">
        <v>1839</v>
      </c>
      <c r="B903" t="s">
        <v>1840</v>
      </c>
      <c r="C903" t="s">
        <v>330</v>
      </c>
      <c r="D903" t="s">
        <v>167</v>
      </c>
      <c r="E903">
        <v>10802053</v>
      </c>
      <c r="F903" t="s">
        <v>330</v>
      </c>
      <c r="G903" t="s">
        <v>312</v>
      </c>
      <c r="H903" t="s">
        <v>313</v>
      </c>
    </row>
    <row r="904" spans="1:8" x14ac:dyDescent="0.2">
      <c r="A904" t="s">
        <v>1841</v>
      </c>
      <c r="B904" t="s">
        <v>1842</v>
      </c>
      <c r="C904" t="s">
        <v>166</v>
      </c>
      <c r="D904" t="s">
        <v>143</v>
      </c>
      <c r="E904">
        <v>121979900</v>
      </c>
      <c r="F904" t="s">
        <v>166</v>
      </c>
      <c r="G904" t="s">
        <v>166</v>
      </c>
      <c r="H904" t="s">
        <v>160</v>
      </c>
    </row>
    <row r="905" spans="1:8" x14ac:dyDescent="0.2">
      <c r="A905" t="s">
        <v>674</v>
      </c>
      <c r="B905" t="s">
        <v>1843</v>
      </c>
      <c r="C905" t="s">
        <v>194</v>
      </c>
      <c r="D905" t="s">
        <v>167</v>
      </c>
      <c r="E905">
        <v>142532284</v>
      </c>
      <c r="F905" t="s">
        <v>195</v>
      </c>
      <c r="G905" t="s">
        <v>195</v>
      </c>
      <c r="H905" t="s">
        <v>184</v>
      </c>
    </row>
    <row r="906" spans="1:8" x14ac:dyDescent="0.2">
      <c r="A906" t="s">
        <v>1844</v>
      </c>
      <c r="B906" t="s">
        <v>1845</v>
      </c>
      <c r="C906" t="s">
        <v>163</v>
      </c>
      <c r="D906" t="s">
        <v>136</v>
      </c>
      <c r="E906">
        <v>23500000</v>
      </c>
      <c r="F906" t="s">
        <v>137</v>
      </c>
      <c r="G906" t="s">
        <v>138</v>
      </c>
      <c r="H906" t="s">
        <v>139</v>
      </c>
    </row>
    <row r="907" spans="1:8" x14ac:dyDescent="0.2">
      <c r="A907" t="s">
        <v>1846</v>
      </c>
      <c r="B907" t="s">
        <v>1847</v>
      </c>
      <c r="C907" t="s">
        <v>387</v>
      </c>
      <c r="D907" t="s">
        <v>136</v>
      </c>
      <c r="E907">
        <v>10000000</v>
      </c>
      <c r="F907" t="s">
        <v>311</v>
      </c>
      <c r="G907" t="s">
        <v>312</v>
      </c>
      <c r="H907" t="s">
        <v>313</v>
      </c>
    </row>
    <row r="908" spans="1:8" x14ac:dyDescent="0.2">
      <c r="A908" t="s">
        <v>674</v>
      </c>
      <c r="B908" t="s">
        <v>1848</v>
      </c>
      <c r="C908" t="s">
        <v>441</v>
      </c>
      <c r="D908" t="s">
        <v>136</v>
      </c>
      <c r="E908">
        <v>6000000</v>
      </c>
      <c r="F908" t="s">
        <v>182</v>
      </c>
      <c r="G908" t="s">
        <v>183</v>
      </c>
      <c r="H908" t="s">
        <v>184</v>
      </c>
    </row>
    <row r="909" spans="1:8" x14ac:dyDescent="0.2">
      <c r="A909" t="s">
        <v>1849</v>
      </c>
      <c r="B909" t="s">
        <v>1850</v>
      </c>
      <c r="C909" t="s">
        <v>170</v>
      </c>
      <c r="D909" t="s">
        <v>167</v>
      </c>
      <c r="E909">
        <v>560155587</v>
      </c>
      <c r="F909" t="s">
        <v>170</v>
      </c>
      <c r="G909" t="s">
        <v>170</v>
      </c>
      <c r="H909" t="s">
        <v>170</v>
      </c>
    </row>
    <row r="910" spans="1:8" x14ac:dyDescent="0.2">
      <c r="A910" t="s">
        <v>122</v>
      </c>
      <c r="B910" t="s">
        <v>1851</v>
      </c>
      <c r="C910" t="s">
        <v>166</v>
      </c>
      <c r="D910" t="s">
        <v>143</v>
      </c>
      <c r="E910">
        <v>1950104538</v>
      </c>
      <c r="F910" t="s">
        <v>166</v>
      </c>
      <c r="G910" t="s">
        <v>166</v>
      </c>
      <c r="H910" t="s">
        <v>160</v>
      </c>
    </row>
    <row r="911" spans="1:8" x14ac:dyDescent="0.2">
      <c r="A911" t="s">
        <v>1852</v>
      </c>
      <c r="B911" t="s">
        <v>1853</v>
      </c>
      <c r="C911" t="s">
        <v>387</v>
      </c>
      <c r="D911" t="s">
        <v>136</v>
      </c>
      <c r="E911">
        <v>10963000</v>
      </c>
      <c r="F911" t="s">
        <v>311</v>
      </c>
      <c r="G911" t="s">
        <v>312</v>
      </c>
      <c r="H911" t="s">
        <v>313</v>
      </c>
    </row>
    <row r="912" spans="1:8" x14ac:dyDescent="0.2">
      <c r="A912" t="s">
        <v>1854</v>
      </c>
      <c r="B912" t="s">
        <v>1855</v>
      </c>
      <c r="C912" t="s">
        <v>166</v>
      </c>
      <c r="D912" t="s">
        <v>143</v>
      </c>
      <c r="E912">
        <v>90500000</v>
      </c>
      <c r="F912" t="s">
        <v>166</v>
      </c>
      <c r="G912" t="s">
        <v>166</v>
      </c>
      <c r="H912" t="s">
        <v>160</v>
      </c>
    </row>
    <row r="913" spans="1:8" x14ac:dyDescent="0.2">
      <c r="A913" t="s">
        <v>1856</v>
      </c>
      <c r="B913" t="s">
        <v>1857</v>
      </c>
      <c r="C913" t="s">
        <v>434</v>
      </c>
      <c r="D913" t="s">
        <v>136</v>
      </c>
      <c r="E913">
        <v>8500000</v>
      </c>
      <c r="F913" t="s">
        <v>326</v>
      </c>
      <c r="G913" t="s">
        <v>327</v>
      </c>
      <c r="H913" t="s">
        <v>217</v>
      </c>
    </row>
    <row r="914" spans="1:8" x14ac:dyDescent="0.2">
      <c r="A914" t="s">
        <v>674</v>
      </c>
      <c r="B914" t="s">
        <v>1858</v>
      </c>
      <c r="C914" t="s">
        <v>194</v>
      </c>
      <c r="D914" t="s">
        <v>136</v>
      </c>
      <c r="E914">
        <v>6600000</v>
      </c>
      <c r="F914" t="s">
        <v>195</v>
      </c>
      <c r="G914" t="s">
        <v>195</v>
      </c>
      <c r="H914" t="s">
        <v>184</v>
      </c>
    </row>
    <row r="915" spans="1:8" x14ac:dyDescent="0.2">
      <c r="A915" t="s">
        <v>1859</v>
      </c>
      <c r="B915" t="s">
        <v>1860</v>
      </c>
      <c r="C915" t="s">
        <v>170</v>
      </c>
      <c r="D915" t="s">
        <v>143</v>
      </c>
      <c r="E915">
        <v>2054824294</v>
      </c>
      <c r="F915" t="s">
        <v>170</v>
      </c>
      <c r="G915" t="s">
        <v>170</v>
      </c>
      <c r="H915" t="s">
        <v>170</v>
      </c>
    </row>
    <row r="916" spans="1:8" x14ac:dyDescent="0.2">
      <c r="A916" t="s">
        <v>1861</v>
      </c>
      <c r="B916" t="s">
        <v>1862</v>
      </c>
      <c r="C916" t="s">
        <v>237</v>
      </c>
      <c r="D916" t="s">
        <v>167</v>
      </c>
      <c r="E916">
        <v>200000000</v>
      </c>
      <c r="F916" t="s">
        <v>154</v>
      </c>
      <c r="G916" t="s">
        <v>155</v>
      </c>
      <c r="H916" t="s">
        <v>139</v>
      </c>
    </row>
    <row r="917" spans="1:8" x14ac:dyDescent="0.2">
      <c r="A917" t="s">
        <v>1863</v>
      </c>
      <c r="B917" t="s">
        <v>1864</v>
      </c>
      <c r="C917" t="s">
        <v>563</v>
      </c>
      <c r="D917" t="s">
        <v>136</v>
      </c>
      <c r="E917">
        <v>10000000</v>
      </c>
      <c r="F917" t="s">
        <v>216</v>
      </c>
      <c r="G917" t="s">
        <v>216</v>
      </c>
      <c r="H917" t="s">
        <v>217</v>
      </c>
    </row>
    <row r="918" spans="1:8" x14ac:dyDescent="0.2">
      <c r="A918" t="s">
        <v>1865</v>
      </c>
      <c r="B918" t="s">
        <v>1866</v>
      </c>
      <c r="C918" t="s">
        <v>367</v>
      </c>
      <c r="D918" t="s">
        <v>143</v>
      </c>
      <c r="E918">
        <v>300000000</v>
      </c>
      <c r="F918" t="s">
        <v>159</v>
      </c>
      <c r="G918" t="s">
        <v>159</v>
      </c>
      <c r="H918" t="s">
        <v>160</v>
      </c>
    </row>
    <row r="919" spans="1:8" x14ac:dyDescent="0.2">
      <c r="A919" t="s">
        <v>1867</v>
      </c>
      <c r="B919" t="s">
        <v>1868</v>
      </c>
      <c r="C919" t="s">
        <v>494</v>
      </c>
      <c r="D919" t="s">
        <v>136</v>
      </c>
      <c r="E919">
        <v>201425936</v>
      </c>
      <c r="F919" t="s">
        <v>495</v>
      </c>
      <c r="G919" t="s">
        <v>496</v>
      </c>
      <c r="H919" t="s">
        <v>496</v>
      </c>
    </row>
    <row r="920" spans="1:8" x14ac:dyDescent="0.2">
      <c r="A920" t="s">
        <v>1869</v>
      </c>
      <c r="B920" t="s">
        <v>1870</v>
      </c>
      <c r="C920" t="s">
        <v>1466</v>
      </c>
      <c r="D920" t="s">
        <v>167</v>
      </c>
      <c r="E920">
        <v>7960310</v>
      </c>
      <c r="F920" t="s">
        <v>667</v>
      </c>
      <c r="G920" t="s">
        <v>668</v>
      </c>
      <c r="H920" t="s">
        <v>668</v>
      </c>
    </row>
    <row r="921" spans="1:8" x14ac:dyDescent="0.2">
      <c r="A921" t="s">
        <v>1871</v>
      </c>
      <c r="B921" t="s">
        <v>1872</v>
      </c>
      <c r="C921" t="s">
        <v>897</v>
      </c>
      <c r="D921" t="s">
        <v>136</v>
      </c>
      <c r="E921">
        <v>2000000</v>
      </c>
      <c r="F921" t="s">
        <v>326</v>
      </c>
      <c r="G921" t="s">
        <v>327</v>
      </c>
      <c r="H921" t="s">
        <v>217</v>
      </c>
    </row>
    <row r="922" spans="1:8" x14ac:dyDescent="0.2">
      <c r="A922" t="s">
        <v>1873</v>
      </c>
      <c r="B922" t="s">
        <v>1874</v>
      </c>
      <c r="C922" t="s">
        <v>240</v>
      </c>
      <c r="D922" t="s">
        <v>143</v>
      </c>
      <c r="E922">
        <v>64050892</v>
      </c>
      <c r="F922" t="s">
        <v>240</v>
      </c>
      <c r="G922" t="s">
        <v>241</v>
      </c>
      <c r="H922" t="s">
        <v>242</v>
      </c>
    </row>
    <row r="923" spans="1:8" x14ac:dyDescent="0.2">
      <c r="A923" t="s">
        <v>1875</v>
      </c>
      <c r="B923" t="s">
        <v>1876</v>
      </c>
      <c r="C923" t="s">
        <v>158</v>
      </c>
      <c r="D923" t="s">
        <v>143</v>
      </c>
      <c r="E923">
        <v>335999743</v>
      </c>
      <c r="F923" t="s">
        <v>159</v>
      </c>
      <c r="G923" t="s">
        <v>159</v>
      </c>
      <c r="H923" t="s">
        <v>160</v>
      </c>
    </row>
    <row r="924" spans="1:8" x14ac:dyDescent="0.2">
      <c r="A924" t="s">
        <v>674</v>
      </c>
      <c r="B924" t="s">
        <v>1878</v>
      </c>
      <c r="C924" t="s">
        <v>578</v>
      </c>
      <c r="D924" t="s">
        <v>143</v>
      </c>
      <c r="E924">
        <v>46471707</v>
      </c>
      <c r="F924" t="s">
        <v>260</v>
      </c>
      <c r="G924" t="s">
        <v>183</v>
      </c>
      <c r="H924" t="s">
        <v>184</v>
      </c>
    </row>
    <row r="925" spans="1:8" x14ac:dyDescent="0.2">
      <c r="A925" t="s">
        <v>1879</v>
      </c>
      <c r="B925" t="s">
        <v>1880</v>
      </c>
      <c r="C925" t="s">
        <v>1063</v>
      </c>
      <c r="D925" t="s">
        <v>136</v>
      </c>
      <c r="E925">
        <v>4235290</v>
      </c>
      <c r="F925" t="s">
        <v>1063</v>
      </c>
      <c r="G925" t="s">
        <v>174</v>
      </c>
      <c r="H925" t="s">
        <v>174</v>
      </c>
    </row>
    <row r="926" spans="1:8" x14ac:dyDescent="0.2">
      <c r="A926" t="s">
        <v>1881</v>
      </c>
      <c r="B926" t="s">
        <v>1882</v>
      </c>
      <c r="C926" t="s">
        <v>237</v>
      </c>
      <c r="D926" t="s">
        <v>143</v>
      </c>
      <c r="E926">
        <v>216294580</v>
      </c>
      <c r="F926" t="s">
        <v>154</v>
      </c>
      <c r="G926" t="s">
        <v>155</v>
      </c>
      <c r="H926" t="s">
        <v>139</v>
      </c>
    </row>
    <row r="927" spans="1:8" x14ac:dyDescent="0.2">
      <c r="A927" t="s">
        <v>674</v>
      </c>
      <c r="B927" t="s">
        <v>1883</v>
      </c>
      <c r="C927" t="s">
        <v>211</v>
      </c>
      <c r="D927" t="s">
        <v>136</v>
      </c>
      <c r="E927">
        <v>200000000</v>
      </c>
      <c r="F927" t="s">
        <v>212</v>
      </c>
      <c r="G927" t="s">
        <v>183</v>
      </c>
      <c r="H927" t="s">
        <v>184</v>
      </c>
    </row>
    <row r="928" spans="1:8" x14ac:dyDescent="0.2">
      <c r="A928" t="s">
        <v>1884</v>
      </c>
      <c r="B928" t="s">
        <v>1885</v>
      </c>
      <c r="C928" t="s">
        <v>355</v>
      </c>
      <c r="D928" t="s">
        <v>136</v>
      </c>
      <c r="E928">
        <v>28049968</v>
      </c>
      <c r="F928" t="s">
        <v>356</v>
      </c>
      <c r="G928" t="s">
        <v>150</v>
      </c>
      <c r="H928" t="s">
        <v>145</v>
      </c>
    </row>
    <row r="929" spans="1:8" x14ac:dyDescent="0.2">
      <c r="A929" t="s">
        <v>1886</v>
      </c>
      <c r="B929" t="s">
        <v>1887</v>
      </c>
      <c r="C929" t="s">
        <v>293</v>
      </c>
      <c r="D929" t="s">
        <v>136</v>
      </c>
      <c r="E929">
        <v>25000000</v>
      </c>
      <c r="F929" t="s">
        <v>144</v>
      </c>
      <c r="G929" t="s">
        <v>144</v>
      </c>
      <c r="H929" t="s">
        <v>145</v>
      </c>
    </row>
    <row r="930" spans="1:8" x14ac:dyDescent="0.2">
      <c r="A930" t="s">
        <v>1888</v>
      </c>
      <c r="B930" t="s">
        <v>1889</v>
      </c>
      <c r="C930" t="s">
        <v>240</v>
      </c>
      <c r="D930" t="s">
        <v>136</v>
      </c>
      <c r="E930">
        <v>113299902</v>
      </c>
      <c r="F930" t="s">
        <v>240</v>
      </c>
      <c r="G930" t="s">
        <v>241</v>
      </c>
      <c r="H930" t="s">
        <v>242</v>
      </c>
    </row>
    <row r="931" spans="1:8" x14ac:dyDescent="0.2">
      <c r="A931" t="s">
        <v>674</v>
      </c>
      <c r="B931" t="s">
        <v>1890</v>
      </c>
      <c r="C931" t="s">
        <v>283</v>
      </c>
      <c r="D931" t="s">
        <v>167</v>
      </c>
      <c r="E931">
        <v>4799516</v>
      </c>
      <c r="F931" t="s">
        <v>284</v>
      </c>
      <c r="G931" t="s">
        <v>183</v>
      </c>
      <c r="H931" t="s">
        <v>184</v>
      </c>
    </row>
    <row r="932" spans="1:8" x14ac:dyDescent="0.2">
      <c r="A932" t="s">
        <v>674</v>
      </c>
      <c r="B932" t="s">
        <v>1891</v>
      </c>
      <c r="C932" t="s">
        <v>283</v>
      </c>
      <c r="D932" t="s">
        <v>136</v>
      </c>
      <c r="E932">
        <v>17522284</v>
      </c>
      <c r="F932" t="s">
        <v>284</v>
      </c>
      <c r="G932" t="s">
        <v>183</v>
      </c>
      <c r="H932" t="s">
        <v>184</v>
      </c>
    </row>
    <row r="933" spans="1:8" x14ac:dyDescent="0.2">
      <c r="A933" t="s">
        <v>674</v>
      </c>
      <c r="B933" t="s">
        <v>1893</v>
      </c>
      <c r="C933" t="s">
        <v>208</v>
      </c>
      <c r="D933" t="s">
        <v>143</v>
      </c>
      <c r="E933">
        <v>310995558</v>
      </c>
      <c r="F933" t="s">
        <v>195</v>
      </c>
      <c r="G933" t="s">
        <v>195</v>
      </c>
      <c r="H933" t="s">
        <v>184</v>
      </c>
    </row>
    <row r="934" spans="1:8" x14ac:dyDescent="0.2">
      <c r="A934" t="s">
        <v>674</v>
      </c>
      <c r="B934" t="s">
        <v>1894</v>
      </c>
      <c r="C934" t="s">
        <v>208</v>
      </c>
      <c r="D934" t="s">
        <v>136</v>
      </c>
      <c r="E934">
        <v>11500000</v>
      </c>
      <c r="F934" t="s">
        <v>195</v>
      </c>
      <c r="G934" t="s">
        <v>195</v>
      </c>
      <c r="H934" t="s">
        <v>184</v>
      </c>
    </row>
    <row r="935" spans="1:8" x14ac:dyDescent="0.2">
      <c r="A935" t="s">
        <v>1895</v>
      </c>
      <c r="B935" t="s">
        <v>1896</v>
      </c>
      <c r="C935" t="s">
        <v>293</v>
      </c>
      <c r="D935" t="s">
        <v>167</v>
      </c>
      <c r="E935">
        <v>10000000</v>
      </c>
      <c r="F935" t="s">
        <v>144</v>
      </c>
      <c r="G935" t="s">
        <v>144</v>
      </c>
      <c r="H935" t="s">
        <v>145</v>
      </c>
    </row>
    <row r="936" spans="1:8" x14ac:dyDescent="0.2">
      <c r="A936" t="s">
        <v>1897</v>
      </c>
      <c r="B936" t="s">
        <v>1898</v>
      </c>
      <c r="C936" t="s">
        <v>404</v>
      </c>
      <c r="D936" t="s">
        <v>136</v>
      </c>
      <c r="E936">
        <v>3000000</v>
      </c>
      <c r="F936" t="s">
        <v>348</v>
      </c>
      <c r="G936" t="s">
        <v>155</v>
      </c>
      <c r="H936" t="s">
        <v>139</v>
      </c>
    </row>
    <row r="937" spans="1:8" x14ac:dyDescent="0.2">
      <c r="A937" t="s">
        <v>1899</v>
      </c>
      <c r="B937" t="s">
        <v>1900</v>
      </c>
      <c r="C937" t="s">
        <v>310</v>
      </c>
      <c r="D937" t="s">
        <v>167</v>
      </c>
      <c r="E937">
        <v>18870000</v>
      </c>
      <c r="F937" t="s">
        <v>311</v>
      </c>
      <c r="G937" t="s">
        <v>312</v>
      </c>
      <c r="H937" t="s">
        <v>313</v>
      </c>
    </row>
    <row r="938" spans="1:8" x14ac:dyDescent="0.2">
      <c r="A938" t="s">
        <v>1901</v>
      </c>
      <c r="B938" t="s">
        <v>1902</v>
      </c>
      <c r="C938" t="s">
        <v>142</v>
      </c>
      <c r="D938" t="s">
        <v>167</v>
      </c>
      <c r="E938">
        <v>24199964</v>
      </c>
      <c r="F938" t="s">
        <v>144</v>
      </c>
      <c r="G938" t="s">
        <v>144</v>
      </c>
      <c r="H938" t="s">
        <v>145</v>
      </c>
    </row>
    <row r="939" spans="1:8" x14ac:dyDescent="0.2">
      <c r="A939" t="s">
        <v>674</v>
      </c>
      <c r="B939" t="s">
        <v>1903</v>
      </c>
      <c r="C939" t="s">
        <v>194</v>
      </c>
      <c r="D939" t="s">
        <v>136</v>
      </c>
      <c r="E939">
        <v>4000000</v>
      </c>
      <c r="F939" t="s">
        <v>195</v>
      </c>
      <c r="G939" t="s">
        <v>195</v>
      </c>
      <c r="H939" t="s">
        <v>184</v>
      </c>
    </row>
    <row r="940" spans="1:8" x14ac:dyDescent="0.2">
      <c r="A940" t="s">
        <v>1904</v>
      </c>
      <c r="B940" t="s">
        <v>1905</v>
      </c>
      <c r="C940" t="s">
        <v>293</v>
      </c>
      <c r="D940" t="s">
        <v>136</v>
      </c>
      <c r="E940">
        <v>3924550</v>
      </c>
      <c r="F940" t="s">
        <v>144</v>
      </c>
      <c r="G940" t="s">
        <v>144</v>
      </c>
      <c r="H940" t="s">
        <v>145</v>
      </c>
    </row>
    <row r="941" spans="1:8" x14ac:dyDescent="0.2">
      <c r="A941" t="s">
        <v>674</v>
      </c>
      <c r="B941" t="s">
        <v>1906</v>
      </c>
      <c r="C941" t="s">
        <v>903</v>
      </c>
      <c r="D941" t="s">
        <v>167</v>
      </c>
      <c r="E941">
        <v>50035493</v>
      </c>
      <c r="F941" t="s">
        <v>212</v>
      </c>
      <c r="G941" t="s">
        <v>183</v>
      </c>
      <c r="H941" t="s">
        <v>184</v>
      </c>
    </row>
    <row r="942" spans="1:8" x14ac:dyDescent="0.2">
      <c r="A942" t="s">
        <v>674</v>
      </c>
      <c r="B942" t="s">
        <v>1907</v>
      </c>
      <c r="C942" t="s">
        <v>194</v>
      </c>
      <c r="D942" t="s">
        <v>167</v>
      </c>
      <c r="E942">
        <v>8909981</v>
      </c>
      <c r="F942" t="s">
        <v>195</v>
      </c>
      <c r="G942" t="s">
        <v>195</v>
      </c>
      <c r="H942" t="s">
        <v>184</v>
      </c>
    </row>
    <row r="943" spans="1:8" x14ac:dyDescent="0.2">
      <c r="A943" t="s">
        <v>1908</v>
      </c>
      <c r="B943" t="s">
        <v>1909</v>
      </c>
      <c r="C943" t="s">
        <v>434</v>
      </c>
      <c r="D943" t="s">
        <v>136</v>
      </c>
      <c r="E943">
        <v>15000000</v>
      </c>
      <c r="F943" t="s">
        <v>326</v>
      </c>
      <c r="G943" t="s">
        <v>327</v>
      </c>
      <c r="H943" t="s">
        <v>217</v>
      </c>
    </row>
    <row r="944" spans="1:8" x14ac:dyDescent="0.2">
      <c r="A944" t="s">
        <v>674</v>
      </c>
      <c r="B944" t="s">
        <v>1910</v>
      </c>
      <c r="C944" t="s">
        <v>211</v>
      </c>
      <c r="D944" t="s">
        <v>143</v>
      </c>
      <c r="E944">
        <v>37043908</v>
      </c>
      <c r="F944" t="s">
        <v>212</v>
      </c>
      <c r="G944" t="s">
        <v>183</v>
      </c>
      <c r="H944" t="s">
        <v>184</v>
      </c>
    </row>
    <row r="945" spans="1:8" x14ac:dyDescent="0.2">
      <c r="A945" t="s">
        <v>1911</v>
      </c>
      <c r="B945" t="s">
        <v>1912</v>
      </c>
      <c r="C945" t="s">
        <v>166</v>
      </c>
      <c r="D945" t="s">
        <v>143</v>
      </c>
      <c r="E945">
        <v>873140083</v>
      </c>
      <c r="F945" t="s">
        <v>166</v>
      </c>
      <c r="G945" t="s">
        <v>166</v>
      </c>
      <c r="H945" t="s">
        <v>160</v>
      </c>
    </row>
    <row r="946" spans="1:8" x14ac:dyDescent="0.2">
      <c r="A946" t="s">
        <v>674</v>
      </c>
      <c r="B946" t="s">
        <v>1913</v>
      </c>
      <c r="C946" t="s">
        <v>826</v>
      </c>
      <c r="D946" t="s">
        <v>136</v>
      </c>
      <c r="E946">
        <v>43087331</v>
      </c>
      <c r="F946" t="s">
        <v>212</v>
      </c>
      <c r="G946" t="s">
        <v>183</v>
      </c>
      <c r="H946" t="s">
        <v>184</v>
      </c>
    </row>
    <row r="947" spans="1:8" x14ac:dyDescent="0.2">
      <c r="A947" t="s">
        <v>674</v>
      </c>
      <c r="B947" t="s">
        <v>1914</v>
      </c>
      <c r="C947" t="s">
        <v>289</v>
      </c>
      <c r="D947" t="s">
        <v>136</v>
      </c>
      <c r="E947">
        <v>3115409</v>
      </c>
      <c r="F947" t="s">
        <v>290</v>
      </c>
      <c r="G947" t="s">
        <v>183</v>
      </c>
      <c r="H947" t="s">
        <v>184</v>
      </c>
    </row>
    <row r="948" spans="1:8" x14ac:dyDescent="0.2">
      <c r="A948" t="s">
        <v>1915</v>
      </c>
      <c r="B948" t="s">
        <v>1916</v>
      </c>
      <c r="C948" t="s">
        <v>310</v>
      </c>
      <c r="D948" t="s">
        <v>136</v>
      </c>
      <c r="E948">
        <v>231898919</v>
      </c>
      <c r="F948" t="s">
        <v>311</v>
      </c>
      <c r="G948" t="s">
        <v>312</v>
      </c>
      <c r="H948" t="s">
        <v>313</v>
      </c>
    </row>
    <row r="949" spans="1:8" x14ac:dyDescent="0.2">
      <c r="A949" t="s">
        <v>674</v>
      </c>
      <c r="B949" t="s">
        <v>1917</v>
      </c>
      <c r="C949" t="s">
        <v>208</v>
      </c>
      <c r="D949" t="s">
        <v>167</v>
      </c>
      <c r="E949">
        <v>5000000</v>
      </c>
      <c r="F949" t="s">
        <v>195</v>
      </c>
      <c r="G949" t="s">
        <v>195</v>
      </c>
      <c r="H949" t="s">
        <v>184</v>
      </c>
    </row>
    <row r="950" spans="1:8" x14ac:dyDescent="0.2">
      <c r="A950" t="s">
        <v>1918</v>
      </c>
      <c r="B950" t="s">
        <v>1919</v>
      </c>
      <c r="C950" t="s">
        <v>1920</v>
      </c>
      <c r="D950" t="s">
        <v>136</v>
      </c>
      <c r="E950">
        <v>4965514</v>
      </c>
      <c r="F950" t="s">
        <v>1921</v>
      </c>
      <c r="G950" t="s">
        <v>496</v>
      </c>
      <c r="H950" t="s">
        <v>496</v>
      </c>
    </row>
    <row r="951" spans="1:8" x14ac:dyDescent="0.2">
      <c r="A951" t="s">
        <v>1922</v>
      </c>
      <c r="B951" t="s">
        <v>1923</v>
      </c>
      <c r="C951" t="s">
        <v>316</v>
      </c>
      <c r="D951" t="s">
        <v>143</v>
      </c>
      <c r="E951">
        <v>107334831</v>
      </c>
      <c r="F951" t="s">
        <v>229</v>
      </c>
      <c r="G951" t="s">
        <v>229</v>
      </c>
      <c r="H951" t="s">
        <v>217</v>
      </c>
    </row>
    <row r="952" spans="1:8" x14ac:dyDescent="0.2">
      <c r="A952" t="s">
        <v>674</v>
      </c>
      <c r="B952" t="s">
        <v>1924</v>
      </c>
      <c r="C952" t="s">
        <v>208</v>
      </c>
      <c r="D952" t="s">
        <v>136</v>
      </c>
      <c r="E952">
        <v>50000000</v>
      </c>
      <c r="F952" t="s">
        <v>195</v>
      </c>
      <c r="G952" t="s">
        <v>195</v>
      </c>
      <c r="H952" t="s">
        <v>184</v>
      </c>
    </row>
    <row r="953" spans="1:8" x14ac:dyDescent="0.2">
      <c r="A953" t="s">
        <v>1925</v>
      </c>
      <c r="B953" t="s">
        <v>1926</v>
      </c>
      <c r="C953" t="s">
        <v>170</v>
      </c>
      <c r="D953" t="s">
        <v>136</v>
      </c>
      <c r="E953">
        <v>420000000</v>
      </c>
      <c r="F953" t="s">
        <v>170</v>
      </c>
      <c r="G953" t="s">
        <v>170</v>
      </c>
      <c r="H953" t="s">
        <v>170</v>
      </c>
    </row>
    <row r="954" spans="1:8" x14ac:dyDescent="0.2">
      <c r="A954" t="s">
        <v>1927</v>
      </c>
      <c r="B954" t="s">
        <v>1928</v>
      </c>
      <c r="C954" t="s">
        <v>310</v>
      </c>
      <c r="D954" t="s">
        <v>143</v>
      </c>
      <c r="E954">
        <v>60342638</v>
      </c>
      <c r="F954" t="s">
        <v>311</v>
      </c>
      <c r="G954" t="s">
        <v>312</v>
      </c>
      <c r="H954" t="s">
        <v>313</v>
      </c>
    </row>
    <row r="955" spans="1:8" x14ac:dyDescent="0.2">
      <c r="A955" t="s">
        <v>1929</v>
      </c>
      <c r="B955" t="s">
        <v>1930</v>
      </c>
      <c r="C955" t="s">
        <v>310</v>
      </c>
      <c r="D955" t="s">
        <v>143</v>
      </c>
      <c r="E955">
        <v>98998266</v>
      </c>
      <c r="F955" t="s">
        <v>311</v>
      </c>
      <c r="G955" t="s">
        <v>312</v>
      </c>
      <c r="H955" t="s">
        <v>313</v>
      </c>
    </row>
    <row r="956" spans="1:8" x14ac:dyDescent="0.2">
      <c r="A956" t="s">
        <v>1931</v>
      </c>
      <c r="B956" t="s">
        <v>1932</v>
      </c>
      <c r="C956" t="s">
        <v>177</v>
      </c>
      <c r="D956" t="s">
        <v>143</v>
      </c>
      <c r="E956">
        <v>110896796</v>
      </c>
      <c r="F956" t="s">
        <v>177</v>
      </c>
      <c r="G956" t="s">
        <v>178</v>
      </c>
      <c r="H956" t="s">
        <v>160</v>
      </c>
    </row>
    <row r="957" spans="1:8" x14ac:dyDescent="0.2">
      <c r="A957" t="s">
        <v>1933</v>
      </c>
      <c r="B957" t="s">
        <v>1934</v>
      </c>
      <c r="C957" t="s">
        <v>142</v>
      </c>
      <c r="D957" t="s">
        <v>167</v>
      </c>
      <c r="E957">
        <v>9464859</v>
      </c>
      <c r="F957" t="s">
        <v>144</v>
      </c>
      <c r="G957" t="s">
        <v>144</v>
      </c>
      <c r="H957" t="s">
        <v>145</v>
      </c>
    </row>
    <row r="958" spans="1:8" x14ac:dyDescent="0.2">
      <c r="A958" t="s">
        <v>1935</v>
      </c>
      <c r="B958" t="s">
        <v>1936</v>
      </c>
      <c r="C958" t="s">
        <v>310</v>
      </c>
      <c r="D958" t="s">
        <v>167</v>
      </c>
      <c r="E958">
        <v>50000000</v>
      </c>
      <c r="F958" t="s">
        <v>311</v>
      </c>
      <c r="G958" t="s">
        <v>312</v>
      </c>
      <c r="H958" t="s">
        <v>313</v>
      </c>
    </row>
    <row r="959" spans="1:8" x14ac:dyDescent="0.2">
      <c r="A959" t="s">
        <v>1937</v>
      </c>
      <c r="B959" t="s">
        <v>1938</v>
      </c>
      <c r="C959" t="s">
        <v>434</v>
      </c>
      <c r="D959" t="s">
        <v>167</v>
      </c>
      <c r="E959">
        <v>9241801</v>
      </c>
      <c r="F959" t="s">
        <v>326</v>
      </c>
      <c r="G959" t="s">
        <v>327</v>
      </c>
      <c r="H959" t="s">
        <v>217</v>
      </c>
    </row>
    <row r="960" spans="1:8" x14ac:dyDescent="0.2">
      <c r="A960" t="s">
        <v>1939</v>
      </c>
      <c r="B960" t="s">
        <v>1940</v>
      </c>
      <c r="C960" t="s">
        <v>330</v>
      </c>
      <c r="D960" t="s">
        <v>143</v>
      </c>
      <c r="E960">
        <v>1123468046</v>
      </c>
      <c r="F960" t="s">
        <v>330</v>
      </c>
      <c r="G960" t="s">
        <v>312</v>
      </c>
      <c r="H960" t="s">
        <v>313</v>
      </c>
    </row>
    <row r="961" spans="1:8" x14ac:dyDescent="0.2">
      <c r="A961" t="s">
        <v>674</v>
      </c>
      <c r="B961" t="s">
        <v>1942</v>
      </c>
      <c r="C961" t="s">
        <v>208</v>
      </c>
      <c r="D961" t="s">
        <v>143</v>
      </c>
      <c r="E961">
        <v>50602094</v>
      </c>
      <c r="F961" t="s">
        <v>195</v>
      </c>
      <c r="G961" t="s">
        <v>195</v>
      </c>
      <c r="H961" t="s">
        <v>184</v>
      </c>
    </row>
    <row r="962" spans="1:8" x14ac:dyDescent="0.2">
      <c r="A962" t="s">
        <v>674</v>
      </c>
      <c r="B962" t="s">
        <v>1943</v>
      </c>
      <c r="C962" t="s">
        <v>208</v>
      </c>
      <c r="D962" t="s">
        <v>136</v>
      </c>
      <c r="E962">
        <v>20000000</v>
      </c>
      <c r="F962" t="s">
        <v>195</v>
      </c>
      <c r="G962" t="s">
        <v>195</v>
      </c>
      <c r="H962" t="s">
        <v>184</v>
      </c>
    </row>
    <row r="963" spans="1:8" x14ac:dyDescent="0.2">
      <c r="A963" t="s">
        <v>674</v>
      </c>
      <c r="B963" t="s">
        <v>1944</v>
      </c>
      <c r="C963" t="s">
        <v>578</v>
      </c>
      <c r="D963" t="s">
        <v>167</v>
      </c>
      <c r="E963">
        <v>7253911</v>
      </c>
      <c r="F963" t="s">
        <v>260</v>
      </c>
      <c r="G963" t="s">
        <v>183</v>
      </c>
      <c r="H963" t="s">
        <v>184</v>
      </c>
    </row>
    <row r="964" spans="1:8" x14ac:dyDescent="0.2">
      <c r="A964" t="s">
        <v>674</v>
      </c>
      <c r="B964" t="s">
        <v>1945</v>
      </c>
      <c r="C964" t="s">
        <v>211</v>
      </c>
      <c r="D964" t="s">
        <v>136</v>
      </c>
      <c r="E964">
        <v>326960000</v>
      </c>
      <c r="F964" t="s">
        <v>212</v>
      </c>
      <c r="G964" t="s">
        <v>183</v>
      </c>
      <c r="H964" t="s">
        <v>184</v>
      </c>
    </row>
    <row r="965" spans="1:8" x14ac:dyDescent="0.2">
      <c r="A965" t="s">
        <v>1946</v>
      </c>
      <c r="B965" t="s">
        <v>1947</v>
      </c>
      <c r="C965" t="s">
        <v>142</v>
      </c>
      <c r="D965" t="s">
        <v>143</v>
      </c>
      <c r="E965">
        <v>135499198</v>
      </c>
      <c r="F965" t="s">
        <v>144</v>
      </c>
      <c r="G965" t="s">
        <v>144</v>
      </c>
      <c r="H965" t="s">
        <v>145</v>
      </c>
    </row>
    <row r="966" spans="1:8" x14ac:dyDescent="0.2">
      <c r="A966" t="s">
        <v>1948</v>
      </c>
      <c r="B966" t="s">
        <v>1949</v>
      </c>
      <c r="C966" t="s">
        <v>158</v>
      </c>
      <c r="D966" t="s">
        <v>136</v>
      </c>
      <c r="E966">
        <v>150009819</v>
      </c>
      <c r="F966" t="s">
        <v>159</v>
      </c>
      <c r="G966" t="s">
        <v>159</v>
      </c>
      <c r="H966" t="s">
        <v>160</v>
      </c>
    </row>
    <row r="967" spans="1:8" x14ac:dyDescent="0.2">
      <c r="A967" t="s">
        <v>1950</v>
      </c>
      <c r="B967" t="s">
        <v>1951</v>
      </c>
      <c r="C967" t="s">
        <v>1063</v>
      </c>
      <c r="D967" t="s">
        <v>167</v>
      </c>
      <c r="E967">
        <v>3900000</v>
      </c>
      <c r="F967" t="s">
        <v>1063</v>
      </c>
      <c r="G967" t="s">
        <v>174</v>
      </c>
      <c r="H967" t="s">
        <v>174</v>
      </c>
    </row>
    <row r="968" spans="1:8" x14ac:dyDescent="0.2">
      <c r="A968" t="s">
        <v>1952</v>
      </c>
      <c r="B968" t="s">
        <v>1953</v>
      </c>
      <c r="C968" t="s">
        <v>330</v>
      </c>
      <c r="D968" t="s">
        <v>167</v>
      </c>
      <c r="E968">
        <v>33339891</v>
      </c>
      <c r="F968" t="s">
        <v>330</v>
      </c>
      <c r="G968" t="s">
        <v>312</v>
      </c>
      <c r="H968" t="s">
        <v>313</v>
      </c>
    </row>
    <row r="969" spans="1:8" x14ac:dyDescent="0.2">
      <c r="A969" t="s">
        <v>674</v>
      </c>
      <c r="B969" t="s">
        <v>1954</v>
      </c>
      <c r="C969" t="s">
        <v>208</v>
      </c>
      <c r="D969" t="s">
        <v>136</v>
      </c>
      <c r="E969">
        <v>4000000</v>
      </c>
      <c r="F969" t="s">
        <v>195</v>
      </c>
      <c r="G969" t="s">
        <v>195</v>
      </c>
      <c r="H969" t="s">
        <v>184</v>
      </c>
    </row>
    <row r="970" spans="1:8" x14ac:dyDescent="0.2">
      <c r="A970" t="s">
        <v>1955</v>
      </c>
      <c r="B970" t="s">
        <v>1956</v>
      </c>
      <c r="C970" t="s">
        <v>200</v>
      </c>
      <c r="D970" t="s">
        <v>136</v>
      </c>
      <c r="E970">
        <v>27500000</v>
      </c>
      <c r="F970" t="s">
        <v>201</v>
      </c>
      <c r="G970" t="s">
        <v>150</v>
      </c>
      <c r="H970" t="s">
        <v>145</v>
      </c>
    </row>
    <row r="971" spans="1:8" x14ac:dyDescent="0.2">
      <c r="A971" t="s">
        <v>1957</v>
      </c>
      <c r="B971" t="s">
        <v>1958</v>
      </c>
      <c r="C971" t="s">
        <v>519</v>
      </c>
      <c r="D971" t="s">
        <v>143</v>
      </c>
      <c r="E971">
        <v>15199345</v>
      </c>
      <c r="F971" t="s">
        <v>229</v>
      </c>
      <c r="G971" t="s">
        <v>229</v>
      </c>
      <c r="H971" t="s">
        <v>217</v>
      </c>
    </row>
    <row r="972" spans="1:8" x14ac:dyDescent="0.2">
      <c r="A972" t="s">
        <v>1959</v>
      </c>
      <c r="B972" t="s">
        <v>1960</v>
      </c>
      <c r="C972" t="s">
        <v>419</v>
      </c>
      <c r="D972" t="s">
        <v>136</v>
      </c>
      <c r="E972">
        <v>17324942</v>
      </c>
      <c r="F972" t="s">
        <v>166</v>
      </c>
      <c r="G972" t="s">
        <v>166</v>
      </c>
      <c r="H972" t="s">
        <v>160</v>
      </c>
    </row>
    <row r="973" spans="1:8" x14ac:dyDescent="0.2">
      <c r="A973" t="s">
        <v>1961</v>
      </c>
      <c r="B973" t="s">
        <v>1962</v>
      </c>
      <c r="C973" t="s">
        <v>310</v>
      </c>
      <c r="D973" t="s">
        <v>167</v>
      </c>
      <c r="E973">
        <v>7326928</v>
      </c>
      <c r="F973" t="s">
        <v>311</v>
      </c>
      <c r="G973" t="s">
        <v>312</v>
      </c>
      <c r="H973" t="s">
        <v>313</v>
      </c>
    </row>
    <row r="974" spans="1:8" x14ac:dyDescent="0.2">
      <c r="A974" t="s">
        <v>1963</v>
      </c>
      <c r="B974" t="s">
        <v>1964</v>
      </c>
      <c r="C974" t="s">
        <v>387</v>
      </c>
      <c r="D974" t="s">
        <v>136</v>
      </c>
      <c r="E974">
        <v>9000000</v>
      </c>
      <c r="F974" t="s">
        <v>311</v>
      </c>
      <c r="G974" t="s">
        <v>312</v>
      </c>
      <c r="H974" t="s">
        <v>313</v>
      </c>
    </row>
    <row r="975" spans="1:8" x14ac:dyDescent="0.2">
      <c r="A975" t="s">
        <v>674</v>
      </c>
      <c r="B975" t="s">
        <v>1965</v>
      </c>
      <c r="C975" t="s">
        <v>826</v>
      </c>
      <c r="D975" t="s">
        <v>143</v>
      </c>
      <c r="E975">
        <v>24882785</v>
      </c>
      <c r="F975" t="s">
        <v>212</v>
      </c>
      <c r="G975" t="s">
        <v>183</v>
      </c>
      <c r="H975" t="s">
        <v>184</v>
      </c>
    </row>
    <row r="976" spans="1:8" x14ac:dyDescent="0.2">
      <c r="A976" t="s">
        <v>1966</v>
      </c>
      <c r="B976" t="s">
        <v>1967</v>
      </c>
      <c r="C976" t="s">
        <v>166</v>
      </c>
      <c r="D976" t="s">
        <v>136</v>
      </c>
      <c r="E976">
        <v>10000000</v>
      </c>
      <c r="F976" t="s">
        <v>166</v>
      </c>
      <c r="G976" t="s">
        <v>166</v>
      </c>
      <c r="H976" t="s">
        <v>160</v>
      </c>
    </row>
    <row r="977" spans="1:8" x14ac:dyDescent="0.2">
      <c r="A977" t="s">
        <v>1968</v>
      </c>
      <c r="B977" t="s">
        <v>1969</v>
      </c>
      <c r="C977" t="s">
        <v>293</v>
      </c>
      <c r="D977" t="s">
        <v>167</v>
      </c>
      <c r="E977">
        <v>80798839</v>
      </c>
      <c r="F977" t="s">
        <v>144</v>
      </c>
      <c r="G977" t="s">
        <v>144</v>
      </c>
      <c r="H977" t="s">
        <v>145</v>
      </c>
    </row>
    <row r="978" spans="1:8" x14ac:dyDescent="0.2">
      <c r="A978" t="s">
        <v>674</v>
      </c>
      <c r="B978" t="s">
        <v>1970</v>
      </c>
      <c r="C978" t="s">
        <v>208</v>
      </c>
      <c r="D978" t="s">
        <v>136</v>
      </c>
      <c r="E978">
        <v>1215000</v>
      </c>
      <c r="F978" t="s">
        <v>195</v>
      </c>
      <c r="G978" t="s">
        <v>195</v>
      </c>
      <c r="H978" t="s">
        <v>184</v>
      </c>
    </row>
    <row r="979" spans="1:8" x14ac:dyDescent="0.2">
      <c r="A979" t="s">
        <v>674</v>
      </c>
      <c r="B979" t="s">
        <v>1971</v>
      </c>
      <c r="C979" t="s">
        <v>211</v>
      </c>
      <c r="D979" t="s">
        <v>136</v>
      </c>
      <c r="E979">
        <v>7192550</v>
      </c>
      <c r="F979" t="s">
        <v>212</v>
      </c>
      <c r="G979" t="s">
        <v>183</v>
      </c>
      <c r="H979" t="s">
        <v>184</v>
      </c>
    </row>
    <row r="980" spans="1:8" x14ac:dyDescent="0.2">
      <c r="A980" t="s">
        <v>1972</v>
      </c>
      <c r="B980" t="s">
        <v>1973</v>
      </c>
      <c r="C980" t="s">
        <v>142</v>
      </c>
      <c r="D980" t="s">
        <v>143</v>
      </c>
      <c r="E980">
        <v>70000000</v>
      </c>
      <c r="F980" t="s">
        <v>144</v>
      </c>
      <c r="G980" t="s">
        <v>144</v>
      </c>
      <c r="H980" t="s">
        <v>145</v>
      </c>
    </row>
    <row r="981" spans="1:8" x14ac:dyDescent="0.2">
      <c r="A981" t="s">
        <v>1974</v>
      </c>
      <c r="B981" t="s">
        <v>1975</v>
      </c>
      <c r="C981" t="s">
        <v>494</v>
      </c>
      <c r="D981" t="s">
        <v>143</v>
      </c>
      <c r="E981">
        <v>1293878081</v>
      </c>
      <c r="F981" t="s">
        <v>495</v>
      </c>
      <c r="G981" t="s">
        <v>496</v>
      </c>
      <c r="H981" t="s">
        <v>496</v>
      </c>
    </row>
    <row r="982" spans="1:8" x14ac:dyDescent="0.2">
      <c r="A982" t="s">
        <v>1976</v>
      </c>
      <c r="B982" t="s">
        <v>1977</v>
      </c>
      <c r="C982" t="s">
        <v>293</v>
      </c>
      <c r="D982" t="s">
        <v>167</v>
      </c>
      <c r="E982">
        <v>12000000</v>
      </c>
      <c r="F982" t="s">
        <v>144</v>
      </c>
      <c r="G982" t="s">
        <v>144</v>
      </c>
      <c r="H982" t="s">
        <v>145</v>
      </c>
    </row>
    <row r="983" spans="1:8" x14ac:dyDescent="0.2">
      <c r="A983" t="s">
        <v>1978</v>
      </c>
      <c r="B983" t="s">
        <v>1979</v>
      </c>
      <c r="C983" t="s">
        <v>240</v>
      </c>
      <c r="D983" t="s">
        <v>167</v>
      </c>
      <c r="E983">
        <v>9332573</v>
      </c>
      <c r="F983" t="s">
        <v>240</v>
      </c>
      <c r="G983" t="s">
        <v>241</v>
      </c>
      <c r="H983" t="s">
        <v>242</v>
      </c>
    </row>
    <row r="984" spans="1:8" x14ac:dyDescent="0.2">
      <c r="A984" t="s">
        <v>1980</v>
      </c>
      <c r="B984" t="s">
        <v>1981</v>
      </c>
      <c r="C984" t="s">
        <v>310</v>
      </c>
      <c r="D984" t="s">
        <v>143</v>
      </c>
      <c r="E984">
        <v>46336278</v>
      </c>
      <c r="F984" t="s">
        <v>311</v>
      </c>
      <c r="G984" t="s">
        <v>312</v>
      </c>
      <c r="H984" t="s">
        <v>313</v>
      </c>
    </row>
    <row r="985" spans="1:8" x14ac:dyDescent="0.2">
      <c r="A985" t="s">
        <v>1982</v>
      </c>
      <c r="B985" t="s">
        <v>1983</v>
      </c>
      <c r="C985" t="s">
        <v>666</v>
      </c>
      <c r="D985" t="s">
        <v>136</v>
      </c>
      <c r="E985">
        <v>1800000</v>
      </c>
      <c r="F985" t="s">
        <v>667</v>
      </c>
      <c r="G985" t="s">
        <v>668</v>
      </c>
      <c r="H985" t="s">
        <v>668</v>
      </c>
    </row>
    <row r="986" spans="1:8" x14ac:dyDescent="0.2">
      <c r="A986" t="s">
        <v>674</v>
      </c>
      <c r="B986" t="s">
        <v>1984</v>
      </c>
      <c r="C986" t="s">
        <v>283</v>
      </c>
      <c r="D986" t="s">
        <v>167</v>
      </c>
      <c r="E986">
        <v>4200000</v>
      </c>
      <c r="F986" t="s">
        <v>284</v>
      </c>
      <c r="G986" t="s">
        <v>183</v>
      </c>
      <c r="H986" t="s">
        <v>184</v>
      </c>
    </row>
    <row r="987" spans="1:8" x14ac:dyDescent="0.2">
      <c r="A987" t="s">
        <v>674</v>
      </c>
      <c r="B987" t="s">
        <v>1985</v>
      </c>
      <c r="C987" t="s">
        <v>289</v>
      </c>
      <c r="D987" t="s">
        <v>167</v>
      </c>
      <c r="E987">
        <v>7227662</v>
      </c>
      <c r="F987" t="s">
        <v>290</v>
      </c>
      <c r="G987" t="s">
        <v>183</v>
      </c>
      <c r="H987" t="s">
        <v>184</v>
      </c>
    </row>
    <row r="988" spans="1:8" x14ac:dyDescent="0.2">
      <c r="A988" t="s">
        <v>1986</v>
      </c>
      <c r="B988" t="s">
        <v>1987</v>
      </c>
      <c r="C988" t="s">
        <v>666</v>
      </c>
      <c r="D988" t="s">
        <v>136</v>
      </c>
      <c r="E988">
        <v>5000000</v>
      </c>
      <c r="F988" t="s">
        <v>667</v>
      </c>
      <c r="G988" t="s">
        <v>668</v>
      </c>
      <c r="H988" t="s">
        <v>668</v>
      </c>
    </row>
    <row r="989" spans="1:8" x14ac:dyDescent="0.2">
      <c r="A989" t="s">
        <v>1988</v>
      </c>
      <c r="B989" t="s">
        <v>1989</v>
      </c>
      <c r="C989" t="s">
        <v>387</v>
      </c>
      <c r="D989" t="s">
        <v>136</v>
      </c>
      <c r="E989">
        <v>49999832</v>
      </c>
      <c r="F989" t="s">
        <v>311</v>
      </c>
      <c r="G989" t="s">
        <v>312</v>
      </c>
      <c r="H989" t="s">
        <v>313</v>
      </c>
    </row>
    <row r="990" spans="1:8" x14ac:dyDescent="0.2">
      <c r="A990" t="s">
        <v>1990</v>
      </c>
      <c r="B990" t="s">
        <v>1991</v>
      </c>
      <c r="C990" t="s">
        <v>215</v>
      </c>
      <c r="D990" t="s">
        <v>143</v>
      </c>
      <c r="E990">
        <v>11040241</v>
      </c>
      <c r="F990" t="s">
        <v>216</v>
      </c>
      <c r="G990" t="s">
        <v>216</v>
      </c>
      <c r="H990" t="s">
        <v>217</v>
      </c>
    </row>
    <row r="991" spans="1:8" x14ac:dyDescent="0.2">
      <c r="A991" t="s">
        <v>1992</v>
      </c>
      <c r="B991" t="s">
        <v>1993</v>
      </c>
      <c r="C991" t="s">
        <v>310</v>
      </c>
      <c r="D991" t="s">
        <v>136</v>
      </c>
      <c r="E991">
        <v>6666666</v>
      </c>
      <c r="F991" t="s">
        <v>311</v>
      </c>
      <c r="G991" t="s">
        <v>312</v>
      </c>
      <c r="H991" t="s">
        <v>313</v>
      </c>
    </row>
    <row r="992" spans="1:8" x14ac:dyDescent="0.2">
      <c r="A992" t="s">
        <v>1994</v>
      </c>
      <c r="B992" t="s">
        <v>1995</v>
      </c>
      <c r="C992" t="s">
        <v>519</v>
      </c>
      <c r="D992" t="s">
        <v>136</v>
      </c>
      <c r="E992">
        <v>9000000</v>
      </c>
      <c r="F992" t="s">
        <v>229</v>
      </c>
      <c r="G992" t="s">
        <v>229</v>
      </c>
      <c r="H992" t="s">
        <v>217</v>
      </c>
    </row>
    <row r="993" spans="1:8" x14ac:dyDescent="0.2">
      <c r="A993" t="s">
        <v>1996</v>
      </c>
      <c r="B993" t="s">
        <v>1997</v>
      </c>
      <c r="C993" t="s">
        <v>137</v>
      </c>
      <c r="D993" t="s">
        <v>143</v>
      </c>
      <c r="E993">
        <v>334729180</v>
      </c>
      <c r="F993" t="s">
        <v>137</v>
      </c>
      <c r="G993" t="s">
        <v>138</v>
      </c>
      <c r="H993" t="s">
        <v>139</v>
      </c>
    </row>
    <row r="994" spans="1:8" x14ac:dyDescent="0.2">
      <c r="A994" t="s">
        <v>674</v>
      </c>
      <c r="B994" t="s">
        <v>1998</v>
      </c>
      <c r="C994" t="s">
        <v>826</v>
      </c>
      <c r="D994" t="s">
        <v>136</v>
      </c>
      <c r="E994">
        <v>16100000</v>
      </c>
      <c r="F994" t="s">
        <v>212</v>
      </c>
      <c r="G994" t="s">
        <v>183</v>
      </c>
      <c r="H994" t="s">
        <v>184</v>
      </c>
    </row>
    <row r="995" spans="1:8" x14ac:dyDescent="0.2">
      <c r="A995" t="s">
        <v>674</v>
      </c>
      <c r="B995" t="s">
        <v>1999</v>
      </c>
      <c r="C995" t="s">
        <v>208</v>
      </c>
      <c r="D995" t="s">
        <v>136</v>
      </c>
      <c r="E995">
        <v>9282802</v>
      </c>
      <c r="F995" t="s">
        <v>195</v>
      </c>
      <c r="G995" t="s">
        <v>195</v>
      </c>
      <c r="H995" t="s">
        <v>184</v>
      </c>
    </row>
    <row r="996" spans="1:8" x14ac:dyDescent="0.2">
      <c r="A996" t="s">
        <v>2000</v>
      </c>
      <c r="B996" t="s">
        <v>2001</v>
      </c>
      <c r="C996" t="s">
        <v>310</v>
      </c>
      <c r="D996" t="s">
        <v>136</v>
      </c>
      <c r="E996">
        <v>10900000</v>
      </c>
      <c r="F996" t="s">
        <v>311</v>
      </c>
      <c r="G996" t="s">
        <v>312</v>
      </c>
      <c r="H996" t="s">
        <v>313</v>
      </c>
    </row>
    <row r="997" spans="1:8" x14ac:dyDescent="0.2">
      <c r="A997" t="s">
        <v>2002</v>
      </c>
      <c r="B997" t="s">
        <v>2003</v>
      </c>
      <c r="C997" t="s">
        <v>355</v>
      </c>
      <c r="D997" t="s">
        <v>136</v>
      </c>
      <c r="E997">
        <v>279676336</v>
      </c>
      <c r="F997" t="s">
        <v>356</v>
      </c>
      <c r="G997" t="s">
        <v>150</v>
      </c>
      <c r="H997" t="s">
        <v>145</v>
      </c>
    </row>
    <row r="998" spans="1:8" x14ac:dyDescent="0.2">
      <c r="A998" t="s">
        <v>2004</v>
      </c>
      <c r="B998" t="s">
        <v>2005</v>
      </c>
      <c r="C998" t="s">
        <v>1920</v>
      </c>
      <c r="D998" t="s">
        <v>136</v>
      </c>
      <c r="E998">
        <v>40000000</v>
      </c>
      <c r="F998" t="s">
        <v>1921</v>
      </c>
      <c r="G998" t="s">
        <v>496</v>
      </c>
      <c r="H998" t="s">
        <v>496</v>
      </c>
    </row>
    <row r="999" spans="1:8" x14ac:dyDescent="0.2">
      <c r="A999" t="s">
        <v>2006</v>
      </c>
      <c r="B999" t="s">
        <v>2007</v>
      </c>
      <c r="C999" t="s">
        <v>1466</v>
      </c>
      <c r="D999" t="s">
        <v>167</v>
      </c>
      <c r="E999">
        <v>19430006</v>
      </c>
      <c r="F999" t="s">
        <v>667</v>
      </c>
      <c r="G999" t="s">
        <v>668</v>
      </c>
      <c r="H999" t="s">
        <v>668</v>
      </c>
    </row>
    <row r="1000" spans="1:8" x14ac:dyDescent="0.2">
      <c r="A1000" t="s">
        <v>2008</v>
      </c>
      <c r="B1000" t="s">
        <v>2009</v>
      </c>
      <c r="C1000" t="s">
        <v>310</v>
      </c>
      <c r="D1000" t="s">
        <v>136</v>
      </c>
      <c r="E1000">
        <v>12499612</v>
      </c>
      <c r="F1000" t="s">
        <v>311</v>
      </c>
      <c r="G1000" t="s">
        <v>312</v>
      </c>
      <c r="H1000" t="s">
        <v>313</v>
      </c>
    </row>
    <row r="1001" spans="1:8" x14ac:dyDescent="0.2">
      <c r="A1001" t="s">
        <v>2010</v>
      </c>
      <c r="B1001" t="s">
        <v>2011</v>
      </c>
      <c r="C1001" t="s">
        <v>330</v>
      </c>
      <c r="D1001" t="s">
        <v>143</v>
      </c>
      <c r="E1001">
        <v>2341871600</v>
      </c>
      <c r="F1001" t="s">
        <v>330</v>
      </c>
      <c r="G1001" t="s">
        <v>312</v>
      </c>
      <c r="H1001" t="s">
        <v>313</v>
      </c>
    </row>
    <row r="1002" spans="1:8" x14ac:dyDescent="0.2">
      <c r="A1002" t="s">
        <v>2012</v>
      </c>
      <c r="B1002" t="s">
        <v>2013</v>
      </c>
      <c r="C1002" t="s">
        <v>330</v>
      </c>
      <c r="D1002" t="s">
        <v>143</v>
      </c>
      <c r="E1002">
        <v>326235000</v>
      </c>
      <c r="F1002" t="s">
        <v>330</v>
      </c>
      <c r="G1002" t="s">
        <v>312</v>
      </c>
      <c r="H1002" t="s">
        <v>313</v>
      </c>
    </row>
    <row r="1003" spans="1:8" x14ac:dyDescent="0.2">
      <c r="A1003" t="s">
        <v>674</v>
      </c>
      <c r="B1003" t="s">
        <v>2014</v>
      </c>
      <c r="C1003" t="s">
        <v>181</v>
      </c>
      <c r="D1003" t="s">
        <v>167</v>
      </c>
      <c r="E1003">
        <v>2000000</v>
      </c>
      <c r="F1003" t="s">
        <v>182</v>
      </c>
      <c r="G1003" t="s">
        <v>183</v>
      </c>
      <c r="H1003" t="s">
        <v>184</v>
      </c>
    </row>
    <row r="1004" spans="1:8" x14ac:dyDescent="0.2">
      <c r="A1004" t="s">
        <v>2015</v>
      </c>
      <c r="B1004" t="s">
        <v>2016</v>
      </c>
      <c r="C1004" t="s">
        <v>163</v>
      </c>
      <c r="D1004" t="s">
        <v>136</v>
      </c>
      <c r="E1004">
        <v>74670891</v>
      </c>
      <c r="F1004" t="s">
        <v>137</v>
      </c>
      <c r="G1004" t="s">
        <v>138</v>
      </c>
      <c r="H1004" t="s">
        <v>139</v>
      </c>
    </row>
    <row r="1005" spans="1:8" x14ac:dyDescent="0.2">
      <c r="A1005" t="s">
        <v>2017</v>
      </c>
      <c r="B1005" t="s">
        <v>2018</v>
      </c>
      <c r="C1005" t="s">
        <v>166</v>
      </c>
      <c r="D1005" t="s">
        <v>136</v>
      </c>
      <c r="E1005">
        <v>48290629</v>
      </c>
      <c r="F1005" t="s">
        <v>166</v>
      </c>
      <c r="G1005" t="s">
        <v>166</v>
      </c>
      <c r="H1005" t="s">
        <v>160</v>
      </c>
    </row>
    <row r="1006" spans="1:8" x14ac:dyDescent="0.2">
      <c r="A1006" t="s">
        <v>2019</v>
      </c>
      <c r="B1006" t="s">
        <v>2020</v>
      </c>
      <c r="C1006" t="s">
        <v>240</v>
      </c>
      <c r="D1006" t="s">
        <v>167</v>
      </c>
      <c r="E1006">
        <v>8799991</v>
      </c>
      <c r="F1006" t="s">
        <v>240</v>
      </c>
      <c r="G1006" t="s">
        <v>241</v>
      </c>
      <c r="H1006" t="s">
        <v>242</v>
      </c>
    </row>
    <row r="1007" spans="1:8" x14ac:dyDescent="0.2">
      <c r="A1007" t="s">
        <v>674</v>
      </c>
      <c r="B1007" t="s">
        <v>2021</v>
      </c>
      <c r="C1007" t="s">
        <v>181</v>
      </c>
      <c r="D1007" t="s">
        <v>167</v>
      </c>
      <c r="E1007">
        <v>15000000</v>
      </c>
      <c r="F1007" t="s">
        <v>182</v>
      </c>
      <c r="G1007" t="s">
        <v>183</v>
      </c>
      <c r="H1007" t="s">
        <v>184</v>
      </c>
    </row>
    <row r="1008" spans="1:8" x14ac:dyDescent="0.2">
      <c r="A1008" t="s">
        <v>2022</v>
      </c>
      <c r="B1008" t="s">
        <v>2023</v>
      </c>
      <c r="C1008" t="s">
        <v>310</v>
      </c>
      <c r="D1008" t="s">
        <v>167</v>
      </c>
      <c r="E1008">
        <v>17324988</v>
      </c>
      <c r="F1008" t="s">
        <v>311</v>
      </c>
      <c r="G1008" t="s">
        <v>312</v>
      </c>
      <c r="H1008" t="s">
        <v>313</v>
      </c>
    </row>
    <row r="1009" spans="1:8" x14ac:dyDescent="0.2">
      <c r="A1009" t="s">
        <v>2024</v>
      </c>
      <c r="B1009" t="s">
        <v>2025</v>
      </c>
      <c r="C1009" t="s">
        <v>310</v>
      </c>
      <c r="D1009" t="s">
        <v>167</v>
      </c>
      <c r="E1009">
        <v>9343974</v>
      </c>
      <c r="F1009" t="s">
        <v>311</v>
      </c>
      <c r="G1009" t="s">
        <v>312</v>
      </c>
      <c r="H1009" t="s">
        <v>313</v>
      </c>
    </row>
    <row r="1010" spans="1:8" x14ac:dyDescent="0.2">
      <c r="A1010" t="s">
        <v>674</v>
      </c>
      <c r="B1010" t="s">
        <v>2026</v>
      </c>
      <c r="C1010" t="s">
        <v>211</v>
      </c>
      <c r="D1010" t="s">
        <v>136</v>
      </c>
      <c r="E1010">
        <v>30000000</v>
      </c>
      <c r="F1010" t="s">
        <v>212</v>
      </c>
      <c r="G1010" t="s">
        <v>183</v>
      </c>
      <c r="H1010" t="s">
        <v>184</v>
      </c>
    </row>
    <row r="1011" spans="1:8" x14ac:dyDescent="0.2">
      <c r="A1011" t="s">
        <v>674</v>
      </c>
      <c r="B1011" t="s">
        <v>2027</v>
      </c>
      <c r="C1011" t="s">
        <v>903</v>
      </c>
      <c r="D1011" t="s">
        <v>167</v>
      </c>
      <c r="E1011">
        <v>1200000</v>
      </c>
      <c r="F1011" t="s">
        <v>212</v>
      </c>
      <c r="G1011" t="s">
        <v>183</v>
      </c>
      <c r="H1011" t="s">
        <v>184</v>
      </c>
    </row>
    <row r="1012" spans="1:8" x14ac:dyDescent="0.2">
      <c r="A1012" t="s">
        <v>2028</v>
      </c>
      <c r="B1012" t="s">
        <v>2029</v>
      </c>
      <c r="C1012" t="s">
        <v>2030</v>
      </c>
      <c r="D1012" t="s">
        <v>167</v>
      </c>
      <c r="E1012">
        <v>104400000</v>
      </c>
      <c r="F1012" t="s">
        <v>177</v>
      </c>
      <c r="G1012" t="s">
        <v>178</v>
      </c>
      <c r="H1012" t="s">
        <v>160</v>
      </c>
    </row>
    <row r="1013" spans="1:8" x14ac:dyDescent="0.2">
      <c r="A1013" t="s">
        <v>2031</v>
      </c>
      <c r="B1013" t="s">
        <v>2032</v>
      </c>
      <c r="C1013" t="s">
        <v>237</v>
      </c>
      <c r="D1013" t="s">
        <v>136</v>
      </c>
      <c r="E1013">
        <v>3000000</v>
      </c>
      <c r="F1013" t="s">
        <v>154</v>
      </c>
      <c r="G1013" t="s">
        <v>155</v>
      </c>
      <c r="H1013" t="s">
        <v>139</v>
      </c>
    </row>
    <row r="1014" spans="1:8" x14ac:dyDescent="0.2">
      <c r="A1014" t="s">
        <v>2033</v>
      </c>
      <c r="B1014" t="s">
        <v>2034</v>
      </c>
      <c r="C1014" t="s">
        <v>572</v>
      </c>
      <c r="D1014" t="s">
        <v>136</v>
      </c>
      <c r="E1014">
        <v>300000000</v>
      </c>
      <c r="F1014" t="s">
        <v>201</v>
      </c>
      <c r="G1014" t="s">
        <v>150</v>
      </c>
      <c r="H1014" t="s">
        <v>145</v>
      </c>
    </row>
    <row r="1015" spans="1:8" x14ac:dyDescent="0.2">
      <c r="A1015" t="s">
        <v>674</v>
      </c>
      <c r="B1015" t="s">
        <v>2035</v>
      </c>
      <c r="C1015" t="s">
        <v>208</v>
      </c>
      <c r="D1015" t="s">
        <v>136</v>
      </c>
      <c r="E1015">
        <v>50000000</v>
      </c>
      <c r="F1015" t="s">
        <v>195</v>
      </c>
      <c r="G1015" t="s">
        <v>195</v>
      </c>
      <c r="H1015" t="s">
        <v>184</v>
      </c>
    </row>
    <row r="1016" spans="1:8" x14ac:dyDescent="0.2">
      <c r="A1016" t="s">
        <v>674</v>
      </c>
      <c r="B1016" t="s">
        <v>2036</v>
      </c>
      <c r="C1016" t="s">
        <v>903</v>
      </c>
      <c r="D1016" t="s">
        <v>167</v>
      </c>
      <c r="E1016">
        <v>7200000</v>
      </c>
      <c r="F1016" t="s">
        <v>212</v>
      </c>
      <c r="G1016" t="s">
        <v>183</v>
      </c>
      <c r="H1016" t="s">
        <v>184</v>
      </c>
    </row>
    <row r="1017" spans="1:8" x14ac:dyDescent="0.2">
      <c r="A1017" t="s">
        <v>2037</v>
      </c>
      <c r="B1017" t="s">
        <v>2038</v>
      </c>
      <c r="C1017" t="s">
        <v>316</v>
      </c>
      <c r="D1017" t="s">
        <v>167</v>
      </c>
      <c r="E1017">
        <v>51827894</v>
      </c>
      <c r="F1017" t="s">
        <v>229</v>
      </c>
      <c r="G1017" t="s">
        <v>229</v>
      </c>
      <c r="H1017" t="s">
        <v>217</v>
      </c>
    </row>
    <row r="1018" spans="1:8" x14ac:dyDescent="0.2">
      <c r="A1018" t="s">
        <v>2039</v>
      </c>
      <c r="B1018" t="s">
        <v>2040</v>
      </c>
      <c r="C1018" t="s">
        <v>293</v>
      </c>
      <c r="D1018" t="s">
        <v>167</v>
      </c>
      <c r="E1018">
        <v>12500000</v>
      </c>
      <c r="F1018" t="s">
        <v>144</v>
      </c>
      <c r="G1018" t="s">
        <v>144</v>
      </c>
      <c r="H1018" t="s">
        <v>145</v>
      </c>
    </row>
    <row r="1019" spans="1:8" x14ac:dyDescent="0.2">
      <c r="A1019" t="s">
        <v>674</v>
      </c>
      <c r="B1019" t="s">
        <v>2041</v>
      </c>
      <c r="C1019" t="s">
        <v>208</v>
      </c>
      <c r="D1019" t="s">
        <v>136</v>
      </c>
      <c r="E1019">
        <v>35000000</v>
      </c>
      <c r="F1019" t="s">
        <v>195</v>
      </c>
      <c r="G1019" t="s">
        <v>195</v>
      </c>
      <c r="H1019" t="s">
        <v>184</v>
      </c>
    </row>
    <row r="1020" spans="1:8" x14ac:dyDescent="0.2">
      <c r="A1020" t="s">
        <v>2042</v>
      </c>
      <c r="B1020" t="s">
        <v>2043</v>
      </c>
      <c r="C1020" t="s">
        <v>310</v>
      </c>
      <c r="D1020" t="s">
        <v>143</v>
      </c>
      <c r="E1020">
        <v>126196780</v>
      </c>
      <c r="F1020" t="s">
        <v>311</v>
      </c>
      <c r="G1020" t="s">
        <v>312</v>
      </c>
      <c r="H1020" t="s">
        <v>313</v>
      </c>
    </row>
    <row r="1021" spans="1:8" x14ac:dyDescent="0.2">
      <c r="A1021" t="s">
        <v>2044</v>
      </c>
      <c r="B1021" t="s">
        <v>2045</v>
      </c>
      <c r="C1021" t="s">
        <v>158</v>
      </c>
      <c r="D1021" t="s">
        <v>167</v>
      </c>
      <c r="E1021">
        <v>59841300</v>
      </c>
      <c r="F1021" t="s">
        <v>159</v>
      </c>
      <c r="G1021" t="s">
        <v>159</v>
      </c>
      <c r="H1021" t="s">
        <v>160</v>
      </c>
    </row>
    <row r="1022" spans="1:8" x14ac:dyDescent="0.2">
      <c r="A1022" t="s">
        <v>2046</v>
      </c>
      <c r="B1022" t="s">
        <v>2047</v>
      </c>
      <c r="C1022" t="s">
        <v>153</v>
      </c>
      <c r="D1022" t="s">
        <v>136</v>
      </c>
      <c r="E1022">
        <v>11812500</v>
      </c>
      <c r="F1022" t="s">
        <v>154</v>
      </c>
      <c r="G1022" t="s">
        <v>155</v>
      </c>
      <c r="H1022" t="s">
        <v>139</v>
      </c>
    </row>
    <row r="1023" spans="1:8" x14ac:dyDescent="0.2">
      <c r="A1023" t="s">
        <v>674</v>
      </c>
      <c r="B1023" t="s">
        <v>2048</v>
      </c>
      <c r="C1023" t="s">
        <v>211</v>
      </c>
      <c r="D1023" t="s">
        <v>136</v>
      </c>
      <c r="E1023">
        <v>40000000</v>
      </c>
      <c r="F1023" t="s">
        <v>212</v>
      </c>
      <c r="G1023" t="s">
        <v>183</v>
      </c>
      <c r="H1023" t="s">
        <v>184</v>
      </c>
    </row>
    <row r="1024" spans="1:8" x14ac:dyDescent="0.2">
      <c r="A1024" t="s">
        <v>674</v>
      </c>
      <c r="B1024" t="s">
        <v>2049</v>
      </c>
      <c r="C1024" t="s">
        <v>903</v>
      </c>
      <c r="D1024" t="s">
        <v>136</v>
      </c>
      <c r="E1024">
        <v>40000000</v>
      </c>
      <c r="F1024" t="s">
        <v>212</v>
      </c>
      <c r="G1024" t="s">
        <v>183</v>
      </c>
      <c r="H1024" t="s">
        <v>184</v>
      </c>
    </row>
    <row r="1025" spans="1:8" x14ac:dyDescent="0.2">
      <c r="A1025" t="s">
        <v>2050</v>
      </c>
      <c r="B1025" t="s">
        <v>2051</v>
      </c>
      <c r="C1025" t="s">
        <v>293</v>
      </c>
      <c r="D1025" t="s">
        <v>167</v>
      </c>
      <c r="E1025">
        <v>17000000</v>
      </c>
      <c r="F1025" t="s">
        <v>144</v>
      </c>
      <c r="G1025" t="s">
        <v>144</v>
      </c>
      <c r="H1025" t="s">
        <v>145</v>
      </c>
    </row>
    <row r="1026" spans="1:8" x14ac:dyDescent="0.2">
      <c r="A1026" t="s">
        <v>2052</v>
      </c>
      <c r="B1026" t="s">
        <v>2053</v>
      </c>
      <c r="C1026" t="s">
        <v>200</v>
      </c>
      <c r="D1026" t="s">
        <v>143</v>
      </c>
      <c r="E1026">
        <v>66938403</v>
      </c>
      <c r="F1026" t="s">
        <v>201</v>
      </c>
      <c r="G1026" t="s">
        <v>150</v>
      </c>
      <c r="H1026" t="s">
        <v>145</v>
      </c>
    </row>
    <row r="1027" spans="1:8" x14ac:dyDescent="0.2">
      <c r="A1027" t="s">
        <v>674</v>
      </c>
      <c r="B1027" t="s">
        <v>2055</v>
      </c>
      <c r="C1027" t="s">
        <v>208</v>
      </c>
      <c r="D1027" t="s">
        <v>143</v>
      </c>
      <c r="E1027">
        <v>32307324</v>
      </c>
      <c r="F1027" t="s">
        <v>195</v>
      </c>
      <c r="G1027" t="s">
        <v>195</v>
      </c>
      <c r="H1027" t="s">
        <v>184</v>
      </c>
    </row>
    <row r="1028" spans="1:8" x14ac:dyDescent="0.2">
      <c r="A1028" t="s">
        <v>674</v>
      </c>
      <c r="B1028" t="s">
        <v>2056</v>
      </c>
      <c r="C1028" t="s">
        <v>208</v>
      </c>
      <c r="D1028" t="s">
        <v>167</v>
      </c>
      <c r="E1028">
        <v>4999933</v>
      </c>
      <c r="F1028" t="s">
        <v>195</v>
      </c>
      <c r="G1028" t="s">
        <v>195</v>
      </c>
      <c r="H1028" t="s">
        <v>184</v>
      </c>
    </row>
    <row r="1029" spans="1:8" x14ac:dyDescent="0.2">
      <c r="A1029" t="s">
        <v>674</v>
      </c>
      <c r="B1029" t="s">
        <v>2057</v>
      </c>
      <c r="C1029" t="s">
        <v>194</v>
      </c>
      <c r="D1029" t="s">
        <v>136</v>
      </c>
      <c r="E1029">
        <v>12500000</v>
      </c>
      <c r="F1029" t="s">
        <v>195</v>
      </c>
      <c r="G1029" t="s">
        <v>195</v>
      </c>
      <c r="H1029" t="s">
        <v>184</v>
      </c>
    </row>
    <row r="1030" spans="1:8" x14ac:dyDescent="0.2">
      <c r="A1030" t="s">
        <v>2058</v>
      </c>
      <c r="B1030" t="s">
        <v>2059</v>
      </c>
      <c r="C1030" t="s">
        <v>163</v>
      </c>
      <c r="D1030" t="s">
        <v>136</v>
      </c>
      <c r="E1030">
        <v>4996185</v>
      </c>
      <c r="F1030" t="s">
        <v>137</v>
      </c>
      <c r="G1030" t="s">
        <v>138</v>
      </c>
      <c r="H1030" t="s">
        <v>139</v>
      </c>
    </row>
    <row r="1031" spans="1:8" x14ac:dyDescent="0.2">
      <c r="A1031" t="s">
        <v>2060</v>
      </c>
      <c r="B1031" t="s">
        <v>2061</v>
      </c>
      <c r="C1031" t="s">
        <v>310</v>
      </c>
      <c r="D1031" t="s">
        <v>136</v>
      </c>
      <c r="E1031">
        <v>3503164</v>
      </c>
      <c r="F1031" t="s">
        <v>311</v>
      </c>
      <c r="G1031" t="s">
        <v>312</v>
      </c>
      <c r="H1031" t="s">
        <v>313</v>
      </c>
    </row>
    <row r="1032" spans="1:8" x14ac:dyDescent="0.2">
      <c r="A1032" t="s">
        <v>2062</v>
      </c>
      <c r="B1032" t="s">
        <v>2063</v>
      </c>
      <c r="C1032" t="s">
        <v>177</v>
      </c>
      <c r="D1032" t="s">
        <v>167</v>
      </c>
      <c r="E1032">
        <v>80395709</v>
      </c>
      <c r="F1032" t="s">
        <v>177</v>
      </c>
      <c r="G1032" t="s">
        <v>178</v>
      </c>
      <c r="H1032" t="s">
        <v>160</v>
      </c>
    </row>
    <row r="1033" spans="1:8" x14ac:dyDescent="0.2">
      <c r="A1033" t="s">
        <v>2064</v>
      </c>
      <c r="B1033" t="s">
        <v>2065</v>
      </c>
      <c r="C1033" t="s">
        <v>166</v>
      </c>
      <c r="D1033" t="s">
        <v>143</v>
      </c>
      <c r="E1033">
        <v>100000000</v>
      </c>
      <c r="F1033" t="s">
        <v>166</v>
      </c>
      <c r="G1033" t="s">
        <v>166</v>
      </c>
      <c r="H1033" t="s">
        <v>160</v>
      </c>
    </row>
    <row r="1034" spans="1:8" x14ac:dyDescent="0.2">
      <c r="A1034" t="s">
        <v>674</v>
      </c>
      <c r="B1034" t="s">
        <v>2066</v>
      </c>
      <c r="C1034" t="s">
        <v>208</v>
      </c>
      <c r="D1034" t="s">
        <v>136</v>
      </c>
      <c r="E1034">
        <v>1200000</v>
      </c>
      <c r="F1034" t="s">
        <v>195</v>
      </c>
      <c r="G1034" t="s">
        <v>195</v>
      </c>
      <c r="H1034" t="s">
        <v>184</v>
      </c>
    </row>
    <row r="1035" spans="1:8" x14ac:dyDescent="0.2">
      <c r="A1035" t="s">
        <v>2067</v>
      </c>
      <c r="B1035" t="s">
        <v>2068</v>
      </c>
      <c r="C1035" t="s">
        <v>1063</v>
      </c>
      <c r="D1035" t="s">
        <v>136</v>
      </c>
      <c r="E1035">
        <v>6800000</v>
      </c>
      <c r="F1035" t="s">
        <v>1063</v>
      </c>
      <c r="G1035" t="s">
        <v>174</v>
      </c>
      <c r="H1035" t="s">
        <v>174</v>
      </c>
    </row>
    <row r="1036" spans="1:8" x14ac:dyDescent="0.2">
      <c r="A1036" t="s">
        <v>674</v>
      </c>
      <c r="B1036" t="s">
        <v>2069</v>
      </c>
      <c r="C1036" t="s">
        <v>903</v>
      </c>
      <c r="D1036" t="s">
        <v>167</v>
      </c>
      <c r="E1036">
        <v>5568000</v>
      </c>
      <c r="F1036" t="s">
        <v>212</v>
      </c>
      <c r="G1036" t="s">
        <v>183</v>
      </c>
      <c r="H1036" t="s">
        <v>184</v>
      </c>
    </row>
    <row r="1037" spans="1:8" x14ac:dyDescent="0.2">
      <c r="A1037" t="s">
        <v>674</v>
      </c>
      <c r="B1037" t="s">
        <v>2070</v>
      </c>
      <c r="C1037" t="s">
        <v>903</v>
      </c>
      <c r="D1037" t="s">
        <v>136</v>
      </c>
      <c r="E1037">
        <v>16493172</v>
      </c>
      <c r="F1037" t="s">
        <v>212</v>
      </c>
      <c r="G1037" t="s">
        <v>183</v>
      </c>
      <c r="H1037" t="s">
        <v>184</v>
      </c>
    </row>
    <row r="1038" spans="1:8" x14ac:dyDescent="0.2">
      <c r="A1038" t="s">
        <v>2071</v>
      </c>
      <c r="B1038" t="s">
        <v>2072</v>
      </c>
      <c r="C1038" t="s">
        <v>1920</v>
      </c>
      <c r="D1038" t="s">
        <v>136</v>
      </c>
      <c r="E1038">
        <v>20000000</v>
      </c>
      <c r="F1038" t="s">
        <v>1921</v>
      </c>
      <c r="G1038" t="s">
        <v>496</v>
      </c>
      <c r="H1038" t="s">
        <v>496</v>
      </c>
    </row>
    <row r="1039" spans="1:8" x14ac:dyDescent="0.2">
      <c r="A1039" t="s">
        <v>674</v>
      </c>
      <c r="B1039" t="s">
        <v>2073</v>
      </c>
      <c r="C1039" t="s">
        <v>903</v>
      </c>
      <c r="D1039" t="s">
        <v>136</v>
      </c>
      <c r="E1039">
        <v>6432453</v>
      </c>
      <c r="F1039" t="s">
        <v>212</v>
      </c>
      <c r="G1039" t="s">
        <v>183</v>
      </c>
      <c r="H1039" t="s">
        <v>184</v>
      </c>
    </row>
    <row r="1040" spans="1:8" x14ac:dyDescent="0.2">
      <c r="A1040" t="s">
        <v>2074</v>
      </c>
      <c r="B1040" t="s">
        <v>2075</v>
      </c>
      <c r="C1040" t="s">
        <v>166</v>
      </c>
      <c r="D1040" t="s">
        <v>167</v>
      </c>
      <c r="E1040">
        <v>37350000</v>
      </c>
      <c r="F1040" t="s">
        <v>166</v>
      </c>
      <c r="G1040" t="s">
        <v>166</v>
      </c>
      <c r="H1040" t="s">
        <v>160</v>
      </c>
    </row>
    <row r="1041" spans="1:8" x14ac:dyDescent="0.2">
      <c r="A1041" t="s">
        <v>674</v>
      </c>
      <c r="B1041" t="s">
        <v>2076</v>
      </c>
      <c r="C1041" t="s">
        <v>208</v>
      </c>
      <c r="D1041" t="s">
        <v>136</v>
      </c>
      <c r="E1041">
        <v>21846000</v>
      </c>
      <c r="F1041" t="s">
        <v>195</v>
      </c>
      <c r="G1041" t="s">
        <v>195</v>
      </c>
      <c r="H1041" t="s">
        <v>184</v>
      </c>
    </row>
    <row r="1042" spans="1:8" x14ac:dyDescent="0.2">
      <c r="A1042" t="s">
        <v>2077</v>
      </c>
      <c r="B1042" t="s">
        <v>2078</v>
      </c>
      <c r="C1042" t="s">
        <v>1920</v>
      </c>
      <c r="D1042" t="s">
        <v>167</v>
      </c>
      <c r="E1042">
        <v>21599998</v>
      </c>
      <c r="F1042" t="s">
        <v>1921</v>
      </c>
      <c r="G1042" t="s">
        <v>496</v>
      </c>
      <c r="H1042" t="s">
        <v>496</v>
      </c>
    </row>
    <row r="1043" spans="1:8" x14ac:dyDescent="0.2">
      <c r="A1043" t="s">
        <v>2079</v>
      </c>
      <c r="B1043" t="s">
        <v>2080</v>
      </c>
      <c r="C1043" t="s">
        <v>1920</v>
      </c>
      <c r="D1043" t="s">
        <v>167</v>
      </c>
      <c r="E1043">
        <v>81194463</v>
      </c>
      <c r="F1043" t="s">
        <v>1921</v>
      </c>
      <c r="G1043" t="s">
        <v>496</v>
      </c>
      <c r="H1043" t="s">
        <v>496</v>
      </c>
    </row>
    <row r="1044" spans="1:8" x14ac:dyDescent="0.2">
      <c r="A1044" t="s">
        <v>2081</v>
      </c>
      <c r="B1044" t="s">
        <v>2082</v>
      </c>
      <c r="C1044" t="s">
        <v>1920</v>
      </c>
      <c r="D1044" t="s">
        <v>143</v>
      </c>
      <c r="E1044">
        <v>556296006</v>
      </c>
      <c r="F1044" t="s">
        <v>1921</v>
      </c>
      <c r="G1044" t="s">
        <v>496</v>
      </c>
      <c r="H1044" t="s">
        <v>496</v>
      </c>
    </row>
    <row r="1045" spans="1:8" x14ac:dyDescent="0.2">
      <c r="A1045" t="s">
        <v>2083</v>
      </c>
      <c r="B1045" t="s">
        <v>2084</v>
      </c>
      <c r="C1045" t="s">
        <v>1920</v>
      </c>
      <c r="D1045" t="s">
        <v>136</v>
      </c>
      <c r="E1045">
        <v>25000000</v>
      </c>
      <c r="F1045" t="s">
        <v>1921</v>
      </c>
      <c r="G1045" t="s">
        <v>496</v>
      </c>
      <c r="H1045" t="s">
        <v>496</v>
      </c>
    </row>
    <row r="1046" spans="1:8" x14ac:dyDescent="0.2">
      <c r="A1046" t="s">
        <v>2085</v>
      </c>
      <c r="B1046" t="s">
        <v>2086</v>
      </c>
      <c r="C1046" t="s">
        <v>310</v>
      </c>
      <c r="D1046" t="s">
        <v>167</v>
      </c>
      <c r="E1046">
        <v>39998522</v>
      </c>
      <c r="F1046" t="s">
        <v>311</v>
      </c>
      <c r="G1046" t="s">
        <v>312</v>
      </c>
      <c r="H1046" t="s">
        <v>313</v>
      </c>
    </row>
    <row r="1047" spans="1:8" x14ac:dyDescent="0.2">
      <c r="A1047" t="s">
        <v>674</v>
      </c>
      <c r="B1047" t="s">
        <v>2087</v>
      </c>
      <c r="C1047" t="s">
        <v>208</v>
      </c>
      <c r="D1047" t="s">
        <v>136</v>
      </c>
      <c r="E1047">
        <v>21000000</v>
      </c>
      <c r="F1047" t="s">
        <v>195</v>
      </c>
      <c r="G1047" t="s">
        <v>195</v>
      </c>
      <c r="H1047" t="s">
        <v>184</v>
      </c>
    </row>
    <row r="1048" spans="1:8" x14ac:dyDescent="0.2">
      <c r="A1048" t="s">
        <v>2088</v>
      </c>
      <c r="B1048" t="s">
        <v>2089</v>
      </c>
      <c r="C1048" t="s">
        <v>177</v>
      </c>
      <c r="D1048" t="s">
        <v>167</v>
      </c>
      <c r="E1048">
        <v>234241867</v>
      </c>
      <c r="F1048" t="s">
        <v>177</v>
      </c>
      <c r="G1048" t="s">
        <v>178</v>
      </c>
      <c r="H1048" t="s">
        <v>160</v>
      </c>
    </row>
    <row r="1049" spans="1:8" x14ac:dyDescent="0.2">
      <c r="A1049" t="s">
        <v>2090</v>
      </c>
      <c r="B1049" t="s">
        <v>2091</v>
      </c>
      <c r="C1049" t="s">
        <v>166</v>
      </c>
      <c r="D1049" t="s">
        <v>136</v>
      </c>
      <c r="E1049">
        <v>50000000</v>
      </c>
      <c r="F1049" t="s">
        <v>166</v>
      </c>
      <c r="G1049" t="s">
        <v>166</v>
      </c>
      <c r="H1049" t="s">
        <v>160</v>
      </c>
    </row>
    <row r="1050" spans="1:8" x14ac:dyDescent="0.2">
      <c r="A1050" t="s">
        <v>674</v>
      </c>
      <c r="B1050" t="s">
        <v>2092</v>
      </c>
      <c r="C1050" t="s">
        <v>265</v>
      </c>
      <c r="D1050" t="s">
        <v>136</v>
      </c>
      <c r="E1050">
        <v>38638600</v>
      </c>
      <c r="F1050" t="s">
        <v>182</v>
      </c>
      <c r="G1050" t="s">
        <v>183</v>
      </c>
      <c r="H1050" t="s">
        <v>184</v>
      </c>
    </row>
    <row r="1051" spans="1:8" x14ac:dyDescent="0.2">
      <c r="A1051" t="s">
        <v>2093</v>
      </c>
      <c r="B1051" t="s">
        <v>2094</v>
      </c>
      <c r="C1051" t="s">
        <v>293</v>
      </c>
      <c r="D1051" t="s">
        <v>136</v>
      </c>
      <c r="E1051">
        <v>8900000</v>
      </c>
      <c r="F1051" t="s">
        <v>144</v>
      </c>
      <c r="G1051" t="s">
        <v>144</v>
      </c>
      <c r="H1051" t="s">
        <v>145</v>
      </c>
    </row>
    <row r="1052" spans="1:8" x14ac:dyDescent="0.2">
      <c r="A1052" t="s">
        <v>674</v>
      </c>
      <c r="B1052" t="s">
        <v>2096</v>
      </c>
      <c r="C1052" t="s">
        <v>903</v>
      </c>
      <c r="D1052" t="s">
        <v>143</v>
      </c>
      <c r="E1052">
        <v>103702452</v>
      </c>
      <c r="F1052" t="s">
        <v>212</v>
      </c>
      <c r="G1052" t="s">
        <v>183</v>
      </c>
      <c r="H1052" t="s">
        <v>184</v>
      </c>
    </row>
    <row r="1053" spans="1:8" x14ac:dyDescent="0.2">
      <c r="A1053" t="s">
        <v>2097</v>
      </c>
      <c r="B1053" t="s">
        <v>2098</v>
      </c>
      <c r="C1053" t="s">
        <v>166</v>
      </c>
      <c r="D1053" t="s">
        <v>136</v>
      </c>
      <c r="E1053">
        <v>53100913</v>
      </c>
      <c r="F1053" t="s">
        <v>166</v>
      </c>
      <c r="G1053" t="s">
        <v>166</v>
      </c>
      <c r="H1053" t="s">
        <v>160</v>
      </c>
    </row>
    <row r="1054" spans="1:8" x14ac:dyDescent="0.2">
      <c r="A1054" t="s">
        <v>2099</v>
      </c>
      <c r="B1054" t="s">
        <v>2100</v>
      </c>
      <c r="C1054" t="s">
        <v>1920</v>
      </c>
      <c r="D1054" t="s">
        <v>167</v>
      </c>
      <c r="E1054">
        <v>477966290</v>
      </c>
      <c r="F1054" t="s">
        <v>1921</v>
      </c>
      <c r="G1054" t="s">
        <v>496</v>
      </c>
      <c r="H1054" t="s">
        <v>496</v>
      </c>
    </row>
    <row r="1055" spans="1:8" x14ac:dyDescent="0.2">
      <c r="A1055" t="s">
        <v>674</v>
      </c>
      <c r="B1055" t="s">
        <v>2102</v>
      </c>
      <c r="C1055" t="s">
        <v>826</v>
      </c>
      <c r="D1055" t="s">
        <v>143</v>
      </c>
      <c r="E1055">
        <v>356012638</v>
      </c>
      <c r="F1055" t="s">
        <v>212</v>
      </c>
      <c r="G1055" t="s">
        <v>183</v>
      </c>
      <c r="H1055" t="s">
        <v>184</v>
      </c>
    </row>
    <row r="1056" spans="1:8" x14ac:dyDescent="0.2">
      <c r="A1056" t="s">
        <v>674</v>
      </c>
      <c r="B1056" t="s">
        <v>2103</v>
      </c>
      <c r="C1056" t="s">
        <v>208</v>
      </c>
      <c r="D1056" t="s">
        <v>136</v>
      </c>
      <c r="E1056">
        <v>30000000</v>
      </c>
      <c r="F1056" t="s">
        <v>195</v>
      </c>
      <c r="G1056" t="s">
        <v>195</v>
      </c>
      <c r="H1056" t="s">
        <v>184</v>
      </c>
    </row>
    <row r="1057" spans="1:8" x14ac:dyDescent="0.2">
      <c r="A1057" t="s">
        <v>674</v>
      </c>
      <c r="B1057" t="s">
        <v>2104</v>
      </c>
      <c r="C1057" t="s">
        <v>208</v>
      </c>
      <c r="D1057" t="s">
        <v>136</v>
      </c>
      <c r="E1057">
        <v>400000000</v>
      </c>
      <c r="F1057" t="s">
        <v>195</v>
      </c>
      <c r="G1057" t="s">
        <v>195</v>
      </c>
      <c r="H1057" t="s">
        <v>184</v>
      </c>
    </row>
    <row r="1058" spans="1:8" x14ac:dyDescent="0.2">
      <c r="A1058" t="s">
        <v>674</v>
      </c>
      <c r="B1058" t="s">
        <v>2105</v>
      </c>
      <c r="C1058" t="s">
        <v>208</v>
      </c>
      <c r="D1058" t="s">
        <v>136</v>
      </c>
      <c r="E1058">
        <v>59489787</v>
      </c>
      <c r="F1058" t="s">
        <v>195</v>
      </c>
      <c r="G1058" t="s">
        <v>195</v>
      </c>
      <c r="H1058" t="s">
        <v>184</v>
      </c>
    </row>
    <row r="1059" spans="1:8" x14ac:dyDescent="0.2">
      <c r="A1059" t="s">
        <v>2106</v>
      </c>
      <c r="B1059" t="s">
        <v>2107</v>
      </c>
      <c r="C1059" t="s">
        <v>166</v>
      </c>
      <c r="D1059" t="s">
        <v>136</v>
      </c>
      <c r="E1059">
        <v>10000000</v>
      </c>
      <c r="F1059" t="s">
        <v>166</v>
      </c>
      <c r="G1059" t="s">
        <v>166</v>
      </c>
      <c r="H1059" t="s">
        <v>160</v>
      </c>
    </row>
    <row r="1060" spans="1:8" x14ac:dyDescent="0.2">
      <c r="A1060" t="s">
        <v>2108</v>
      </c>
      <c r="B1060" t="s">
        <v>2109</v>
      </c>
      <c r="C1060" t="s">
        <v>387</v>
      </c>
      <c r="D1060" t="s">
        <v>136</v>
      </c>
      <c r="E1060">
        <v>38363579</v>
      </c>
      <c r="F1060" t="s">
        <v>311</v>
      </c>
      <c r="G1060" t="s">
        <v>312</v>
      </c>
      <c r="H1060" t="s">
        <v>313</v>
      </c>
    </row>
    <row r="1061" spans="1:8" x14ac:dyDescent="0.2">
      <c r="A1061" t="s">
        <v>674</v>
      </c>
      <c r="B1061" t="s">
        <v>2110</v>
      </c>
      <c r="C1061" t="s">
        <v>194</v>
      </c>
      <c r="D1061" t="s">
        <v>136</v>
      </c>
      <c r="E1061">
        <v>20000000</v>
      </c>
      <c r="F1061" t="s">
        <v>195</v>
      </c>
      <c r="G1061" t="s">
        <v>195</v>
      </c>
      <c r="H1061" t="s">
        <v>184</v>
      </c>
    </row>
    <row r="1062" spans="1:8" x14ac:dyDescent="0.2">
      <c r="A1062" t="s">
        <v>2111</v>
      </c>
      <c r="B1062" t="s">
        <v>2112</v>
      </c>
      <c r="C1062" t="s">
        <v>166</v>
      </c>
      <c r="D1062" t="s">
        <v>136</v>
      </c>
      <c r="E1062">
        <v>15000000</v>
      </c>
      <c r="F1062" t="s">
        <v>166</v>
      </c>
      <c r="G1062" t="s">
        <v>166</v>
      </c>
      <c r="H1062" t="s">
        <v>160</v>
      </c>
    </row>
    <row r="1063" spans="1:8" x14ac:dyDescent="0.2">
      <c r="A1063" t="s">
        <v>2113</v>
      </c>
      <c r="B1063" t="s">
        <v>2114</v>
      </c>
      <c r="C1063" t="s">
        <v>166</v>
      </c>
      <c r="D1063" t="s">
        <v>136</v>
      </c>
      <c r="E1063">
        <v>28068900</v>
      </c>
      <c r="F1063" t="s">
        <v>166</v>
      </c>
      <c r="G1063" t="s">
        <v>166</v>
      </c>
      <c r="H1063" t="s">
        <v>160</v>
      </c>
    </row>
    <row r="1064" spans="1:8" x14ac:dyDescent="0.2">
      <c r="A1064" t="s">
        <v>674</v>
      </c>
      <c r="B1064" t="s">
        <v>2115</v>
      </c>
      <c r="C1064" t="s">
        <v>208</v>
      </c>
      <c r="D1064" t="s">
        <v>136</v>
      </c>
      <c r="E1064">
        <v>30000000</v>
      </c>
      <c r="F1064" t="s">
        <v>195</v>
      </c>
      <c r="G1064" t="s">
        <v>195</v>
      </c>
      <c r="H1064" t="s">
        <v>184</v>
      </c>
    </row>
    <row r="1065" spans="1:8" x14ac:dyDescent="0.2">
      <c r="A1065" t="s">
        <v>2116</v>
      </c>
      <c r="B1065" t="s">
        <v>2117</v>
      </c>
      <c r="C1065" t="s">
        <v>166</v>
      </c>
      <c r="D1065" t="s">
        <v>136</v>
      </c>
      <c r="E1065">
        <v>82722212</v>
      </c>
      <c r="F1065" t="s">
        <v>166</v>
      </c>
      <c r="G1065" t="s">
        <v>166</v>
      </c>
      <c r="H1065" t="s">
        <v>160</v>
      </c>
    </row>
    <row r="1066" spans="1:8" x14ac:dyDescent="0.2">
      <c r="A1066" t="s">
        <v>674</v>
      </c>
      <c r="B1066" t="s">
        <v>2118</v>
      </c>
      <c r="C1066" t="s">
        <v>208</v>
      </c>
      <c r="D1066" t="s">
        <v>136</v>
      </c>
      <c r="E1066">
        <v>15000000</v>
      </c>
      <c r="F1066" t="s">
        <v>195</v>
      </c>
      <c r="G1066" t="s">
        <v>195</v>
      </c>
      <c r="H1066" t="s">
        <v>184</v>
      </c>
    </row>
    <row r="1067" spans="1:8" x14ac:dyDescent="0.2">
      <c r="A1067" t="s">
        <v>674</v>
      </c>
      <c r="B1067" t="s">
        <v>2119</v>
      </c>
      <c r="C1067" t="s">
        <v>208</v>
      </c>
      <c r="D1067" t="s">
        <v>136</v>
      </c>
      <c r="E1067">
        <v>60000000</v>
      </c>
      <c r="F1067" t="s">
        <v>195</v>
      </c>
      <c r="G1067" t="s">
        <v>195</v>
      </c>
      <c r="H1067" t="s">
        <v>184</v>
      </c>
    </row>
    <row r="1068" spans="1:8" x14ac:dyDescent="0.2">
      <c r="A1068" t="s">
        <v>674</v>
      </c>
      <c r="B1068" t="s">
        <v>2120</v>
      </c>
      <c r="C1068" t="s">
        <v>208</v>
      </c>
      <c r="D1068" t="s">
        <v>136</v>
      </c>
      <c r="E1068">
        <v>20000000</v>
      </c>
      <c r="F1068" t="s">
        <v>195</v>
      </c>
      <c r="G1068" t="s">
        <v>195</v>
      </c>
      <c r="H1068" t="s">
        <v>184</v>
      </c>
    </row>
    <row r="1069" spans="1:8" x14ac:dyDescent="0.2">
      <c r="A1069" t="s">
        <v>2121</v>
      </c>
      <c r="B1069" t="s">
        <v>2122</v>
      </c>
      <c r="C1069" t="s">
        <v>293</v>
      </c>
      <c r="D1069" t="s">
        <v>136</v>
      </c>
      <c r="E1069">
        <v>69329928</v>
      </c>
      <c r="F1069" t="s">
        <v>144</v>
      </c>
      <c r="G1069" t="s">
        <v>144</v>
      </c>
      <c r="H1069" t="s">
        <v>145</v>
      </c>
    </row>
    <row r="1070" spans="1:8" x14ac:dyDescent="0.2">
      <c r="A1070" t="s">
        <v>674</v>
      </c>
      <c r="B1070" t="s">
        <v>2123</v>
      </c>
      <c r="C1070" t="s">
        <v>208</v>
      </c>
      <c r="D1070" t="s">
        <v>136</v>
      </c>
      <c r="E1070">
        <v>1500000</v>
      </c>
      <c r="F1070" t="s">
        <v>195</v>
      </c>
      <c r="G1070" t="s">
        <v>195</v>
      </c>
      <c r="H1070" t="s">
        <v>184</v>
      </c>
    </row>
    <row r="1071" spans="1:8" x14ac:dyDescent="0.2">
      <c r="A1071" t="s">
        <v>2124</v>
      </c>
      <c r="B1071" t="s">
        <v>2125</v>
      </c>
      <c r="C1071" t="s">
        <v>166</v>
      </c>
      <c r="D1071" t="s">
        <v>143</v>
      </c>
      <c r="E1071">
        <v>275129310</v>
      </c>
      <c r="F1071" t="s">
        <v>166</v>
      </c>
      <c r="G1071" t="s">
        <v>166</v>
      </c>
      <c r="H1071" t="s">
        <v>160</v>
      </c>
    </row>
    <row r="1072" spans="1:8" x14ac:dyDescent="0.2">
      <c r="A1072" t="s">
        <v>674</v>
      </c>
      <c r="B1072" t="s">
        <v>2126</v>
      </c>
      <c r="C1072" t="s">
        <v>2127</v>
      </c>
      <c r="D1072" t="s">
        <v>167</v>
      </c>
      <c r="E1072">
        <v>5524716</v>
      </c>
      <c r="F1072" t="s">
        <v>284</v>
      </c>
      <c r="G1072" t="s">
        <v>183</v>
      </c>
      <c r="H1072" t="s">
        <v>184</v>
      </c>
    </row>
    <row r="1073" spans="1:8" x14ac:dyDescent="0.2">
      <c r="A1073" t="s">
        <v>2128</v>
      </c>
      <c r="B1073" t="s">
        <v>2129</v>
      </c>
      <c r="C1073" t="s">
        <v>404</v>
      </c>
      <c r="D1073" t="s">
        <v>136</v>
      </c>
      <c r="E1073">
        <v>8000000</v>
      </c>
      <c r="F1073" t="s">
        <v>348</v>
      </c>
      <c r="G1073" t="s">
        <v>155</v>
      </c>
      <c r="H1073" t="s">
        <v>139</v>
      </c>
    </row>
    <row r="1074" spans="1:8" x14ac:dyDescent="0.2">
      <c r="A1074" t="s">
        <v>674</v>
      </c>
      <c r="B1074" t="s">
        <v>2130</v>
      </c>
      <c r="C1074" t="s">
        <v>194</v>
      </c>
      <c r="D1074" t="s">
        <v>136</v>
      </c>
      <c r="E1074">
        <v>60000000</v>
      </c>
      <c r="F1074" t="s">
        <v>195</v>
      </c>
      <c r="G1074" t="s">
        <v>195</v>
      </c>
      <c r="H1074" t="s">
        <v>184</v>
      </c>
    </row>
    <row r="1075" spans="1:8" x14ac:dyDescent="0.2">
      <c r="A1075" t="s">
        <v>674</v>
      </c>
      <c r="B1075" t="s">
        <v>2131</v>
      </c>
      <c r="C1075" t="s">
        <v>211</v>
      </c>
      <c r="D1075" t="s">
        <v>143</v>
      </c>
      <c r="E1075">
        <v>40409950</v>
      </c>
      <c r="F1075" t="s">
        <v>212</v>
      </c>
      <c r="G1075" t="s">
        <v>183</v>
      </c>
      <c r="H1075" t="s">
        <v>184</v>
      </c>
    </row>
    <row r="1076" spans="1:8" x14ac:dyDescent="0.2">
      <c r="A1076" t="s">
        <v>2132</v>
      </c>
      <c r="B1076" t="s">
        <v>2133</v>
      </c>
      <c r="C1076" t="s">
        <v>237</v>
      </c>
      <c r="D1076" t="s">
        <v>136</v>
      </c>
      <c r="E1076">
        <v>367648153</v>
      </c>
      <c r="F1076" t="s">
        <v>154</v>
      </c>
      <c r="G1076" t="s">
        <v>155</v>
      </c>
      <c r="H1076" t="s">
        <v>139</v>
      </c>
    </row>
    <row r="1077" spans="1:8" x14ac:dyDescent="0.2">
      <c r="A1077" t="s">
        <v>674</v>
      </c>
      <c r="B1077" t="s">
        <v>2134</v>
      </c>
      <c r="C1077" t="s">
        <v>208</v>
      </c>
      <c r="D1077" t="s">
        <v>136</v>
      </c>
      <c r="E1077">
        <v>3222000</v>
      </c>
      <c r="F1077" t="s">
        <v>195</v>
      </c>
      <c r="G1077" t="s">
        <v>195</v>
      </c>
      <c r="H1077" t="s">
        <v>184</v>
      </c>
    </row>
    <row r="1078" spans="1:8" x14ac:dyDescent="0.2">
      <c r="A1078" t="s">
        <v>674</v>
      </c>
      <c r="B1078" t="s">
        <v>2135</v>
      </c>
      <c r="C1078" t="s">
        <v>441</v>
      </c>
      <c r="D1078" t="s">
        <v>136</v>
      </c>
      <c r="E1078">
        <v>6800000</v>
      </c>
      <c r="F1078" t="s">
        <v>182</v>
      </c>
      <c r="G1078" t="s">
        <v>183</v>
      </c>
      <c r="H1078" t="s">
        <v>184</v>
      </c>
    </row>
    <row r="1079" spans="1:8" x14ac:dyDescent="0.2">
      <c r="A1079" t="s">
        <v>2136</v>
      </c>
      <c r="B1079" t="s">
        <v>2137</v>
      </c>
      <c r="C1079" t="s">
        <v>387</v>
      </c>
      <c r="D1079" t="s">
        <v>136</v>
      </c>
      <c r="E1079">
        <v>20000000</v>
      </c>
      <c r="F1079" t="s">
        <v>311</v>
      </c>
      <c r="G1079" t="s">
        <v>312</v>
      </c>
      <c r="H1079" t="s">
        <v>313</v>
      </c>
    </row>
    <row r="1080" spans="1:8" x14ac:dyDescent="0.2">
      <c r="A1080" t="s">
        <v>2138</v>
      </c>
      <c r="B1080" t="s">
        <v>2139</v>
      </c>
      <c r="C1080" t="s">
        <v>330</v>
      </c>
      <c r="D1080" t="s">
        <v>136</v>
      </c>
      <c r="E1080">
        <v>18583100</v>
      </c>
      <c r="F1080" t="s">
        <v>330</v>
      </c>
      <c r="G1080" t="s">
        <v>312</v>
      </c>
      <c r="H1080" t="s">
        <v>313</v>
      </c>
    </row>
    <row r="1081" spans="1:8" x14ac:dyDescent="0.2">
      <c r="A1081" t="s">
        <v>674</v>
      </c>
      <c r="B1081" t="s">
        <v>2140</v>
      </c>
      <c r="C1081" t="s">
        <v>211</v>
      </c>
      <c r="D1081" t="s">
        <v>136</v>
      </c>
      <c r="E1081">
        <v>10792275</v>
      </c>
      <c r="F1081" t="s">
        <v>212</v>
      </c>
      <c r="G1081" t="s">
        <v>183</v>
      </c>
      <c r="H1081" t="s">
        <v>184</v>
      </c>
    </row>
    <row r="1082" spans="1:8" x14ac:dyDescent="0.2">
      <c r="A1082" t="s">
        <v>2141</v>
      </c>
      <c r="B1082" t="s">
        <v>2142</v>
      </c>
      <c r="C1082" t="s">
        <v>215</v>
      </c>
      <c r="D1082" t="s">
        <v>167</v>
      </c>
      <c r="E1082">
        <v>3240000</v>
      </c>
      <c r="F1082" t="s">
        <v>216</v>
      </c>
      <c r="G1082" t="s">
        <v>216</v>
      </c>
      <c r="H1082" t="s">
        <v>217</v>
      </c>
    </row>
    <row r="1083" spans="1:8" x14ac:dyDescent="0.2">
      <c r="A1083" t="s">
        <v>674</v>
      </c>
      <c r="B1083" t="s">
        <v>2143</v>
      </c>
      <c r="C1083" t="s">
        <v>208</v>
      </c>
      <c r="D1083" t="s">
        <v>167</v>
      </c>
      <c r="E1083">
        <v>2700000</v>
      </c>
      <c r="F1083" t="s">
        <v>195</v>
      </c>
      <c r="G1083" t="s">
        <v>195</v>
      </c>
      <c r="H1083" t="s">
        <v>184</v>
      </c>
    </row>
    <row r="1084" spans="1:8" x14ac:dyDescent="0.2">
      <c r="A1084" t="s">
        <v>2144</v>
      </c>
      <c r="B1084" t="s">
        <v>2145</v>
      </c>
      <c r="C1084" t="s">
        <v>330</v>
      </c>
      <c r="D1084" t="s">
        <v>136</v>
      </c>
      <c r="E1084">
        <v>450000000</v>
      </c>
      <c r="F1084" t="s">
        <v>330</v>
      </c>
      <c r="G1084" t="s">
        <v>312</v>
      </c>
      <c r="H1084" t="s">
        <v>313</v>
      </c>
    </row>
    <row r="1085" spans="1:8" x14ac:dyDescent="0.2">
      <c r="A1085" t="s">
        <v>2146</v>
      </c>
      <c r="B1085" t="s">
        <v>2147</v>
      </c>
      <c r="C1085" t="s">
        <v>819</v>
      </c>
      <c r="D1085" t="s">
        <v>143</v>
      </c>
      <c r="E1085">
        <v>23547419</v>
      </c>
      <c r="F1085" t="s">
        <v>820</v>
      </c>
      <c r="G1085" t="s">
        <v>138</v>
      </c>
      <c r="H1085" t="s">
        <v>139</v>
      </c>
    </row>
    <row r="1086" spans="1:8" x14ac:dyDescent="0.2">
      <c r="A1086" t="s">
        <v>674</v>
      </c>
      <c r="B1086" t="s">
        <v>2148</v>
      </c>
      <c r="C1086" t="s">
        <v>903</v>
      </c>
      <c r="D1086" t="s">
        <v>136</v>
      </c>
      <c r="E1086">
        <v>5921841</v>
      </c>
      <c r="F1086" t="s">
        <v>212</v>
      </c>
      <c r="G1086" t="s">
        <v>183</v>
      </c>
      <c r="H1086" t="s">
        <v>184</v>
      </c>
    </row>
    <row r="1087" spans="1:8" x14ac:dyDescent="0.2">
      <c r="A1087" t="s">
        <v>2149</v>
      </c>
      <c r="B1087" t="s">
        <v>2150</v>
      </c>
      <c r="C1087" t="s">
        <v>142</v>
      </c>
      <c r="D1087" t="s">
        <v>136</v>
      </c>
      <c r="E1087">
        <v>10030308</v>
      </c>
      <c r="F1087" t="s">
        <v>144</v>
      </c>
      <c r="G1087" t="s">
        <v>144</v>
      </c>
      <c r="H1087" t="s">
        <v>145</v>
      </c>
    </row>
    <row r="1088" spans="1:8" x14ac:dyDescent="0.2">
      <c r="A1088" t="s">
        <v>674</v>
      </c>
      <c r="B1088" t="s">
        <v>2151</v>
      </c>
      <c r="C1088" t="s">
        <v>208</v>
      </c>
      <c r="D1088" t="s">
        <v>136</v>
      </c>
      <c r="E1088">
        <v>32064749</v>
      </c>
      <c r="F1088" t="s">
        <v>195</v>
      </c>
      <c r="G1088" t="s">
        <v>195</v>
      </c>
      <c r="H1088" t="s">
        <v>184</v>
      </c>
    </row>
    <row r="1089" spans="1:8" x14ac:dyDescent="0.2">
      <c r="A1089" t="s">
        <v>674</v>
      </c>
      <c r="B1089" t="s">
        <v>2152</v>
      </c>
      <c r="C1089" t="s">
        <v>208</v>
      </c>
      <c r="D1089" t="s">
        <v>136</v>
      </c>
      <c r="E1089">
        <v>5300062</v>
      </c>
      <c r="F1089" t="s">
        <v>195</v>
      </c>
      <c r="G1089" t="s">
        <v>195</v>
      </c>
      <c r="H1089" t="s">
        <v>184</v>
      </c>
    </row>
    <row r="1090" spans="1:8" x14ac:dyDescent="0.2">
      <c r="A1090" t="s">
        <v>2153</v>
      </c>
      <c r="B1090" t="s">
        <v>2154</v>
      </c>
      <c r="C1090" t="s">
        <v>166</v>
      </c>
      <c r="D1090" t="s">
        <v>167</v>
      </c>
      <c r="E1090">
        <v>13858714</v>
      </c>
      <c r="F1090" t="s">
        <v>166</v>
      </c>
      <c r="G1090" t="s">
        <v>166</v>
      </c>
      <c r="H1090" t="s">
        <v>160</v>
      </c>
    </row>
    <row r="1091" spans="1:8" x14ac:dyDescent="0.2">
      <c r="A1091" t="s">
        <v>2155</v>
      </c>
      <c r="B1091" t="s">
        <v>2156</v>
      </c>
      <c r="C1091" t="s">
        <v>142</v>
      </c>
      <c r="D1091" t="s">
        <v>143</v>
      </c>
      <c r="E1091">
        <v>49069803</v>
      </c>
      <c r="F1091" t="s">
        <v>144</v>
      </c>
      <c r="G1091" t="s">
        <v>144</v>
      </c>
      <c r="H1091" t="s">
        <v>145</v>
      </c>
    </row>
    <row r="1092" spans="1:8" x14ac:dyDescent="0.2">
      <c r="A1092" t="s">
        <v>2157</v>
      </c>
      <c r="B1092" t="s">
        <v>2158</v>
      </c>
      <c r="C1092" t="s">
        <v>330</v>
      </c>
      <c r="D1092" t="s">
        <v>143</v>
      </c>
      <c r="E1092">
        <v>471013400</v>
      </c>
      <c r="F1092" t="s">
        <v>330</v>
      </c>
      <c r="G1092" t="s">
        <v>312</v>
      </c>
      <c r="H1092" t="s">
        <v>313</v>
      </c>
    </row>
    <row r="1093" spans="1:8" x14ac:dyDescent="0.2">
      <c r="A1093" t="s">
        <v>2159</v>
      </c>
      <c r="B1093" t="s">
        <v>2160</v>
      </c>
      <c r="C1093" t="s">
        <v>897</v>
      </c>
      <c r="D1093" t="s">
        <v>136</v>
      </c>
      <c r="E1093">
        <v>28708169</v>
      </c>
      <c r="F1093" t="s">
        <v>326</v>
      </c>
      <c r="G1093" t="s">
        <v>327</v>
      </c>
      <c r="H1093" t="s">
        <v>217</v>
      </c>
    </row>
    <row r="1094" spans="1:8" x14ac:dyDescent="0.2">
      <c r="A1094" t="s">
        <v>2161</v>
      </c>
      <c r="B1094" t="s">
        <v>2162</v>
      </c>
      <c r="C1094" t="s">
        <v>142</v>
      </c>
      <c r="D1094" t="s">
        <v>136</v>
      </c>
      <c r="E1094">
        <v>87945000</v>
      </c>
      <c r="F1094" t="s">
        <v>144</v>
      </c>
      <c r="G1094" t="s">
        <v>144</v>
      </c>
      <c r="H1094" t="s">
        <v>145</v>
      </c>
    </row>
    <row r="1095" spans="1:8" x14ac:dyDescent="0.2">
      <c r="A1095" t="s">
        <v>674</v>
      </c>
      <c r="B1095" t="s">
        <v>2163</v>
      </c>
      <c r="C1095" t="s">
        <v>208</v>
      </c>
      <c r="D1095" t="s">
        <v>136</v>
      </c>
      <c r="E1095">
        <v>5000000</v>
      </c>
      <c r="F1095" t="s">
        <v>195</v>
      </c>
      <c r="G1095" t="s">
        <v>195</v>
      </c>
      <c r="H1095" t="s">
        <v>184</v>
      </c>
    </row>
    <row r="1096" spans="1:8" x14ac:dyDescent="0.2">
      <c r="A1096" t="s">
        <v>674</v>
      </c>
      <c r="B1096" t="s">
        <v>2164</v>
      </c>
      <c r="C1096" t="s">
        <v>208</v>
      </c>
      <c r="D1096" t="s">
        <v>136</v>
      </c>
      <c r="E1096">
        <v>1572833</v>
      </c>
      <c r="F1096" t="s">
        <v>195</v>
      </c>
      <c r="G1096" t="s">
        <v>195</v>
      </c>
      <c r="H1096" t="s">
        <v>184</v>
      </c>
    </row>
    <row r="1097" spans="1:8" x14ac:dyDescent="0.2">
      <c r="A1097" t="s">
        <v>2165</v>
      </c>
      <c r="B1097" t="s">
        <v>2166</v>
      </c>
      <c r="C1097" t="s">
        <v>330</v>
      </c>
      <c r="D1097" t="s">
        <v>143</v>
      </c>
      <c r="E1097">
        <v>42200000</v>
      </c>
      <c r="F1097" t="s">
        <v>330</v>
      </c>
      <c r="G1097" t="s">
        <v>312</v>
      </c>
      <c r="H1097" t="s">
        <v>313</v>
      </c>
    </row>
    <row r="1098" spans="1:8" x14ac:dyDescent="0.2">
      <c r="A1098" t="s">
        <v>674</v>
      </c>
      <c r="B1098" t="s">
        <v>2167</v>
      </c>
      <c r="C1098" t="s">
        <v>208</v>
      </c>
      <c r="D1098" t="s">
        <v>167</v>
      </c>
      <c r="E1098">
        <v>10000000</v>
      </c>
      <c r="F1098" t="s">
        <v>195</v>
      </c>
      <c r="G1098" t="s">
        <v>195</v>
      </c>
      <c r="H1098" t="s">
        <v>184</v>
      </c>
    </row>
    <row r="1099" spans="1:8" x14ac:dyDescent="0.2">
      <c r="A1099" t="s">
        <v>674</v>
      </c>
      <c r="B1099" t="s">
        <v>2168</v>
      </c>
      <c r="C1099" t="s">
        <v>208</v>
      </c>
      <c r="D1099" t="s">
        <v>136</v>
      </c>
      <c r="E1099">
        <v>12000000</v>
      </c>
      <c r="F1099" t="s">
        <v>195</v>
      </c>
      <c r="G1099" t="s">
        <v>195</v>
      </c>
      <c r="H1099" t="s">
        <v>184</v>
      </c>
    </row>
    <row r="1100" spans="1:8" x14ac:dyDescent="0.2">
      <c r="A1100" t="s">
        <v>674</v>
      </c>
      <c r="B1100" t="s">
        <v>2169</v>
      </c>
      <c r="C1100" t="s">
        <v>208</v>
      </c>
      <c r="D1100" t="s">
        <v>136</v>
      </c>
      <c r="E1100">
        <v>6480000</v>
      </c>
      <c r="F1100" t="s">
        <v>195</v>
      </c>
      <c r="G1100" t="s">
        <v>195</v>
      </c>
      <c r="H1100" t="s">
        <v>184</v>
      </c>
    </row>
    <row r="1101" spans="1:8" x14ac:dyDescent="0.2">
      <c r="A1101" t="s">
        <v>674</v>
      </c>
      <c r="B1101" t="s">
        <v>2170</v>
      </c>
      <c r="C1101" t="s">
        <v>208</v>
      </c>
      <c r="D1101" t="s">
        <v>136</v>
      </c>
      <c r="E1101">
        <v>11155532</v>
      </c>
      <c r="F1101" t="s">
        <v>195</v>
      </c>
      <c r="G1101" t="s">
        <v>195</v>
      </c>
      <c r="H1101" t="s">
        <v>184</v>
      </c>
    </row>
    <row r="1102" spans="1:8" x14ac:dyDescent="0.2">
      <c r="A1102" t="s">
        <v>674</v>
      </c>
      <c r="B1102" t="s">
        <v>2171</v>
      </c>
      <c r="C1102" t="s">
        <v>208</v>
      </c>
      <c r="D1102" t="s">
        <v>167</v>
      </c>
      <c r="E1102">
        <v>93997369</v>
      </c>
      <c r="F1102" t="s">
        <v>195</v>
      </c>
      <c r="G1102" t="s">
        <v>195</v>
      </c>
      <c r="H1102" t="s">
        <v>184</v>
      </c>
    </row>
    <row r="1103" spans="1:8" x14ac:dyDescent="0.2">
      <c r="A1103" t="s">
        <v>2172</v>
      </c>
      <c r="B1103" t="s">
        <v>2173</v>
      </c>
      <c r="C1103" t="s">
        <v>347</v>
      </c>
      <c r="D1103" t="s">
        <v>143</v>
      </c>
      <c r="E1103">
        <v>1282562372</v>
      </c>
      <c r="F1103" t="s">
        <v>348</v>
      </c>
      <c r="G1103" t="s">
        <v>155</v>
      </c>
      <c r="H1103" t="s">
        <v>139</v>
      </c>
    </row>
    <row r="1104" spans="1:8" x14ac:dyDescent="0.2">
      <c r="A1104" t="s">
        <v>674</v>
      </c>
      <c r="B1104" t="s">
        <v>2174</v>
      </c>
      <c r="C1104" t="s">
        <v>211</v>
      </c>
      <c r="D1104" t="s">
        <v>136</v>
      </c>
      <c r="E1104">
        <v>4050000</v>
      </c>
      <c r="F1104" t="s">
        <v>212</v>
      </c>
      <c r="G1104" t="s">
        <v>183</v>
      </c>
      <c r="H1104" t="s">
        <v>184</v>
      </c>
    </row>
    <row r="1105" spans="1:8" x14ac:dyDescent="0.2">
      <c r="A1105" t="s">
        <v>2175</v>
      </c>
      <c r="B1105" t="s">
        <v>2176</v>
      </c>
      <c r="C1105" t="s">
        <v>237</v>
      </c>
      <c r="D1105" t="s">
        <v>167</v>
      </c>
      <c r="E1105">
        <v>12046590</v>
      </c>
      <c r="F1105" t="s">
        <v>154</v>
      </c>
      <c r="G1105" t="s">
        <v>155</v>
      </c>
      <c r="H1105" t="s">
        <v>139</v>
      </c>
    </row>
    <row r="1106" spans="1:8" x14ac:dyDescent="0.2">
      <c r="A1106" t="s">
        <v>674</v>
      </c>
      <c r="B1106" t="s">
        <v>2177</v>
      </c>
      <c r="C1106" t="s">
        <v>792</v>
      </c>
      <c r="D1106" t="s">
        <v>136</v>
      </c>
      <c r="E1106">
        <v>8310000</v>
      </c>
      <c r="F1106" t="s">
        <v>290</v>
      </c>
      <c r="G1106" t="s">
        <v>183</v>
      </c>
      <c r="H1106" t="s">
        <v>184</v>
      </c>
    </row>
    <row r="1107" spans="1:8" x14ac:dyDescent="0.2">
      <c r="A1107" t="s">
        <v>2178</v>
      </c>
      <c r="B1107" t="s">
        <v>2179</v>
      </c>
      <c r="C1107" t="s">
        <v>666</v>
      </c>
      <c r="D1107" t="s">
        <v>143</v>
      </c>
      <c r="E1107">
        <v>379960971</v>
      </c>
      <c r="F1107" t="s">
        <v>667</v>
      </c>
      <c r="G1107" t="s">
        <v>668</v>
      </c>
      <c r="H1107" t="s">
        <v>668</v>
      </c>
    </row>
    <row r="1108" spans="1:8" x14ac:dyDescent="0.2">
      <c r="A1108" t="s">
        <v>2180</v>
      </c>
      <c r="B1108" t="s">
        <v>2181</v>
      </c>
      <c r="C1108" t="s">
        <v>215</v>
      </c>
      <c r="D1108" t="s">
        <v>136</v>
      </c>
      <c r="E1108">
        <v>1286984</v>
      </c>
      <c r="F1108" t="s">
        <v>216</v>
      </c>
      <c r="G1108" t="s">
        <v>216</v>
      </c>
      <c r="H1108" t="s">
        <v>217</v>
      </c>
    </row>
    <row r="1109" spans="1:8" x14ac:dyDescent="0.2">
      <c r="A1109" t="s">
        <v>2182</v>
      </c>
      <c r="B1109" t="s">
        <v>2183</v>
      </c>
      <c r="C1109" t="s">
        <v>316</v>
      </c>
      <c r="D1109" t="s">
        <v>136</v>
      </c>
      <c r="E1109">
        <v>133481310</v>
      </c>
      <c r="F1109" t="s">
        <v>229</v>
      </c>
      <c r="G1109" t="s">
        <v>229</v>
      </c>
      <c r="H1109" t="s">
        <v>217</v>
      </c>
    </row>
    <row r="1110" spans="1:8" x14ac:dyDescent="0.2">
      <c r="A1110" t="s">
        <v>2184</v>
      </c>
      <c r="B1110" t="s">
        <v>2185</v>
      </c>
      <c r="C1110" t="s">
        <v>200</v>
      </c>
      <c r="D1110" t="s">
        <v>143</v>
      </c>
      <c r="E1110">
        <v>25189965</v>
      </c>
      <c r="F1110" t="s">
        <v>201</v>
      </c>
      <c r="G1110" t="s">
        <v>150</v>
      </c>
      <c r="H1110" t="s">
        <v>145</v>
      </c>
    </row>
    <row r="1111" spans="1:8" x14ac:dyDescent="0.2">
      <c r="A1111" t="s">
        <v>2186</v>
      </c>
      <c r="B1111" t="s">
        <v>2187</v>
      </c>
      <c r="C1111" t="s">
        <v>347</v>
      </c>
      <c r="D1111" t="s">
        <v>136</v>
      </c>
      <c r="E1111">
        <v>10500000</v>
      </c>
      <c r="F1111" t="s">
        <v>348</v>
      </c>
      <c r="G1111" t="s">
        <v>155</v>
      </c>
      <c r="H1111" t="s">
        <v>139</v>
      </c>
    </row>
    <row r="1112" spans="1:8" x14ac:dyDescent="0.2">
      <c r="A1112" t="s">
        <v>2188</v>
      </c>
      <c r="B1112" t="s">
        <v>2189</v>
      </c>
      <c r="C1112" t="s">
        <v>330</v>
      </c>
      <c r="D1112" t="s">
        <v>143</v>
      </c>
      <c r="E1112">
        <v>60488261</v>
      </c>
      <c r="F1112" t="s">
        <v>330</v>
      </c>
      <c r="G1112" t="s">
        <v>312</v>
      </c>
      <c r="H1112" t="s">
        <v>313</v>
      </c>
    </row>
    <row r="1113" spans="1:8" x14ac:dyDescent="0.2">
      <c r="A1113" t="s">
        <v>2190</v>
      </c>
      <c r="B1113" t="s">
        <v>2191</v>
      </c>
      <c r="C1113" t="s">
        <v>347</v>
      </c>
      <c r="D1113" t="s">
        <v>136</v>
      </c>
      <c r="E1113">
        <v>87524536</v>
      </c>
      <c r="F1113" t="s">
        <v>348</v>
      </c>
      <c r="G1113" t="s">
        <v>155</v>
      </c>
      <c r="H1113" t="s">
        <v>139</v>
      </c>
    </row>
    <row r="1114" spans="1:8" x14ac:dyDescent="0.2">
      <c r="A1114" t="s">
        <v>2192</v>
      </c>
      <c r="B1114" t="s">
        <v>2193</v>
      </c>
      <c r="C1114" t="s">
        <v>704</v>
      </c>
      <c r="D1114" t="s">
        <v>136</v>
      </c>
      <c r="E1114">
        <v>13514680</v>
      </c>
      <c r="F1114" t="s">
        <v>693</v>
      </c>
      <c r="G1114" t="s">
        <v>668</v>
      </c>
      <c r="H1114" t="s">
        <v>668</v>
      </c>
    </row>
    <row r="1115" spans="1:8" x14ac:dyDescent="0.2">
      <c r="A1115" t="s">
        <v>674</v>
      </c>
      <c r="B1115" t="s">
        <v>2195</v>
      </c>
      <c r="C1115" t="s">
        <v>2127</v>
      </c>
      <c r="D1115" t="s">
        <v>143</v>
      </c>
      <c r="E1115">
        <v>25000000</v>
      </c>
      <c r="F1115" t="s">
        <v>284</v>
      </c>
      <c r="G1115" t="s">
        <v>183</v>
      </c>
      <c r="H1115" t="s">
        <v>184</v>
      </c>
    </row>
    <row r="1116" spans="1:8" x14ac:dyDescent="0.2">
      <c r="A1116" t="s">
        <v>2196</v>
      </c>
      <c r="B1116" t="s">
        <v>2197</v>
      </c>
      <c r="C1116" t="s">
        <v>330</v>
      </c>
      <c r="D1116" t="s">
        <v>136</v>
      </c>
      <c r="E1116">
        <v>124225000</v>
      </c>
      <c r="F1116" t="s">
        <v>330</v>
      </c>
      <c r="G1116" t="s">
        <v>312</v>
      </c>
      <c r="H1116" t="s">
        <v>313</v>
      </c>
    </row>
    <row r="1117" spans="1:8" x14ac:dyDescent="0.2">
      <c r="A1117" t="s">
        <v>2198</v>
      </c>
      <c r="B1117" t="s">
        <v>2199</v>
      </c>
      <c r="C1117" t="s">
        <v>347</v>
      </c>
      <c r="D1117" t="s">
        <v>136</v>
      </c>
      <c r="E1117">
        <v>12012000</v>
      </c>
      <c r="F1117" t="s">
        <v>348</v>
      </c>
      <c r="G1117" t="s">
        <v>155</v>
      </c>
      <c r="H1117" t="s">
        <v>139</v>
      </c>
    </row>
    <row r="1118" spans="1:8" x14ac:dyDescent="0.2">
      <c r="A1118" t="s">
        <v>674</v>
      </c>
      <c r="B1118" t="s">
        <v>2200</v>
      </c>
      <c r="C1118" t="s">
        <v>208</v>
      </c>
      <c r="D1118" t="s">
        <v>136</v>
      </c>
      <c r="E1118">
        <v>45044953</v>
      </c>
      <c r="F1118" t="s">
        <v>195</v>
      </c>
      <c r="G1118" t="s">
        <v>195</v>
      </c>
      <c r="H1118" t="s">
        <v>184</v>
      </c>
    </row>
    <row r="1119" spans="1:8" x14ac:dyDescent="0.2">
      <c r="A1119" t="s">
        <v>2201</v>
      </c>
      <c r="B1119" t="s">
        <v>2202</v>
      </c>
      <c r="C1119" t="s">
        <v>142</v>
      </c>
      <c r="D1119" t="s">
        <v>136</v>
      </c>
      <c r="E1119">
        <v>81396192</v>
      </c>
      <c r="F1119" t="s">
        <v>144</v>
      </c>
      <c r="G1119" t="s">
        <v>144</v>
      </c>
      <c r="H1119" t="s">
        <v>145</v>
      </c>
    </row>
    <row r="1120" spans="1:8" x14ac:dyDescent="0.2">
      <c r="A1120" t="s">
        <v>2203</v>
      </c>
      <c r="B1120" t="s">
        <v>2204</v>
      </c>
      <c r="C1120" t="s">
        <v>158</v>
      </c>
      <c r="D1120" t="s">
        <v>136</v>
      </c>
      <c r="E1120">
        <v>146607600</v>
      </c>
      <c r="F1120" t="s">
        <v>159</v>
      </c>
      <c r="G1120" t="s">
        <v>159</v>
      </c>
      <c r="H1120" t="s">
        <v>160</v>
      </c>
    </row>
    <row r="1121" spans="1:8" x14ac:dyDescent="0.2">
      <c r="A1121" t="s">
        <v>2205</v>
      </c>
      <c r="B1121" t="s">
        <v>2206</v>
      </c>
      <c r="C1121" t="s">
        <v>237</v>
      </c>
      <c r="D1121" t="s">
        <v>143</v>
      </c>
      <c r="E1121">
        <v>740500993</v>
      </c>
      <c r="F1121" t="s">
        <v>154</v>
      </c>
      <c r="G1121" t="s">
        <v>155</v>
      </c>
      <c r="H1121" t="s">
        <v>139</v>
      </c>
    </row>
    <row r="1122" spans="1:8" x14ac:dyDescent="0.2">
      <c r="A1122" t="s">
        <v>2207</v>
      </c>
      <c r="B1122" t="s">
        <v>2208</v>
      </c>
      <c r="C1122" t="s">
        <v>316</v>
      </c>
      <c r="D1122" t="s">
        <v>143</v>
      </c>
      <c r="E1122">
        <v>27366476</v>
      </c>
      <c r="F1122" t="s">
        <v>229</v>
      </c>
      <c r="G1122" t="s">
        <v>229</v>
      </c>
      <c r="H1122" t="s">
        <v>217</v>
      </c>
    </row>
    <row r="1123" spans="1:8" x14ac:dyDescent="0.2">
      <c r="A1123" t="s">
        <v>674</v>
      </c>
      <c r="B1123" t="s">
        <v>2210</v>
      </c>
      <c r="C1123" t="s">
        <v>208</v>
      </c>
      <c r="D1123" t="s">
        <v>143</v>
      </c>
      <c r="E1123">
        <v>14984550</v>
      </c>
      <c r="F1123" t="s">
        <v>195</v>
      </c>
      <c r="G1123" t="s">
        <v>195</v>
      </c>
      <c r="H1123" t="s">
        <v>184</v>
      </c>
    </row>
    <row r="1124" spans="1:8" x14ac:dyDescent="0.2">
      <c r="A1124" t="s">
        <v>674</v>
      </c>
      <c r="B1124" t="s">
        <v>2211</v>
      </c>
      <c r="C1124" t="s">
        <v>194</v>
      </c>
      <c r="D1124" t="s">
        <v>136</v>
      </c>
      <c r="E1124">
        <v>4884900</v>
      </c>
      <c r="F1124" t="s">
        <v>195</v>
      </c>
      <c r="G1124" t="s">
        <v>195</v>
      </c>
      <c r="H1124" t="s">
        <v>184</v>
      </c>
    </row>
    <row r="1125" spans="1:8" x14ac:dyDescent="0.2">
      <c r="A1125" t="s">
        <v>2212</v>
      </c>
      <c r="B1125" t="s">
        <v>2213</v>
      </c>
      <c r="C1125" t="s">
        <v>404</v>
      </c>
      <c r="D1125" t="s">
        <v>136</v>
      </c>
      <c r="E1125">
        <v>8500000</v>
      </c>
      <c r="F1125" t="s">
        <v>348</v>
      </c>
      <c r="G1125" t="s">
        <v>155</v>
      </c>
      <c r="H1125" t="s">
        <v>139</v>
      </c>
    </row>
    <row r="1126" spans="1:8" x14ac:dyDescent="0.2">
      <c r="A1126" t="s">
        <v>674</v>
      </c>
      <c r="B1126" t="s">
        <v>2214</v>
      </c>
      <c r="C1126" t="s">
        <v>208</v>
      </c>
      <c r="D1126" t="s">
        <v>167</v>
      </c>
      <c r="E1126">
        <v>85000000</v>
      </c>
      <c r="F1126" t="s">
        <v>195</v>
      </c>
      <c r="G1126" t="s">
        <v>195</v>
      </c>
      <c r="H1126" t="s">
        <v>184</v>
      </c>
    </row>
    <row r="1127" spans="1:8" x14ac:dyDescent="0.2">
      <c r="A1127" t="s">
        <v>674</v>
      </c>
      <c r="B1127" t="s">
        <v>2215</v>
      </c>
      <c r="C1127" t="s">
        <v>208</v>
      </c>
      <c r="D1127" t="s">
        <v>167</v>
      </c>
      <c r="E1127">
        <v>25409847</v>
      </c>
      <c r="F1127" t="s">
        <v>195</v>
      </c>
      <c r="G1127" t="s">
        <v>195</v>
      </c>
      <c r="H1127" t="s">
        <v>184</v>
      </c>
    </row>
    <row r="1128" spans="1:8" x14ac:dyDescent="0.2">
      <c r="A1128" t="s">
        <v>674</v>
      </c>
      <c r="B1128" t="s">
        <v>2216</v>
      </c>
      <c r="C1128" t="s">
        <v>194</v>
      </c>
      <c r="D1128" t="s">
        <v>136</v>
      </c>
      <c r="E1128">
        <v>57839000</v>
      </c>
      <c r="F1128" t="s">
        <v>195</v>
      </c>
      <c r="G1128" t="s">
        <v>195</v>
      </c>
      <c r="H1128" t="s">
        <v>184</v>
      </c>
    </row>
    <row r="1129" spans="1:8" x14ac:dyDescent="0.2">
      <c r="A1129" t="s">
        <v>674</v>
      </c>
      <c r="B1129" t="s">
        <v>2217</v>
      </c>
      <c r="C1129" t="s">
        <v>194</v>
      </c>
      <c r="D1129" t="s">
        <v>136</v>
      </c>
      <c r="E1129">
        <v>18660895</v>
      </c>
      <c r="F1129" t="s">
        <v>195</v>
      </c>
      <c r="G1129" t="s">
        <v>195</v>
      </c>
      <c r="H1129" t="s">
        <v>184</v>
      </c>
    </row>
    <row r="1130" spans="1:8" x14ac:dyDescent="0.2">
      <c r="A1130" t="s">
        <v>674</v>
      </c>
      <c r="B1130" t="s">
        <v>2218</v>
      </c>
      <c r="C1130" t="s">
        <v>289</v>
      </c>
      <c r="D1130" t="s">
        <v>136</v>
      </c>
      <c r="E1130">
        <v>4200000</v>
      </c>
      <c r="F1130" t="s">
        <v>290</v>
      </c>
      <c r="G1130" t="s">
        <v>183</v>
      </c>
      <c r="H1130" t="s">
        <v>184</v>
      </c>
    </row>
    <row r="1131" spans="1:8" x14ac:dyDescent="0.2">
      <c r="A1131" t="s">
        <v>2219</v>
      </c>
      <c r="B1131" t="s">
        <v>2220</v>
      </c>
      <c r="C1131" t="s">
        <v>166</v>
      </c>
      <c r="D1131" t="s">
        <v>143</v>
      </c>
      <c r="E1131">
        <v>395661775</v>
      </c>
      <c r="F1131" t="s">
        <v>166</v>
      </c>
      <c r="G1131" t="s">
        <v>166</v>
      </c>
      <c r="H1131" t="s">
        <v>160</v>
      </c>
    </row>
    <row r="1132" spans="1:8" x14ac:dyDescent="0.2">
      <c r="A1132" t="s">
        <v>2221</v>
      </c>
      <c r="B1132" t="s">
        <v>2222</v>
      </c>
      <c r="C1132" t="s">
        <v>1405</v>
      </c>
      <c r="D1132" t="s">
        <v>143</v>
      </c>
      <c r="E1132">
        <v>94886982</v>
      </c>
      <c r="F1132" t="s">
        <v>326</v>
      </c>
      <c r="G1132" t="s">
        <v>327</v>
      </c>
      <c r="H1132" t="s">
        <v>217</v>
      </c>
    </row>
    <row r="1133" spans="1:8" x14ac:dyDescent="0.2">
      <c r="A1133" t="s">
        <v>674</v>
      </c>
      <c r="B1133" t="s">
        <v>2223</v>
      </c>
      <c r="C1133" t="s">
        <v>792</v>
      </c>
      <c r="D1133" t="s">
        <v>136</v>
      </c>
      <c r="E1133">
        <v>61968926</v>
      </c>
      <c r="F1133" t="s">
        <v>290</v>
      </c>
      <c r="G1133" t="s">
        <v>183</v>
      </c>
      <c r="H1133" t="s">
        <v>184</v>
      </c>
    </row>
    <row r="1134" spans="1:8" x14ac:dyDescent="0.2">
      <c r="A1134" t="s">
        <v>674</v>
      </c>
      <c r="B1134" t="s">
        <v>2224</v>
      </c>
      <c r="C1134" t="s">
        <v>208</v>
      </c>
      <c r="D1134" t="s">
        <v>136</v>
      </c>
      <c r="E1134">
        <v>5000000</v>
      </c>
      <c r="F1134" t="s">
        <v>195</v>
      </c>
      <c r="G1134" t="s">
        <v>195</v>
      </c>
      <c r="H1134" t="s">
        <v>184</v>
      </c>
    </row>
    <row r="1135" spans="1:8" x14ac:dyDescent="0.2">
      <c r="A1135" t="s">
        <v>674</v>
      </c>
      <c r="B1135" t="s">
        <v>2225</v>
      </c>
      <c r="C1135" t="s">
        <v>208</v>
      </c>
      <c r="D1135" t="s">
        <v>136</v>
      </c>
      <c r="E1135">
        <v>14423536</v>
      </c>
      <c r="F1135" t="s">
        <v>195</v>
      </c>
      <c r="G1135" t="s">
        <v>195</v>
      </c>
      <c r="H1135" t="s">
        <v>184</v>
      </c>
    </row>
    <row r="1136" spans="1:8" x14ac:dyDescent="0.2">
      <c r="A1136" t="s">
        <v>674</v>
      </c>
      <c r="B1136" t="s">
        <v>2226</v>
      </c>
      <c r="C1136" t="s">
        <v>208</v>
      </c>
      <c r="D1136" t="s">
        <v>136</v>
      </c>
      <c r="E1136">
        <v>15999356</v>
      </c>
      <c r="F1136" t="s">
        <v>195</v>
      </c>
      <c r="G1136" t="s">
        <v>195</v>
      </c>
      <c r="H1136" t="s">
        <v>184</v>
      </c>
    </row>
    <row r="1137" spans="1:8" x14ac:dyDescent="0.2">
      <c r="A1137" t="s">
        <v>674</v>
      </c>
      <c r="B1137" t="s">
        <v>2227</v>
      </c>
      <c r="C1137" t="s">
        <v>208</v>
      </c>
      <c r="D1137" t="s">
        <v>136</v>
      </c>
      <c r="E1137">
        <v>10300000</v>
      </c>
      <c r="F1137" t="s">
        <v>195</v>
      </c>
      <c r="G1137" t="s">
        <v>195</v>
      </c>
      <c r="H1137" t="s">
        <v>184</v>
      </c>
    </row>
    <row r="1138" spans="1:8" x14ac:dyDescent="0.2">
      <c r="A1138" t="s">
        <v>674</v>
      </c>
      <c r="B1138" t="s">
        <v>2228</v>
      </c>
      <c r="C1138" t="s">
        <v>208</v>
      </c>
      <c r="D1138" t="s">
        <v>167</v>
      </c>
      <c r="E1138">
        <v>25999848</v>
      </c>
      <c r="F1138" t="s">
        <v>195</v>
      </c>
      <c r="G1138" t="s">
        <v>195</v>
      </c>
      <c r="H1138" t="s">
        <v>184</v>
      </c>
    </row>
    <row r="1139" spans="1:8" x14ac:dyDescent="0.2">
      <c r="A1139" t="s">
        <v>674</v>
      </c>
      <c r="B1139" t="s">
        <v>2229</v>
      </c>
      <c r="C1139" t="s">
        <v>208</v>
      </c>
      <c r="D1139" t="s">
        <v>136</v>
      </c>
      <c r="E1139">
        <v>34771611</v>
      </c>
      <c r="F1139" t="s">
        <v>195</v>
      </c>
      <c r="G1139" t="s">
        <v>195</v>
      </c>
      <c r="H1139" t="s">
        <v>184</v>
      </c>
    </row>
    <row r="1140" spans="1:8" x14ac:dyDescent="0.2">
      <c r="A1140" t="s">
        <v>674</v>
      </c>
      <c r="B1140" t="s">
        <v>2230</v>
      </c>
      <c r="C1140" t="s">
        <v>208</v>
      </c>
      <c r="D1140" t="s">
        <v>136</v>
      </c>
      <c r="E1140">
        <v>10600000</v>
      </c>
      <c r="F1140" t="s">
        <v>195</v>
      </c>
      <c r="G1140" t="s">
        <v>195</v>
      </c>
      <c r="H1140" t="s">
        <v>184</v>
      </c>
    </row>
    <row r="1141" spans="1:8" x14ac:dyDescent="0.2">
      <c r="A1141" t="s">
        <v>674</v>
      </c>
      <c r="B1141" t="s">
        <v>2231</v>
      </c>
      <c r="C1141" t="s">
        <v>208</v>
      </c>
      <c r="D1141" t="s">
        <v>136</v>
      </c>
      <c r="E1141">
        <v>2800000</v>
      </c>
      <c r="F1141" t="s">
        <v>195</v>
      </c>
      <c r="G1141" t="s">
        <v>195</v>
      </c>
      <c r="H1141" t="s">
        <v>184</v>
      </c>
    </row>
    <row r="1142" spans="1:8" x14ac:dyDescent="0.2">
      <c r="A1142" t="s">
        <v>674</v>
      </c>
      <c r="B1142" t="s">
        <v>2232</v>
      </c>
      <c r="C1142" t="s">
        <v>208</v>
      </c>
      <c r="D1142" t="s">
        <v>167</v>
      </c>
      <c r="E1142">
        <v>34234000</v>
      </c>
      <c r="F1142" t="s">
        <v>195</v>
      </c>
      <c r="G1142" t="s">
        <v>195</v>
      </c>
      <c r="H1142" t="s">
        <v>184</v>
      </c>
    </row>
    <row r="1143" spans="1:8" x14ac:dyDescent="0.2">
      <c r="A1143" t="s">
        <v>674</v>
      </c>
      <c r="B1143" t="s">
        <v>2233</v>
      </c>
      <c r="C1143" t="s">
        <v>575</v>
      </c>
      <c r="D1143" t="s">
        <v>167</v>
      </c>
      <c r="E1143">
        <v>26206158</v>
      </c>
      <c r="F1143" t="s">
        <v>182</v>
      </c>
      <c r="G1143" t="s">
        <v>183</v>
      </c>
      <c r="H1143" t="s">
        <v>184</v>
      </c>
    </row>
    <row r="1144" spans="1:8" x14ac:dyDescent="0.2">
      <c r="A1144" t="s">
        <v>674</v>
      </c>
      <c r="B1144" t="s">
        <v>2234</v>
      </c>
      <c r="C1144" t="s">
        <v>208</v>
      </c>
      <c r="D1144" t="s">
        <v>136</v>
      </c>
      <c r="E1144">
        <v>11000000</v>
      </c>
      <c r="F1144" t="s">
        <v>195</v>
      </c>
      <c r="G1144" t="s">
        <v>195</v>
      </c>
      <c r="H1144" t="s">
        <v>184</v>
      </c>
    </row>
    <row r="1145" spans="1:8" x14ac:dyDescent="0.2">
      <c r="A1145" t="s">
        <v>674</v>
      </c>
      <c r="B1145" t="s">
        <v>2235</v>
      </c>
      <c r="C1145" t="s">
        <v>181</v>
      </c>
      <c r="D1145" t="s">
        <v>167</v>
      </c>
      <c r="E1145">
        <v>2609710</v>
      </c>
      <c r="F1145" t="s">
        <v>182</v>
      </c>
      <c r="G1145" t="s">
        <v>183</v>
      </c>
      <c r="H1145" t="s">
        <v>184</v>
      </c>
    </row>
    <row r="1146" spans="1:8" x14ac:dyDescent="0.2">
      <c r="A1146" t="s">
        <v>674</v>
      </c>
      <c r="B1146" t="s">
        <v>2236</v>
      </c>
      <c r="C1146" t="s">
        <v>208</v>
      </c>
      <c r="D1146" t="s">
        <v>136</v>
      </c>
      <c r="E1146">
        <v>16007685</v>
      </c>
      <c r="F1146" t="s">
        <v>195</v>
      </c>
      <c r="G1146" t="s">
        <v>195</v>
      </c>
      <c r="H1146" t="s">
        <v>184</v>
      </c>
    </row>
    <row r="1147" spans="1:8" x14ac:dyDescent="0.2">
      <c r="A1147" t="s">
        <v>674</v>
      </c>
      <c r="B1147" t="s">
        <v>2237</v>
      </c>
      <c r="C1147" t="s">
        <v>283</v>
      </c>
      <c r="D1147" t="s">
        <v>167</v>
      </c>
      <c r="E1147">
        <v>10139997</v>
      </c>
      <c r="F1147" t="s">
        <v>284</v>
      </c>
      <c r="G1147" t="s">
        <v>183</v>
      </c>
      <c r="H1147" t="s">
        <v>184</v>
      </c>
    </row>
    <row r="1148" spans="1:8" x14ac:dyDescent="0.2">
      <c r="A1148" t="s">
        <v>674</v>
      </c>
      <c r="B1148" t="s">
        <v>2238</v>
      </c>
      <c r="C1148" t="s">
        <v>194</v>
      </c>
      <c r="D1148" t="s">
        <v>136</v>
      </c>
      <c r="E1148">
        <v>4343700</v>
      </c>
      <c r="F1148" t="s">
        <v>195</v>
      </c>
      <c r="G1148" t="s">
        <v>195</v>
      </c>
      <c r="H1148" t="s">
        <v>184</v>
      </c>
    </row>
    <row r="1149" spans="1:8" x14ac:dyDescent="0.2">
      <c r="A1149" t="s">
        <v>674</v>
      </c>
      <c r="B1149" t="s">
        <v>2239</v>
      </c>
      <c r="C1149" t="s">
        <v>289</v>
      </c>
      <c r="D1149" t="s">
        <v>136</v>
      </c>
      <c r="E1149">
        <v>2600000</v>
      </c>
      <c r="F1149" t="s">
        <v>290</v>
      </c>
      <c r="G1149" t="s">
        <v>183</v>
      </c>
      <c r="H1149" t="s">
        <v>184</v>
      </c>
    </row>
    <row r="1150" spans="1:8" x14ac:dyDescent="0.2">
      <c r="A1150" t="s">
        <v>674</v>
      </c>
      <c r="B1150" t="s">
        <v>2240</v>
      </c>
      <c r="C1150" t="s">
        <v>194</v>
      </c>
      <c r="D1150" t="s">
        <v>167</v>
      </c>
      <c r="E1150">
        <v>3036436</v>
      </c>
      <c r="F1150" t="s">
        <v>195</v>
      </c>
      <c r="G1150" t="s">
        <v>195</v>
      </c>
      <c r="H1150" t="s">
        <v>184</v>
      </c>
    </row>
    <row r="1151" spans="1:8" x14ac:dyDescent="0.2">
      <c r="A1151" t="s">
        <v>674</v>
      </c>
      <c r="B1151" t="s">
        <v>2241</v>
      </c>
      <c r="C1151" t="s">
        <v>194</v>
      </c>
      <c r="D1151" t="s">
        <v>136</v>
      </c>
      <c r="E1151">
        <v>11114472</v>
      </c>
      <c r="F1151" t="s">
        <v>195</v>
      </c>
      <c r="G1151" t="s">
        <v>195</v>
      </c>
      <c r="H1151" t="s">
        <v>184</v>
      </c>
    </row>
    <row r="1152" spans="1:8" x14ac:dyDescent="0.2">
      <c r="A1152" t="s">
        <v>674</v>
      </c>
      <c r="B1152" t="s">
        <v>2242</v>
      </c>
      <c r="C1152" t="s">
        <v>208</v>
      </c>
      <c r="D1152" t="s">
        <v>136</v>
      </c>
      <c r="E1152">
        <v>42732311</v>
      </c>
      <c r="F1152" t="s">
        <v>195</v>
      </c>
      <c r="G1152" t="s">
        <v>195</v>
      </c>
      <c r="H1152" t="s">
        <v>184</v>
      </c>
    </row>
    <row r="1153" spans="1:8" x14ac:dyDescent="0.2">
      <c r="A1153" t="s">
        <v>674</v>
      </c>
      <c r="B1153" t="s">
        <v>2243</v>
      </c>
      <c r="C1153" t="s">
        <v>208</v>
      </c>
      <c r="D1153" t="s">
        <v>167</v>
      </c>
      <c r="E1153">
        <v>20000000</v>
      </c>
      <c r="F1153" t="s">
        <v>195</v>
      </c>
      <c r="G1153" t="s">
        <v>195</v>
      </c>
      <c r="H1153" t="s">
        <v>184</v>
      </c>
    </row>
    <row r="1154" spans="1:8" x14ac:dyDescent="0.2">
      <c r="A1154" t="s">
        <v>674</v>
      </c>
      <c r="B1154" t="s">
        <v>2244</v>
      </c>
      <c r="C1154" t="s">
        <v>441</v>
      </c>
      <c r="D1154" t="s">
        <v>136</v>
      </c>
      <c r="E1154">
        <v>5000000</v>
      </c>
      <c r="F1154" t="s">
        <v>182</v>
      </c>
      <c r="G1154" t="s">
        <v>183</v>
      </c>
      <c r="H1154" t="s">
        <v>184</v>
      </c>
    </row>
    <row r="1155" spans="1:8" x14ac:dyDescent="0.2">
      <c r="A1155" t="s">
        <v>674</v>
      </c>
      <c r="B1155" t="s">
        <v>2245</v>
      </c>
      <c r="C1155" t="s">
        <v>208</v>
      </c>
      <c r="D1155" t="s">
        <v>136</v>
      </c>
      <c r="E1155">
        <v>2250000</v>
      </c>
      <c r="F1155" t="s">
        <v>195</v>
      </c>
      <c r="G1155" t="s">
        <v>195</v>
      </c>
      <c r="H1155" t="s">
        <v>184</v>
      </c>
    </row>
    <row r="1156" spans="1:8" x14ac:dyDescent="0.2">
      <c r="A1156" t="s">
        <v>674</v>
      </c>
      <c r="B1156" t="s">
        <v>2246</v>
      </c>
      <c r="C1156" t="s">
        <v>194</v>
      </c>
      <c r="D1156" t="s">
        <v>136</v>
      </c>
      <c r="E1156">
        <v>4500000</v>
      </c>
      <c r="F1156" t="s">
        <v>195</v>
      </c>
      <c r="G1156" t="s">
        <v>195</v>
      </c>
      <c r="H1156" t="s">
        <v>184</v>
      </c>
    </row>
    <row r="1157" spans="1:8" x14ac:dyDescent="0.2">
      <c r="A1157" t="s">
        <v>2247</v>
      </c>
      <c r="B1157" t="s">
        <v>2248</v>
      </c>
      <c r="C1157" t="s">
        <v>153</v>
      </c>
      <c r="D1157" t="s">
        <v>136</v>
      </c>
      <c r="E1157">
        <v>125000000</v>
      </c>
      <c r="F1157" t="s">
        <v>154</v>
      </c>
      <c r="G1157" t="s">
        <v>155</v>
      </c>
      <c r="H1157" t="s">
        <v>139</v>
      </c>
    </row>
    <row r="1158" spans="1:8" x14ac:dyDescent="0.2">
      <c r="A1158" t="s">
        <v>2249</v>
      </c>
      <c r="B1158" t="s">
        <v>2250</v>
      </c>
      <c r="C1158" t="s">
        <v>330</v>
      </c>
      <c r="D1158" t="s">
        <v>167</v>
      </c>
      <c r="E1158">
        <v>31999969</v>
      </c>
      <c r="F1158" t="s">
        <v>330</v>
      </c>
      <c r="G1158" t="s">
        <v>312</v>
      </c>
      <c r="H1158" t="s">
        <v>313</v>
      </c>
    </row>
    <row r="1159" spans="1:8" x14ac:dyDescent="0.2">
      <c r="A1159" t="s">
        <v>2251</v>
      </c>
      <c r="B1159" t="s">
        <v>2252</v>
      </c>
      <c r="C1159" t="s">
        <v>215</v>
      </c>
      <c r="D1159" t="s">
        <v>167</v>
      </c>
      <c r="E1159">
        <v>10000000</v>
      </c>
      <c r="F1159" t="s">
        <v>216</v>
      </c>
      <c r="G1159" t="s">
        <v>216</v>
      </c>
      <c r="H1159" t="s">
        <v>217</v>
      </c>
    </row>
    <row r="1160" spans="1:8" x14ac:dyDescent="0.2">
      <c r="A1160" t="s">
        <v>2253</v>
      </c>
      <c r="B1160" t="s">
        <v>2254</v>
      </c>
      <c r="C1160" t="s">
        <v>142</v>
      </c>
      <c r="D1160" t="s">
        <v>136</v>
      </c>
      <c r="E1160">
        <v>8400000</v>
      </c>
      <c r="F1160" t="s">
        <v>144</v>
      </c>
      <c r="G1160" t="s">
        <v>144</v>
      </c>
      <c r="H1160" t="s">
        <v>145</v>
      </c>
    </row>
    <row r="1161" spans="1:8" x14ac:dyDescent="0.2">
      <c r="A1161" t="s">
        <v>2255</v>
      </c>
      <c r="B1161" t="s">
        <v>2256</v>
      </c>
      <c r="C1161" t="s">
        <v>310</v>
      </c>
      <c r="D1161" t="s">
        <v>143</v>
      </c>
      <c r="E1161">
        <v>11291459</v>
      </c>
      <c r="F1161" t="s">
        <v>311</v>
      </c>
      <c r="G1161" t="s">
        <v>312</v>
      </c>
      <c r="H1161" t="s">
        <v>313</v>
      </c>
    </row>
    <row r="1162" spans="1:8" x14ac:dyDescent="0.2">
      <c r="A1162" t="s">
        <v>2257</v>
      </c>
      <c r="B1162" t="s">
        <v>2258</v>
      </c>
      <c r="C1162" t="s">
        <v>293</v>
      </c>
      <c r="D1162" t="s">
        <v>143</v>
      </c>
      <c r="E1162">
        <v>47897333</v>
      </c>
      <c r="F1162" t="s">
        <v>144</v>
      </c>
      <c r="G1162" t="s">
        <v>144</v>
      </c>
      <c r="H1162" t="s">
        <v>145</v>
      </c>
    </row>
    <row r="1163" spans="1:8" x14ac:dyDescent="0.2">
      <c r="A1163" t="s">
        <v>674</v>
      </c>
      <c r="B1163" t="s">
        <v>2259</v>
      </c>
      <c r="C1163" t="s">
        <v>826</v>
      </c>
      <c r="D1163" t="s">
        <v>143</v>
      </c>
      <c r="E1163">
        <v>24887046</v>
      </c>
      <c r="F1163" t="s">
        <v>212</v>
      </c>
      <c r="G1163" t="s">
        <v>183</v>
      </c>
      <c r="H1163" t="s">
        <v>184</v>
      </c>
    </row>
    <row r="1164" spans="1:8" x14ac:dyDescent="0.2">
      <c r="A1164" t="s">
        <v>674</v>
      </c>
      <c r="B1164" t="s">
        <v>2260</v>
      </c>
      <c r="C1164" t="s">
        <v>265</v>
      </c>
      <c r="D1164" t="s">
        <v>167</v>
      </c>
      <c r="E1164">
        <v>3000000</v>
      </c>
      <c r="F1164" t="s">
        <v>182</v>
      </c>
      <c r="G1164" t="s">
        <v>183</v>
      </c>
      <c r="H1164" t="s">
        <v>184</v>
      </c>
    </row>
    <row r="1165" spans="1:8" x14ac:dyDescent="0.2">
      <c r="A1165" t="s">
        <v>2261</v>
      </c>
      <c r="B1165" t="s">
        <v>2262</v>
      </c>
      <c r="C1165" t="s">
        <v>170</v>
      </c>
      <c r="D1165" t="s">
        <v>136</v>
      </c>
      <c r="E1165">
        <v>338799141</v>
      </c>
      <c r="F1165" t="s">
        <v>170</v>
      </c>
      <c r="G1165" t="s">
        <v>170</v>
      </c>
      <c r="H1165" t="s">
        <v>170</v>
      </c>
    </row>
    <row r="1166" spans="1:8" x14ac:dyDescent="0.2">
      <c r="A1166" t="s">
        <v>2263</v>
      </c>
      <c r="B1166" t="s">
        <v>2264</v>
      </c>
      <c r="C1166" t="s">
        <v>237</v>
      </c>
      <c r="D1166" t="s">
        <v>167</v>
      </c>
      <c r="E1166">
        <v>7147580</v>
      </c>
      <c r="F1166" t="s">
        <v>154</v>
      </c>
      <c r="G1166" t="s">
        <v>155</v>
      </c>
      <c r="H1166" t="s">
        <v>139</v>
      </c>
    </row>
    <row r="1167" spans="1:8" x14ac:dyDescent="0.2">
      <c r="A1167" t="s">
        <v>2265</v>
      </c>
      <c r="B1167" t="s">
        <v>2266</v>
      </c>
      <c r="C1167" t="s">
        <v>215</v>
      </c>
      <c r="D1167" t="s">
        <v>167</v>
      </c>
      <c r="E1167">
        <v>4137000</v>
      </c>
      <c r="F1167" t="s">
        <v>216</v>
      </c>
      <c r="G1167" t="s">
        <v>216</v>
      </c>
      <c r="H1167" t="s">
        <v>217</v>
      </c>
    </row>
    <row r="1168" spans="1:8" x14ac:dyDescent="0.2">
      <c r="A1168" t="s">
        <v>2267</v>
      </c>
      <c r="B1168" t="s">
        <v>2268</v>
      </c>
      <c r="C1168" t="s">
        <v>378</v>
      </c>
      <c r="D1168" t="s">
        <v>167</v>
      </c>
      <c r="E1168">
        <v>12364100</v>
      </c>
      <c r="F1168" t="s">
        <v>326</v>
      </c>
      <c r="G1168" t="s">
        <v>327</v>
      </c>
      <c r="H1168" t="s">
        <v>217</v>
      </c>
    </row>
    <row r="1169" spans="1:8" x14ac:dyDescent="0.2">
      <c r="A1169" t="s">
        <v>2269</v>
      </c>
      <c r="B1169" t="s">
        <v>2270</v>
      </c>
      <c r="C1169" t="s">
        <v>163</v>
      </c>
      <c r="D1169" t="s">
        <v>136</v>
      </c>
      <c r="E1169">
        <v>75464700</v>
      </c>
      <c r="F1169" t="s">
        <v>137</v>
      </c>
      <c r="G1169" t="s">
        <v>138</v>
      </c>
      <c r="H1169" t="s">
        <v>139</v>
      </c>
    </row>
    <row r="1170" spans="1:8" x14ac:dyDescent="0.2">
      <c r="A1170" t="s">
        <v>674</v>
      </c>
      <c r="B1170" t="s">
        <v>2271</v>
      </c>
      <c r="C1170" t="s">
        <v>211</v>
      </c>
      <c r="D1170" t="s">
        <v>143</v>
      </c>
      <c r="E1170">
        <v>33581691</v>
      </c>
      <c r="F1170" t="s">
        <v>212</v>
      </c>
      <c r="G1170" t="s">
        <v>183</v>
      </c>
      <c r="H1170" t="s">
        <v>184</v>
      </c>
    </row>
    <row r="1171" spans="1:8" x14ac:dyDescent="0.2">
      <c r="A1171" t="s">
        <v>674</v>
      </c>
      <c r="B1171" t="s">
        <v>2272</v>
      </c>
      <c r="C1171" t="s">
        <v>211</v>
      </c>
      <c r="D1171" t="s">
        <v>136</v>
      </c>
      <c r="E1171">
        <v>216294961</v>
      </c>
      <c r="F1171" t="s">
        <v>212</v>
      </c>
      <c r="G1171" t="s">
        <v>183</v>
      </c>
      <c r="H1171" t="s">
        <v>184</v>
      </c>
    </row>
    <row r="1172" spans="1:8" x14ac:dyDescent="0.2">
      <c r="A1172" t="s">
        <v>2273</v>
      </c>
      <c r="B1172" t="s">
        <v>2274</v>
      </c>
      <c r="C1172" t="s">
        <v>166</v>
      </c>
      <c r="D1172" t="s">
        <v>143</v>
      </c>
      <c r="E1172">
        <v>60000000</v>
      </c>
      <c r="F1172" t="s">
        <v>166</v>
      </c>
      <c r="G1172" t="s">
        <v>166</v>
      </c>
      <c r="H1172" t="s">
        <v>160</v>
      </c>
    </row>
    <row r="1173" spans="1:8" x14ac:dyDescent="0.2">
      <c r="A1173" t="s">
        <v>674</v>
      </c>
      <c r="B1173" t="s">
        <v>2275</v>
      </c>
      <c r="C1173" t="s">
        <v>826</v>
      </c>
      <c r="D1173" t="s">
        <v>136</v>
      </c>
      <c r="E1173">
        <v>14420000</v>
      </c>
      <c r="F1173" t="s">
        <v>212</v>
      </c>
      <c r="G1173" t="s">
        <v>183</v>
      </c>
      <c r="H1173" t="s">
        <v>184</v>
      </c>
    </row>
    <row r="1174" spans="1:8" x14ac:dyDescent="0.2">
      <c r="A1174" t="s">
        <v>2276</v>
      </c>
      <c r="B1174" t="s">
        <v>2277</v>
      </c>
      <c r="C1174" t="s">
        <v>2278</v>
      </c>
      <c r="D1174" t="s">
        <v>143</v>
      </c>
      <c r="E1174">
        <v>148003518</v>
      </c>
      <c r="F1174" t="s">
        <v>693</v>
      </c>
      <c r="G1174" t="s">
        <v>668</v>
      </c>
      <c r="H1174" t="s">
        <v>668</v>
      </c>
    </row>
    <row r="1175" spans="1:8" x14ac:dyDescent="0.2">
      <c r="A1175" t="s">
        <v>2279</v>
      </c>
      <c r="B1175" t="s">
        <v>2280</v>
      </c>
      <c r="C1175" t="s">
        <v>355</v>
      </c>
      <c r="D1175" t="s">
        <v>143</v>
      </c>
      <c r="E1175">
        <v>33446675</v>
      </c>
      <c r="F1175" t="s">
        <v>356</v>
      </c>
      <c r="G1175" t="s">
        <v>150</v>
      </c>
      <c r="H1175" t="s">
        <v>145</v>
      </c>
    </row>
    <row r="1176" spans="1:8" x14ac:dyDescent="0.2">
      <c r="A1176" t="s">
        <v>110</v>
      </c>
      <c r="B1176" t="s">
        <v>2281</v>
      </c>
      <c r="C1176" t="s">
        <v>170</v>
      </c>
      <c r="D1176" t="s">
        <v>143</v>
      </c>
      <c r="E1176">
        <v>3662908542</v>
      </c>
      <c r="F1176" t="s">
        <v>170</v>
      </c>
      <c r="G1176" t="s">
        <v>170</v>
      </c>
      <c r="H1176" t="s">
        <v>170</v>
      </c>
    </row>
    <row r="1177" spans="1:8" x14ac:dyDescent="0.2">
      <c r="A1177" t="s">
        <v>674</v>
      </c>
      <c r="B1177" t="s">
        <v>2282</v>
      </c>
      <c r="C1177" t="s">
        <v>826</v>
      </c>
      <c r="D1177" t="s">
        <v>136</v>
      </c>
      <c r="E1177">
        <v>4309550</v>
      </c>
      <c r="F1177" t="s">
        <v>212</v>
      </c>
      <c r="G1177" t="s">
        <v>183</v>
      </c>
      <c r="H1177" t="s">
        <v>184</v>
      </c>
    </row>
    <row r="1178" spans="1:8" x14ac:dyDescent="0.2">
      <c r="A1178" t="s">
        <v>2283</v>
      </c>
      <c r="B1178" t="s">
        <v>2284</v>
      </c>
      <c r="C1178" t="s">
        <v>1521</v>
      </c>
      <c r="D1178" t="s">
        <v>167</v>
      </c>
      <c r="E1178">
        <v>11502516</v>
      </c>
      <c r="F1178" t="s">
        <v>820</v>
      </c>
      <c r="G1178" t="s">
        <v>138</v>
      </c>
      <c r="H1178" t="s">
        <v>139</v>
      </c>
    </row>
    <row r="1179" spans="1:8" x14ac:dyDescent="0.2">
      <c r="A1179" t="s">
        <v>674</v>
      </c>
      <c r="B1179" t="s">
        <v>2285</v>
      </c>
      <c r="C1179" t="s">
        <v>208</v>
      </c>
      <c r="D1179" t="s">
        <v>136</v>
      </c>
      <c r="E1179">
        <v>27000000</v>
      </c>
      <c r="F1179" t="s">
        <v>195</v>
      </c>
      <c r="G1179" t="s">
        <v>195</v>
      </c>
      <c r="H1179" t="s">
        <v>184</v>
      </c>
    </row>
    <row r="1180" spans="1:8" x14ac:dyDescent="0.2">
      <c r="A1180" t="s">
        <v>2286</v>
      </c>
      <c r="B1180" t="s">
        <v>2287</v>
      </c>
      <c r="C1180" t="s">
        <v>355</v>
      </c>
      <c r="D1180" t="s">
        <v>143</v>
      </c>
      <c r="E1180">
        <v>162176449</v>
      </c>
      <c r="F1180" t="s">
        <v>356</v>
      </c>
      <c r="G1180" t="s">
        <v>150</v>
      </c>
      <c r="H1180" t="s">
        <v>145</v>
      </c>
    </row>
    <row r="1181" spans="1:8" x14ac:dyDescent="0.2">
      <c r="A1181" t="s">
        <v>2288</v>
      </c>
      <c r="B1181" t="s">
        <v>2289</v>
      </c>
      <c r="C1181" t="s">
        <v>148</v>
      </c>
      <c r="D1181" t="s">
        <v>167</v>
      </c>
      <c r="E1181">
        <v>129607147</v>
      </c>
      <c r="F1181" t="s">
        <v>149</v>
      </c>
      <c r="G1181" t="s">
        <v>150</v>
      </c>
      <c r="H1181" t="s">
        <v>145</v>
      </c>
    </row>
    <row r="1182" spans="1:8" x14ac:dyDescent="0.2">
      <c r="A1182" t="s">
        <v>2290</v>
      </c>
      <c r="B1182" t="s">
        <v>2291</v>
      </c>
      <c r="C1182" t="s">
        <v>330</v>
      </c>
      <c r="D1182" t="s">
        <v>143</v>
      </c>
      <c r="E1182">
        <v>101206352</v>
      </c>
      <c r="F1182" t="s">
        <v>330</v>
      </c>
      <c r="G1182" t="s">
        <v>312</v>
      </c>
      <c r="H1182" t="s">
        <v>313</v>
      </c>
    </row>
    <row r="1183" spans="1:8" x14ac:dyDescent="0.2">
      <c r="A1183" t="s">
        <v>2292</v>
      </c>
      <c r="B1183" t="s">
        <v>2293</v>
      </c>
      <c r="C1183" t="s">
        <v>158</v>
      </c>
      <c r="D1183" t="s">
        <v>167</v>
      </c>
      <c r="E1183">
        <v>813156748</v>
      </c>
      <c r="F1183" t="s">
        <v>159</v>
      </c>
      <c r="G1183" t="s">
        <v>159</v>
      </c>
      <c r="H1183" t="s">
        <v>160</v>
      </c>
    </row>
    <row r="1184" spans="1:8" x14ac:dyDescent="0.2">
      <c r="A1184" t="s">
        <v>2294</v>
      </c>
      <c r="B1184" t="s">
        <v>2295</v>
      </c>
      <c r="C1184" t="s">
        <v>166</v>
      </c>
      <c r="D1184" t="s">
        <v>136</v>
      </c>
      <c r="E1184">
        <v>100000000</v>
      </c>
      <c r="F1184" t="s">
        <v>166</v>
      </c>
      <c r="G1184" t="s">
        <v>166</v>
      </c>
      <c r="H1184" t="s">
        <v>160</v>
      </c>
    </row>
    <row r="1185" spans="1:8" x14ac:dyDescent="0.2">
      <c r="A1185" t="s">
        <v>674</v>
      </c>
      <c r="B1185" t="s">
        <v>2296</v>
      </c>
      <c r="C1185" t="s">
        <v>208</v>
      </c>
      <c r="D1185" t="s">
        <v>136</v>
      </c>
      <c r="E1185">
        <v>10000000</v>
      </c>
      <c r="F1185" t="s">
        <v>195</v>
      </c>
      <c r="G1185" t="s">
        <v>195</v>
      </c>
      <c r="H1185" t="s">
        <v>184</v>
      </c>
    </row>
    <row r="1186" spans="1:8" x14ac:dyDescent="0.2">
      <c r="A1186" t="s">
        <v>2297</v>
      </c>
      <c r="B1186" t="s">
        <v>2298</v>
      </c>
      <c r="C1186" t="s">
        <v>387</v>
      </c>
      <c r="D1186" t="s">
        <v>136</v>
      </c>
      <c r="E1186">
        <v>64522104</v>
      </c>
      <c r="F1186" t="s">
        <v>311</v>
      </c>
      <c r="G1186" t="s">
        <v>312</v>
      </c>
      <c r="H1186" t="s">
        <v>313</v>
      </c>
    </row>
    <row r="1187" spans="1:8" x14ac:dyDescent="0.2">
      <c r="A1187" t="s">
        <v>2299</v>
      </c>
      <c r="B1187" t="s">
        <v>2300</v>
      </c>
      <c r="C1187" t="s">
        <v>166</v>
      </c>
      <c r="D1187" t="s">
        <v>143</v>
      </c>
      <c r="E1187">
        <v>209078940</v>
      </c>
      <c r="F1187" t="s">
        <v>166</v>
      </c>
      <c r="G1187" t="s">
        <v>166</v>
      </c>
      <c r="H1187" t="s">
        <v>160</v>
      </c>
    </row>
    <row r="1188" spans="1:8" x14ac:dyDescent="0.2">
      <c r="A1188" t="s">
        <v>2301</v>
      </c>
      <c r="B1188" t="s">
        <v>2302</v>
      </c>
      <c r="C1188" t="s">
        <v>293</v>
      </c>
      <c r="D1188" t="s">
        <v>136</v>
      </c>
      <c r="E1188">
        <v>3012374</v>
      </c>
      <c r="F1188" t="s">
        <v>144</v>
      </c>
      <c r="G1188" t="s">
        <v>144</v>
      </c>
      <c r="H1188" t="s">
        <v>145</v>
      </c>
    </row>
    <row r="1189" spans="1:8" x14ac:dyDescent="0.2">
      <c r="A1189" t="s">
        <v>2303</v>
      </c>
      <c r="B1189" t="s">
        <v>2304</v>
      </c>
      <c r="C1189" t="s">
        <v>153</v>
      </c>
      <c r="D1189" t="s">
        <v>167</v>
      </c>
      <c r="E1189">
        <v>23485154</v>
      </c>
      <c r="F1189" t="s">
        <v>154</v>
      </c>
      <c r="G1189" t="s">
        <v>155</v>
      </c>
      <c r="H1189" t="s">
        <v>139</v>
      </c>
    </row>
    <row r="1190" spans="1:8" x14ac:dyDescent="0.2">
      <c r="A1190" t="s">
        <v>674</v>
      </c>
      <c r="B1190" t="s">
        <v>2305</v>
      </c>
      <c r="C1190" t="s">
        <v>208</v>
      </c>
      <c r="D1190" t="s">
        <v>136</v>
      </c>
      <c r="E1190">
        <v>7226082</v>
      </c>
      <c r="F1190" t="s">
        <v>195</v>
      </c>
      <c r="G1190" t="s">
        <v>195</v>
      </c>
      <c r="H1190" t="s">
        <v>184</v>
      </c>
    </row>
    <row r="1191" spans="1:8" x14ac:dyDescent="0.2">
      <c r="A1191" t="s">
        <v>2306</v>
      </c>
      <c r="B1191" t="s">
        <v>2307</v>
      </c>
      <c r="C1191" t="s">
        <v>330</v>
      </c>
      <c r="D1191" t="s">
        <v>143</v>
      </c>
      <c r="E1191">
        <v>68998620</v>
      </c>
      <c r="F1191" t="s">
        <v>330</v>
      </c>
      <c r="G1191" t="s">
        <v>312</v>
      </c>
      <c r="H1191" t="s">
        <v>313</v>
      </c>
    </row>
    <row r="1192" spans="1:8" x14ac:dyDescent="0.2">
      <c r="A1192" t="s">
        <v>674</v>
      </c>
      <c r="B1192" t="s">
        <v>2308</v>
      </c>
      <c r="C1192" t="s">
        <v>208</v>
      </c>
      <c r="D1192" t="s">
        <v>167</v>
      </c>
      <c r="E1192">
        <v>24168711</v>
      </c>
      <c r="F1192" t="s">
        <v>195</v>
      </c>
      <c r="G1192" t="s">
        <v>195</v>
      </c>
      <c r="H1192" t="s">
        <v>184</v>
      </c>
    </row>
    <row r="1193" spans="1:8" x14ac:dyDescent="0.2">
      <c r="A1193" t="s">
        <v>2309</v>
      </c>
      <c r="B1193" t="s">
        <v>2310</v>
      </c>
      <c r="C1193" t="s">
        <v>293</v>
      </c>
      <c r="D1193" t="s">
        <v>143</v>
      </c>
      <c r="E1193">
        <v>79200000</v>
      </c>
      <c r="F1193" t="s">
        <v>144</v>
      </c>
      <c r="G1193" t="s">
        <v>144</v>
      </c>
      <c r="H1193" t="s">
        <v>145</v>
      </c>
    </row>
    <row r="1194" spans="1:8" x14ac:dyDescent="0.2">
      <c r="A1194" t="s">
        <v>674</v>
      </c>
      <c r="B1194" t="s">
        <v>2311</v>
      </c>
      <c r="C1194" t="s">
        <v>208</v>
      </c>
      <c r="D1194" t="s">
        <v>136</v>
      </c>
      <c r="E1194">
        <v>449537112</v>
      </c>
      <c r="F1194" t="s">
        <v>195</v>
      </c>
      <c r="G1194" t="s">
        <v>195</v>
      </c>
      <c r="H1194" t="s">
        <v>184</v>
      </c>
    </row>
    <row r="1195" spans="1:8" x14ac:dyDescent="0.2">
      <c r="A1195" t="s">
        <v>674</v>
      </c>
      <c r="B1195" t="s">
        <v>2312</v>
      </c>
      <c r="C1195" t="s">
        <v>208</v>
      </c>
      <c r="D1195" t="s">
        <v>136</v>
      </c>
      <c r="E1195">
        <v>5000000</v>
      </c>
      <c r="F1195" t="s">
        <v>195</v>
      </c>
      <c r="G1195" t="s">
        <v>195</v>
      </c>
      <c r="H1195" t="s">
        <v>184</v>
      </c>
    </row>
    <row r="1196" spans="1:8" x14ac:dyDescent="0.2">
      <c r="A1196" t="s">
        <v>2313</v>
      </c>
      <c r="B1196" t="s">
        <v>2314</v>
      </c>
      <c r="C1196" t="s">
        <v>166</v>
      </c>
      <c r="D1196" t="s">
        <v>143</v>
      </c>
      <c r="E1196">
        <v>114855540</v>
      </c>
      <c r="F1196" t="s">
        <v>166</v>
      </c>
      <c r="G1196" t="s">
        <v>166</v>
      </c>
      <c r="H1196" t="s">
        <v>160</v>
      </c>
    </row>
    <row r="1197" spans="1:8" x14ac:dyDescent="0.2">
      <c r="A1197" t="s">
        <v>2315</v>
      </c>
      <c r="B1197" t="s">
        <v>2316</v>
      </c>
      <c r="C1197" t="s">
        <v>434</v>
      </c>
      <c r="D1197" t="s">
        <v>143</v>
      </c>
      <c r="E1197">
        <v>66497697</v>
      </c>
      <c r="F1197" t="s">
        <v>326</v>
      </c>
      <c r="G1197" t="s">
        <v>327</v>
      </c>
      <c r="H1197" t="s">
        <v>217</v>
      </c>
    </row>
    <row r="1198" spans="1:8" x14ac:dyDescent="0.2">
      <c r="A1198" t="s">
        <v>2317</v>
      </c>
      <c r="B1198" t="s">
        <v>2318</v>
      </c>
      <c r="C1198" t="s">
        <v>404</v>
      </c>
      <c r="D1198" t="s">
        <v>136</v>
      </c>
      <c r="E1198">
        <v>16126740</v>
      </c>
      <c r="F1198" t="s">
        <v>348</v>
      </c>
      <c r="G1198" t="s">
        <v>155</v>
      </c>
      <c r="H1198" t="s">
        <v>139</v>
      </c>
    </row>
    <row r="1199" spans="1:8" x14ac:dyDescent="0.2">
      <c r="A1199" t="s">
        <v>2319</v>
      </c>
      <c r="B1199" t="s">
        <v>2320</v>
      </c>
      <c r="C1199" t="s">
        <v>404</v>
      </c>
      <c r="D1199" t="s">
        <v>136</v>
      </c>
      <c r="E1199">
        <v>5000000</v>
      </c>
      <c r="F1199" t="s">
        <v>348</v>
      </c>
      <c r="G1199" t="s">
        <v>155</v>
      </c>
      <c r="H1199" t="s">
        <v>139</v>
      </c>
    </row>
    <row r="1200" spans="1:8" x14ac:dyDescent="0.2">
      <c r="A1200" t="s">
        <v>2321</v>
      </c>
      <c r="B1200" t="s">
        <v>2322</v>
      </c>
      <c r="C1200" t="s">
        <v>404</v>
      </c>
      <c r="D1200" t="s">
        <v>136</v>
      </c>
      <c r="E1200">
        <v>23000000</v>
      </c>
      <c r="F1200" t="s">
        <v>348</v>
      </c>
      <c r="G1200" t="s">
        <v>155</v>
      </c>
      <c r="H1200" t="s">
        <v>139</v>
      </c>
    </row>
    <row r="1201" spans="1:8" x14ac:dyDescent="0.2">
      <c r="A1201" t="s">
        <v>2323</v>
      </c>
      <c r="B1201" t="s">
        <v>2324</v>
      </c>
      <c r="C1201" t="s">
        <v>237</v>
      </c>
      <c r="D1201" t="s">
        <v>167</v>
      </c>
      <c r="E1201">
        <v>9791945</v>
      </c>
      <c r="F1201" t="s">
        <v>154</v>
      </c>
      <c r="G1201" t="s">
        <v>155</v>
      </c>
      <c r="H1201" t="s">
        <v>139</v>
      </c>
    </row>
    <row r="1202" spans="1:8" x14ac:dyDescent="0.2">
      <c r="A1202" t="s">
        <v>2325</v>
      </c>
      <c r="B1202" t="s">
        <v>2326</v>
      </c>
      <c r="C1202" t="s">
        <v>330</v>
      </c>
      <c r="D1202" t="s">
        <v>143</v>
      </c>
      <c r="E1202">
        <v>20352836</v>
      </c>
      <c r="F1202" t="s">
        <v>330</v>
      </c>
      <c r="G1202" t="s">
        <v>312</v>
      </c>
      <c r="H1202" t="s">
        <v>313</v>
      </c>
    </row>
    <row r="1203" spans="1:8" x14ac:dyDescent="0.2">
      <c r="A1203" t="s">
        <v>2327</v>
      </c>
      <c r="B1203" t="s">
        <v>2328</v>
      </c>
      <c r="C1203" t="s">
        <v>347</v>
      </c>
      <c r="D1203" t="s">
        <v>143</v>
      </c>
      <c r="E1203">
        <v>29846648</v>
      </c>
      <c r="F1203" t="s">
        <v>348</v>
      </c>
      <c r="G1203" t="s">
        <v>155</v>
      </c>
      <c r="H1203" t="s">
        <v>139</v>
      </c>
    </row>
    <row r="1204" spans="1:8" x14ac:dyDescent="0.2">
      <c r="A1204" t="s">
        <v>2329</v>
      </c>
      <c r="B1204" t="s">
        <v>2330</v>
      </c>
      <c r="C1204" t="s">
        <v>355</v>
      </c>
      <c r="D1204" t="s">
        <v>143</v>
      </c>
      <c r="E1204">
        <v>73678587</v>
      </c>
      <c r="F1204" t="s">
        <v>356</v>
      </c>
      <c r="G1204" t="s">
        <v>150</v>
      </c>
      <c r="H1204" t="s">
        <v>145</v>
      </c>
    </row>
    <row r="1205" spans="1:8" x14ac:dyDescent="0.2">
      <c r="A1205" t="s">
        <v>2331</v>
      </c>
      <c r="B1205" t="s">
        <v>2332</v>
      </c>
      <c r="C1205" t="s">
        <v>215</v>
      </c>
      <c r="D1205" t="s">
        <v>167</v>
      </c>
      <c r="E1205">
        <v>4405000</v>
      </c>
      <c r="F1205" t="s">
        <v>216</v>
      </c>
      <c r="G1205" t="s">
        <v>216</v>
      </c>
      <c r="H1205" t="s">
        <v>217</v>
      </c>
    </row>
    <row r="1206" spans="1:8" x14ac:dyDescent="0.2">
      <c r="A1206" t="s">
        <v>2333</v>
      </c>
      <c r="B1206" t="s">
        <v>2334</v>
      </c>
      <c r="C1206" t="s">
        <v>666</v>
      </c>
      <c r="D1206" t="s">
        <v>167</v>
      </c>
      <c r="E1206">
        <v>5467432</v>
      </c>
      <c r="F1206" t="s">
        <v>667</v>
      </c>
      <c r="G1206" t="s">
        <v>668</v>
      </c>
      <c r="H1206" t="s">
        <v>668</v>
      </c>
    </row>
    <row r="1207" spans="1:8" x14ac:dyDescent="0.2">
      <c r="A1207" t="s">
        <v>2335</v>
      </c>
      <c r="B1207" t="s">
        <v>2336</v>
      </c>
      <c r="C1207" t="s">
        <v>153</v>
      </c>
      <c r="D1207" t="s">
        <v>136</v>
      </c>
      <c r="E1207">
        <v>5000000</v>
      </c>
      <c r="F1207" t="s">
        <v>154</v>
      </c>
      <c r="G1207" t="s">
        <v>155</v>
      </c>
      <c r="H1207" t="s">
        <v>139</v>
      </c>
    </row>
    <row r="1208" spans="1:8" x14ac:dyDescent="0.2">
      <c r="A1208" t="s">
        <v>674</v>
      </c>
      <c r="B1208" t="s">
        <v>2337</v>
      </c>
      <c r="C1208" t="s">
        <v>208</v>
      </c>
      <c r="D1208" t="s">
        <v>136</v>
      </c>
      <c r="E1208">
        <v>376500000</v>
      </c>
      <c r="F1208" t="s">
        <v>195</v>
      </c>
      <c r="G1208" t="s">
        <v>195</v>
      </c>
      <c r="H1208" t="s">
        <v>184</v>
      </c>
    </row>
    <row r="1209" spans="1:8" x14ac:dyDescent="0.2">
      <c r="A1209" t="s">
        <v>2338</v>
      </c>
      <c r="B1209" t="s">
        <v>2339</v>
      </c>
      <c r="C1209" t="s">
        <v>330</v>
      </c>
      <c r="D1209" t="s">
        <v>136</v>
      </c>
      <c r="E1209">
        <v>20746000</v>
      </c>
      <c r="F1209" t="s">
        <v>330</v>
      </c>
      <c r="G1209" t="s">
        <v>312</v>
      </c>
      <c r="H1209" t="s">
        <v>313</v>
      </c>
    </row>
    <row r="1210" spans="1:8" x14ac:dyDescent="0.2">
      <c r="A1210" t="s">
        <v>2340</v>
      </c>
      <c r="B1210" t="s">
        <v>2341</v>
      </c>
      <c r="C1210" t="s">
        <v>163</v>
      </c>
      <c r="D1210" t="s">
        <v>136</v>
      </c>
      <c r="E1210">
        <v>13300087</v>
      </c>
      <c r="F1210" t="s">
        <v>137</v>
      </c>
      <c r="G1210" t="s">
        <v>138</v>
      </c>
      <c r="H1210" t="s">
        <v>139</v>
      </c>
    </row>
    <row r="1211" spans="1:8" x14ac:dyDescent="0.2">
      <c r="A1211" t="s">
        <v>2342</v>
      </c>
      <c r="B1211" t="s">
        <v>2343</v>
      </c>
      <c r="C1211" t="s">
        <v>293</v>
      </c>
      <c r="D1211" t="s">
        <v>167</v>
      </c>
      <c r="E1211">
        <v>10530000</v>
      </c>
      <c r="F1211" t="s">
        <v>144</v>
      </c>
      <c r="G1211" t="s">
        <v>144</v>
      </c>
      <c r="H1211" t="s">
        <v>145</v>
      </c>
    </row>
    <row r="1212" spans="1:8" x14ac:dyDescent="0.2">
      <c r="A1212" t="s">
        <v>2344</v>
      </c>
      <c r="B1212" t="s">
        <v>2345</v>
      </c>
      <c r="C1212" t="s">
        <v>153</v>
      </c>
      <c r="D1212" t="s">
        <v>136</v>
      </c>
      <c r="E1212">
        <v>12000000</v>
      </c>
      <c r="F1212" t="s">
        <v>154</v>
      </c>
      <c r="G1212" t="s">
        <v>155</v>
      </c>
      <c r="H1212" t="s">
        <v>139</v>
      </c>
    </row>
    <row r="1213" spans="1:8" x14ac:dyDescent="0.2">
      <c r="A1213" t="s">
        <v>2346</v>
      </c>
      <c r="B1213" t="s">
        <v>2347</v>
      </c>
      <c r="C1213" t="s">
        <v>153</v>
      </c>
      <c r="D1213" t="s">
        <v>136</v>
      </c>
      <c r="E1213">
        <v>10000000</v>
      </c>
      <c r="F1213" t="s">
        <v>154</v>
      </c>
      <c r="G1213" t="s">
        <v>155</v>
      </c>
      <c r="H1213" t="s">
        <v>139</v>
      </c>
    </row>
    <row r="1214" spans="1:8" x14ac:dyDescent="0.2">
      <c r="A1214" t="s">
        <v>2348</v>
      </c>
      <c r="B1214" t="s">
        <v>2349</v>
      </c>
      <c r="C1214" t="s">
        <v>149</v>
      </c>
      <c r="D1214" t="s">
        <v>167</v>
      </c>
      <c r="E1214">
        <v>16815000</v>
      </c>
      <c r="F1214" t="s">
        <v>149</v>
      </c>
      <c r="G1214" t="s">
        <v>150</v>
      </c>
      <c r="H1214" t="s">
        <v>145</v>
      </c>
    </row>
    <row r="1215" spans="1:8" x14ac:dyDescent="0.2">
      <c r="A1215" t="s">
        <v>2350</v>
      </c>
      <c r="B1215" t="s">
        <v>2351</v>
      </c>
      <c r="C1215" t="s">
        <v>240</v>
      </c>
      <c r="D1215" t="s">
        <v>143</v>
      </c>
      <c r="E1215">
        <v>14000000</v>
      </c>
      <c r="F1215" t="s">
        <v>240</v>
      </c>
      <c r="G1215" t="s">
        <v>241</v>
      </c>
      <c r="H1215" t="s">
        <v>242</v>
      </c>
    </row>
    <row r="1216" spans="1:8" x14ac:dyDescent="0.2">
      <c r="A1216" t="s">
        <v>2352</v>
      </c>
      <c r="B1216" t="s">
        <v>2353</v>
      </c>
      <c r="C1216" t="s">
        <v>153</v>
      </c>
      <c r="D1216" t="s">
        <v>136</v>
      </c>
      <c r="E1216">
        <v>10800000</v>
      </c>
      <c r="F1216" t="s">
        <v>154</v>
      </c>
      <c r="G1216" t="s">
        <v>155</v>
      </c>
      <c r="H1216" t="s">
        <v>139</v>
      </c>
    </row>
    <row r="1217" spans="1:8" x14ac:dyDescent="0.2">
      <c r="A1217" t="s">
        <v>2354</v>
      </c>
      <c r="B1217" t="s">
        <v>2355</v>
      </c>
      <c r="C1217" t="s">
        <v>149</v>
      </c>
      <c r="D1217" t="s">
        <v>136</v>
      </c>
      <c r="E1217">
        <v>110000000</v>
      </c>
      <c r="F1217" t="s">
        <v>149</v>
      </c>
      <c r="G1217" t="s">
        <v>150</v>
      </c>
      <c r="H1217" t="s">
        <v>145</v>
      </c>
    </row>
    <row r="1218" spans="1:8" x14ac:dyDescent="0.2">
      <c r="A1218" t="s">
        <v>2356</v>
      </c>
      <c r="B1218" t="s">
        <v>2357</v>
      </c>
      <c r="C1218" t="s">
        <v>704</v>
      </c>
      <c r="D1218" t="s">
        <v>167</v>
      </c>
      <c r="E1218">
        <v>43199974</v>
      </c>
      <c r="F1218" t="s">
        <v>693</v>
      </c>
      <c r="G1218" t="s">
        <v>668</v>
      </c>
      <c r="H1218" t="s">
        <v>668</v>
      </c>
    </row>
    <row r="1219" spans="1:8" x14ac:dyDescent="0.2">
      <c r="A1219" t="s">
        <v>2358</v>
      </c>
      <c r="B1219" t="s">
        <v>2359</v>
      </c>
      <c r="C1219" t="s">
        <v>704</v>
      </c>
      <c r="D1219" t="s">
        <v>136</v>
      </c>
      <c r="E1219">
        <v>8500000</v>
      </c>
      <c r="F1219" t="s">
        <v>693</v>
      </c>
      <c r="G1219" t="s">
        <v>668</v>
      </c>
      <c r="H1219" t="s">
        <v>668</v>
      </c>
    </row>
    <row r="1220" spans="1:8" x14ac:dyDescent="0.2">
      <c r="A1220" t="s">
        <v>2360</v>
      </c>
      <c r="B1220" t="s">
        <v>2361</v>
      </c>
      <c r="C1220" t="s">
        <v>739</v>
      </c>
      <c r="D1220" t="s">
        <v>143</v>
      </c>
      <c r="E1220">
        <v>28065765</v>
      </c>
      <c r="F1220" t="s">
        <v>686</v>
      </c>
      <c r="G1220" t="s">
        <v>686</v>
      </c>
      <c r="H1220" t="s">
        <v>139</v>
      </c>
    </row>
    <row r="1221" spans="1:8" x14ac:dyDescent="0.2">
      <c r="A1221" t="s">
        <v>674</v>
      </c>
      <c r="B1221" t="s">
        <v>2363</v>
      </c>
      <c r="C1221" t="s">
        <v>289</v>
      </c>
      <c r="D1221" t="s">
        <v>143</v>
      </c>
      <c r="E1221">
        <v>35566780</v>
      </c>
      <c r="F1221" t="s">
        <v>290</v>
      </c>
      <c r="G1221" t="s">
        <v>183</v>
      </c>
      <c r="H1221" t="s">
        <v>184</v>
      </c>
    </row>
    <row r="1222" spans="1:8" x14ac:dyDescent="0.2">
      <c r="A1222" t="s">
        <v>2364</v>
      </c>
      <c r="B1222" t="s">
        <v>2365</v>
      </c>
      <c r="C1222" t="s">
        <v>434</v>
      </c>
      <c r="D1222" t="s">
        <v>136</v>
      </c>
      <c r="E1222">
        <v>50310000</v>
      </c>
      <c r="F1222" t="s">
        <v>326</v>
      </c>
      <c r="G1222" t="s">
        <v>327</v>
      </c>
      <c r="H1222" t="s">
        <v>217</v>
      </c>
    </row>
    <row r="1223" spans="1:8" x14ac:dyDescent="0.2">
      <c r="A1223" t="s">
        <v>2366</v>
      </c>
      <c r="B1223" t="s">
        <v>2367</v>
      </c>
      <c r="C1223" t="s">
        <v>170</v>
      </c>
      <c r="D1223" t="s">
        <v>143</v>
      </c>
      <c r="E1223">
        <v>2495700000</v>
      </c>
      <c r="F1223" t="s">
        <v>170</v>
      </c>
      <c r="G1223" t="s">
        <v>170</v>
      </c>
      <c r="H1223" t="s">
        <v>170</v>
      </c>
    </row>
    <row r="1224" spans="1:8" x14ac:dyDescent="0.2">
      <c r="A1224" t="s">
        <v>2368</v>
      </c>
      <c r="B1224" t="s">
        <v>2369</v>
      </c>
      <c r="C1224" t="s">
        <v>153</v>
      </c>
      <c r="D1224" t="s">
        <v>143</v>
      </c>
      <c r="E1224">
        <v>14992367</v>
      </c>
      <c r="F1224" t="s">
        <v>154</v>
      </c>
      <c r="G1224" t="s">
        <v>155</v>
      </c>
      <c r="H1224" t="s">
        <v>139</v>
      </c>
    </row>
    <row r="1225" spans="1:8" x14ac:dyDescent="0.2">
      <c r="A1225" t="s">
        <v>2370</v>
      </c>
      <c r="B1225" t="s">
        <v>2371</v>
      </c>
      <c r="C1225" t="s">
        <v>135</v>
      </c>
      <c r="D1225" t="s">
        <v>136</v>
      </c>
      <c r="E1225">
        <v>3200000</v>
      </c>
      <c r="F1225" t="s">
        <v>137</v>
      </c>
      <c r="G1225" t="s">
        <v>138</v>
      </c>
      <c r="H1225" t="s">
        <v>139</v>
      </c>
    </row>
    <row r="1226" spans="1:8" x14ac:dyDescent="0.2">
      <c r="A1226" t="s">
        <v>674</v>
      </c>
      <c r="B1226" t="s">
        <v>2372</v>
      </c>
      <c r="C1226" t="s">
        <v>826</v>
      </c>
      <c r="D1226" t="s">
        <v>136</v>
      </c>
      <c r="E1226">
        <v>5000000</v>
      </c>
      <c r="F1226" t="s">
        <v>212</v>
      </c>
      <c r="G1226" t="s">
        <v>183</v>
      </c>
      <c r="H1226" t="s">
        <v>184</v>
      </c>
    </row>
    <row r="1227" spans="1:8" x14ac:dyDescent="0.2">
      <c r="A1227" t="s">
        <v>2373</v>
      </c>
      <c r="B1227" t="s">
        <v>2374</v>
      </c>
      <c r="C1227" t="s">
        <v>166</v>
      </c>
      <c r="D1227" t="s">
        <v>136</v>
      </c>
      <c r="E1227">
        <v>375000000</v>
      </c>
      <c r="F1227" t="s">
        <v>166</v>
      </c>
      <c r="G1227" t="s">
        <v>166</v>
      </c>
      <c r="H1227" t="s">
        <v>160</v>
      </c>
    </row>
    <row r="1228" spans="1:8" x14ac:dyDescent="0.2">
      <c r="A1228" t="s">
        <v>106</v>
      </c>
      <c r="B1228" t="s">
        <v>2375</v>
      </c>
      <c r="C1228" t="s">
        <v>158</v>
      </c>
      <c r="D1228" t="s">
        <v>143</v>
      </c>
      <c r="E1228">
        <v>1511130137</v>
      </c>
      <c r="F1228" t="s">
        <v>159</v>
      </c>
      <c r="G1228" t="s">
        <v>159</v>
      </c>
      <c r="H1228" t="s">
        <v>160</v>
      </c>
    </row>
    <row r="1229" spans="1:8" x14ac:dyDescent="0.2">
      <c r="A1229" t="s">
        <v>2376</v>
      </c>
      <c r="B1229" t="s">
        <v>2377</v>
      </c>
      <c r="C1229" t="s">
        <v>355</v>
      </c>
      <c r="D1229" t="s">
        <v>167</v>
      </c>
      <c r="E1229">
        <v>5501024</v>
      </c>
      <c r="F1229" t="s">
        <v>356</v>
      </c>
      <c r="G1229" t="s">
        <v>150</v>
      </c>
      <c r="H1229" t="s">
        <v>145</v>
      </c>
    </row>
    <row r="1230" spans="1:8" x14ac:dyDescent="0.2">
      <c r="A1230" t="s">
        <v>2378</v>
      </c>
      <c r="B1230" t="s">
        <v>2379</v>
      </c>
      <c r="C1230" t="s">
        <v>153</v>
      </c>
      <c r="D1230" t="s">
        <v>136</v>
      </c>
      <c r="E1230">
        <v>39600000</v>
      </c>
      <c r="F1230" t="s">
        <v>154</v>
      </c>
      <c r="G1230" t="s">
        <v>155</v>
      </c>
      <c r="H1230" t="s">
        <v>139</v>
      </c>
    </row>
    <row r="1231" spans="1:8" x14ac:dyDescent="0.2">
      <c r="A1231" t="s">
        <v>2380</v>
      </c>
      <c r="B1231" t="s">
        <v>2381</v>
      </c>
      <c r="C1231" t="s">
        <v>2382</v>
      </c>
      <c r="D1231" t="s">
        <v>143</v>
      </c>
      <c r="E1231">
        <v>25720902</v>
      </c>
      <c r="F1231" t="s">
        <v>667</v>
      </c>
      <c r="G1231" t="s">
        <v>668</v>
      </c>
      <c r="H1231" t="s">
        <v>668</v>
      </c>
    </row>
    <row r="1232" spans="1:8" x14ac:dyDescent="0.2">
      <c r="A1232" t="s">
        <v>2383</v>
      </c>
      <c r="B1232" t="s">
        <v>2384</v>
      </c>
      <c r="C1232" t="s">
        <v>170</v>
      </c>
      <c r="D1232" t="s">
        <v>143</v>
      </c>
      <c r="E1232">
        <v>1885215716</v>
      </c>
      <c r="F1232" t="s">
        <v>170</v>
      </c>
      <c r="G1232" t="s">
        <v>170</v>
      </c>
      <c r="H1232" t="s">
        <v>170</v>
      </c>
    </row>
    <row r="1233" spans="1:8" x14ac:dyDescent="0.2">
      <c r="A1233" t="s">
        <v>2385</v>
      </c>
      <c r="B1233" t="s">
        <v>2386</v>
      </c>
      <c r="C1233" t="s">
        <v>215</v>
      </c>
      <c r="D1233" t="s">
        <v>167</v>
      </c>
      <c r="E1233">
        <v>5665530</v>
      </c>
      <c r="F1233" t="s">
        <v>216</v>
      </c>
      <c r="G1233" t="s">
        <v>216</v>
      </c>
      <c r="H1233" t="s">
        <v>217</v>
      </c>
    </row>
    <row r="1234" spans="1:8" x14ac:dyDescent="0.2">
      <c r="A1234" t="s">
        <v>674</v>
      </c>
      <c r="B1234" t="s">
        <v>2387</v>
      </c>
      <c r="C1234" t="s">
        <v>211</v>
      </c>
      <c r="D1234" t="s">
        <v>143</v>
      </c>
      <c r="E1234">
        <v>98253357</v>
      </c>
      <c r="F1234" t="s">
        <v>212</v>
      </c>
      <c r="G1234" t="s">
        <v>183</v>
      </c>
      <c r="H1234" t="s">
        <v>184</v>
      </c>
    </row>
    <row r="1235" spans="1:8" x14ac:dyDescent="0.2">
      <c r="A1235" t="s">
        <v>2388</v>
      </c>
      <c r="B1235" t="s">
        <v>2389</v>
      </c>
      <c r="C1235" t="s">
        <v>215</v>
      </c>
      <c r="D1235" t="s">
        <v>136</v>
      </c>
      <c r="E1235">
        <v>19500000</v>
      </c>
      <c r="F1235" t="s">
        <v>216</v>
      </c>
      <c r="G1235" t="s">
        <v>216</v>
      </c>
      <c r="H1235" t="s">
        <v>217</v>
      </c>
    </row>
    <row r="1236" spans="1:8" x14ac:dyDescent="0.2">
      <c r="A1236" t="s">
        <v>2390</v>
      </c>
      <c r="B1236" t="s">
        <v>2391</v>
      </c>
      <c r="C1236" t="s">
        <v>163</v>
      </c>
      <c r="D1236" t="s">
        <v>143</v>
      </c>
      <c r="E1236">
        <v>96636924</v>
      </c>
      <c r="F1236" t="s">
        <v>137</v>
      </c>
      <c r="G1236" t="s">
        <v>138</v>
      </c>
      <c r="H1236" t="s">
        <v>139</v>
      </c>
    </row>
    <row r="1237" spans="1:8" x14ac:dyDescent="0.2">
      <c r="A1237" t="s">
        <v>2392</v>
      </c>
      <c r="B1237" t="s">
        <v>2393</v>
      </c>
      <c r="C1237" t="s">
        <v>166</v>
      </c>
      <c r="D1237" t="s">
        <v>136</v>
      </c>
      <c r="E1237">
        <v>15000000</v>
      </c>
      <c r="F1237" t="s">
        <v>166</v>
      </c>
      <c r="G1237" t="s">
        <v>166</v>
      </c>
      <c r="H1237" t="s">
        <v>160</v>
      </c>
    </row>
    <row r="1238" spans="1:8" x14ac:dyDescent="0.2">
      <c r="A1238" t="s">
        <v>674</v>
      </c>
      <c r="B1238" t="s">
        <v>2394</v>
      </c>
      <c r="C1238" t="s">
        <v>283</v>
      </c>
      <c r="D1238" t="s">
        <v>167</v>
      </c>
      <c r="E1238">
        <v>8045744</v>
      </c>
      <c r="F1238" t="s">
        <v>284</v>
      </c>
      <c r="G1238" t="s">
        <v>183</v>
      </c>
      <c r="H1238" t="s">
        <v>184</v>
      </c>
    </row>
    <row r="1239" spans="1:8" x14ac:dyDescent="0.2">
      <c r="A1239" t="s">
        <v>674</v>
      </c>
      <c r="B1239" t="s">
        <v>2395</v>
      </c>
      <c r="C1239" t="s">
        <v>903</v>
      </c>
      <c r="D1239" t="s">
        <v>136</v>
      </c>
      <c r="E1239">
        <v>2768221</v>
      </c>
      <c r="F1239" t="s">
        <v>212</v>
      </c>
      <c r="G1239" t="s">
        <v>183</v>
      </c>
      <c r="H1239" t="s">
        <v>184</v>
      </c>
    </row>
    <row r="1240" spans="1:8" x14ac:dyDescent="0.2">
      <c r="A1240" t="s">
        <v>2396</v>
      </c>
      <c r="B1240" t="s">
        <v>2397</v>
      </c>
      <c r="C1240" t="s">
        <v>434</v>
      </c>
      <c r="D1240" t="s">
        <v>136</v>
      </c>
      <c r="E1240">
        <v>8000000</v>
      </c>
      <c r="F1240" t="s">
        <v>326</v>
      </c>
      <c r="G1240" t="s">
        <v>327</v>
      </c>
      <c r="H1240" t="s">
        <v>217</v>
      </c>
    </row>
    <row r="1241" spans="1:8" x14ac:dyDescent="0.2">
      <c r="A1241" t="s">
        <v>2398</v>
      </c>
      <c r="B1241" t="s">
        <v>2399</v>
      </c>
      <c r="C1241" t="s">
        <v>387</v>
      </c>
      <c r="D1241" t="s">
        <v>136</v>
      </c>
      <c r="E1241">
        <v>15863133</v>
      </c>
      <c r="F1241" t="s">
        <v>311</v>
      </c>
      <c r="G1241" t="s">
        <v>312</v>
      </c>
      <c r="H1241" t="s">
        <v>313</v>
      </c>
    </row>
    <row r="1242" spans="1:8" x14ac:dyDescent="0.2">
      <c r="A1242" t="s">
        <v>2400</v>
      </c>
      <c r="B1242" t="s">
        <v>2401</v>
      </c>
      <c r="C1242" t="s">
        <v>685</v>
      </c>
      <c r="D1242" t="s">
        <v>143</v>
      </c>
      <c r="E1242">
        <v>66630564</v>
      </c>
      <c r="F1242" t="s">
        <v>686</v>
      </c>
      <c r="G1242" t="s">
        <v>686</v>
      </c>
      <c r="H1242" t="s">
        <v>139</v>
      </c>
    </row>
    <row r="1243" spans="1:8" x14ac:dyDescent="0.2">
      <c r="A1243" t="s">
        <v>2402</v>
      </c>
      <c r="B1243" t="s">
        <v>2403</v>
      </c>
      <c r="C1243" t="s">
        <v>163</v>
      </c>
      <c r="D1243" t="s">
        <v>143</v>
      </c>
      <c r="E1243">
        <v>27605908</v>
      </c>
      <c r="F1243" t="s">
        <v>137</v>
      </c>
      <c r="G1243" t="s">
        <v>138</v>
      </c>
      <c r="H1243" t="s">
        <v>139</v>
      </c>
    </row>
    <row r="1244" spans="1:8" x14ac:dyDescent="0.2">
      <c r="A1244" t="s">
        <v>674</v>
      </c>
      <c r="B1244" t="s">
        <v>2404</v>
      </c>
      <c r="C1244" t="s">
        <v>2127</v>
      </c>
      <c r="D1244" t="s">
        <v>136</v>
      </c>
      <c r="E1244">
        <v>29350000</v>
      </c>
      <c r="F1244" t="s">
        <v>284</v>
      </c>
      <c r="G1244" t="s">
        <v>183</v>
      </c>
      <c r="H1244" t="s">
        <v>184</v>
      </c>
    </row>
    <row r="1245" spans="1:8" x14ac:dyDescent="0.2">
      <c r="A1245" t="s">
        <v>2405</v>
      </c>
      <c r="B1245" t="s">
        <v>2406</v>
      </c>
      <c r="C1245" t="s">
        <v>330</v>
      </c>
      <c r="D1245" t="s">
        <v>136</v>
      </c>
      <c r="E1245">
        <v>14820662</v>
      </c>
      <c r="F1245" t="s">
        <v>330</v>
      </c>
      <c r="G1245" t="s">
        <v>312</v>
      </c>
      <c r="H1245" t="s">
        <v>313</v>
      </c>
    </row>
    <row r="1246" spans="1:8" x14ac:dyDescent="0.2">
      <c r="A1246" t="s">
        <v>674</v>
      </c>
      <c r="B1246" t="s">
        <v>2408</v>
      </c>
      <c r="C1246" t="s">
        <v>283</v>
      </c>
      <c r="D1246" t="s">
        <v>143</v>
      </c>
      <c r="E1246">
        <v>12832437</v>
      </c>
      <c r="F1246" t="s">
        <v>284</v>
      </c>
      <c r="G1246" t="s">
        <v>183</v>
      </c>
      <c r="H1246" t="s">
        <v>184</v>
      </c>
    </row>
    <row r="1247" spans="1:8" x14ac:dyDescent="0.2">
      <c r="A1247" t="s">
        <v>674</v>
      </c>
      <c r="B1247" t="s">
        <v>2409</v>
      </c>
      <c r="C1247" t="s">
        <v>208</v>
      </c>
      <c r="D1247" t="s">
        <v>167</v>
      </c>
      <c r="E1247">
        <v>21000000</v>
      </c>
      <c r="F1247" t="s">
        <v>195</v>
      </c>
      <c r="G1247" t="s">
        <v>195</v>
      </c>
      <c r="H1247" t="s">
        <v>184</v>
      </c>
    </row>
    <row r="1248" spans="1:8" x14ac:dyDescent="0.2">
      <c r="A1248" t="s">
        <v>2410</v>
      </c>
      <c r="B1248" t="s">
        <v>2411</v>
      </c>
      <c r="C1248" t="s">
        <v>572</v>
      </c>
      <c r="D1248" t="s">
        <v>143</v>
      </c>
      <c r="E1248">
        <v>17310978</v>
      </c>
      <c r="F1248" t="s">
        <v>201</v>
      </c>
      <c r="G1248" t="s">
        <v>150</v>
      </c>
      <c r="H1248" t="s">
        <v>145</v>
      </c>
    </row>
    <row r="1249" spans="1:8" x14ac:dyDescent="0.2">
      <c r="A1249" t="s">
        <v>674</v>
      </c>
      <c r="B1249" t="s">
        <v>2412</v>
      </c>
      <c r="C1249" t="s">
        <v>826</v>
      </c>
      <c r="D1249" t="s">
        <v>136</v>
      </c>
      <c r="E1249">
        <v>67100000</v>
      </c>
      <c r="F1249" t="s">
        <v>212</v>
      </c>
      <c r="G1249" t="s">
        <v>183</v>
      </c>
      <c r="H1249" t="s">
        <v>184</v>
      </c>
    </row>
    <row r="1250" spans="1:8" x14ac:dyDescent="0.2">
      <c r="A1250" t="s">
        <v>2413</v>
      </c>
      <c r="B1250" t="s">
        <v>2414</v>
      </c>
      <c r="C1250" t="s">
        <v>166</v>
      </c>
      <c r="D1250" t="s">
        <v>167</v>
      </c>
      <c r="E1250">
        <v>30000000</v>
      </c>
      <c r="F1250" t="s">
        <v>166</v>
      </c>
      <c r="G1250" t="s">
        <v>166</v>
      </c>
      <c r="H1250" t="s">
        <v>160</v>
      </c>
    </row>
    <row r="1251" spans="1:8" x14ac:dyDescent="0.2">
      <c r="A1251" t="s">
        <v>2415</v>
      </c>
      <c r="B1251" t="s">
        <v>2416</v>
      </c>
      <c r="C1251" t="s">
        <v>166</v>
      </c>
      <c r="D1251" t="s">
        <v>143</v>
      </c>
      <c r="E1251">
        <v>179985863</v>
      </c>
      <c r="F1251" t="s">
        <v>166</v>
      </c>
      <c r="G1251" t="s">
        <v>166</v>
      </c>
      <c r="H1251" t="s">
        <v>160</v>
      </c>
    </row>
    <row r="1252" spans="1:8" x14ac:dyDescent="0.2">
      <c r="A1252" t="s">
        <v>674</v>
      </c>
      <c r="B1252" t="s">
        <v>2417</v>
      </c>
      <c r="C1252" t="s">
        <v>441</v>
      </c>
      <c r="D1252" t="s">
        <v>136</v>
      </c>
      <c r="E1252">
        <v>30000000</v>
      </c>
      <c r="F1252" t="s">
        <v>182</v>
      </c>
      <c r="G1252" t="s">
        <v>183</v>
      </c>
      <c r="H1252" t="s">
        <v>184</v>
      </c>
    </row>
    <row r="1253" spans="1:8" x14ac:dyDescent="0.2">
      <c r="A1253" t="s">
        <v>3149</v>
      </c>
      <c r="B1253" t="s">
        <v>3150</v>
      </c>
      <c r="C1253" t="s">
        <v>166</v>
      </c>
      <c r="D1253" t="s">
        <v>136</v>
      </c>
      <c r="E1253">
        <v>54898000</v>
      </c>
      <c r="F1253" t="s">
        <v>166</v>
      </c>
      <c r="G1253" t="s">
        <v>166</v>
      </c>
      <c r="H1253" t="s">
        <v>160</v>
      </c>
    </row>
    <row r="1254" spans="1:8" x14ac:dyDescent="0.2">
      <c r="A1254" t="s">
        <v>3151</v>
      </c>
      <c r="B1254" t="s">
        <v>3152</v>
      </c>
      <c r="C1254" t="s">
        <v>166</v>
      </c>
      <c r="D1254" t="s">
        <v>143</v>
      </c>
      <c r="E1254">
        <v>29114840</v>
      </c>
      <c r="F1254" t="s">
        <v>166</v>
      </c>
      <c r="G1254" t="s">
        <v>166</v>
      </c>
      <c r="H1254" t="s">
        <v>160</v>
      </c>
    </row>
    <row r="1255" spans="1:8" x14ac:dyDescent="0.2">
      <c r="A1255" t="s">
        <v>674</v>
      </c>
      <c r="B1255" t="s">
        <v>2418</v>
      </c>
      <c r="C1255" t="s">
        <v>208</v>
      </c>
      <c r="D1255" t="s">
        <v>136</v>
      </c>
      <c r="E1255">
        <v>3000000</v>
      </c>
      <c r="F1255" t="s">
        <v>195</v>
      </c>
      <c r="G1255" t="s">
        <v>195</v>
      </c>
      <c r="H1255" t="s">
        <v>184</v>
      </c>
    </row>
    <row r="1256" spans="1:8" x14ac:dyDescent="0.2">
      <c r="A1256" t="s">
        <v>674</v>
      </c>
      <c r="B1256" t="s">
        <v>2419</v>
      </c>
      <c r="C1256" t="s">
        <v>208</v>
      </c>
      <c r="D1256" t="s">
        <v>167</v>
      </c>
      <c r="E1256">
        <v>12419787</v>
      </c>
      <c r="F1256" t="s">
        <v>195</v>
      </c>
      <c r="G1256" t="s">
        <v>195</v>
      </c>
      <c r="H1256" t="s">
        <v>184</v>
      </c>
    </row>
    <row r="1257" spans="1:8" x14ac:dyDescent="0.2">
      <c r="A1257" t="s">
        <v>2420</v>
      </c>
      <c r="B1257" t="s">
        <v>2421</v>
      </c>
      <c r="C1257" t="s">
        <v>166</v>
      </c>
      <c r="D1257" t="s">
        <v>136</v>
      </c>
      <c r="E1257">
        <v>297000000</v>
      </c>
      <c r="F1257" t="s">
        <v>166</v>
      </c>
      <c r="G1257" t="s">
        <v>166</v>
      </c>
      <c r="H1257" t="s">
        <v>160</v>
      </c>
    </row>
    <row r="1258" spans="1:8" x14ac:dyDescent="0.2">
      <c r="A1258" t="s">
        <v>2422</v>
      </c>
      <c r="B1258" t="s">
        <v>2423</v>
      </c>
      <c r="C1258" t="s">
        <v>404</v>
      </c>
      <c r="D1258" t="s">
        <v>136</v>
      </c>
      <c r="E1258">
        <v>1613690</v>
      </c>
      <c r="F1258" t="s">
        <v>348</v>
      </c>
      <c r="G1258" t="s">
        <v>155</v>
      </c>
      <c r="H1258" t="s">
        <v>139</v>
      </c>
    </row>
    <row r="1259" spans="1:8" x14ac:dyDescent="0.2">
      <c r="A1259" t="s">
        <v>2424</v>
      </c>
      <c r="B1259" t="s">
        <v>2425</v>
      </c>
      <c r="C1259" t="s">
        <v>153</v>
      </c>
      <c r="D1259" t="s">
        <v>136</v>
      </c>
      <c r="E1259">
        <v>78319777</v>
      </c>
      <c r="F1259" t="s">
        <v>154</v>
      </c>
      <c r="G1259" t="s">
        <v>155</v>
      </c>
      <c r="H1259" t="s">
        <v>139</v>
      </c>
    </row>
    <row r="1260" spans="1:8" x14ac:dyDescent="0.2">
      <c r="A1260" t="s">
        <v>2426</v>
      </c>
      <c r="B1260" t="s">
        <v>2427</v>
      </c>
      <c r="C1260" t="s">
        <v>387</v>
      </c>
      <c r="D1260" t="s">
        <v>136</v>
      </c>
      <c r="E1260">
        <v>5000000</v>
      </c>
      <c r="F1260" t="s">
        <v>311</v>
      </c>
      <c r="G1260" t="s">
        <v>312</v>
      </c>
      <c r="H1260" t="s">
        <v>313</v>
      </c>
    </row>
    <row r="1261" spans="1:8" x14ac:dyDescent="0.2">
      <c r="A1261" t="s">
        <v>674</v>
      </c>
      <c r="B1261" t="s">
        <v>2428</v>
      </c>
      <c r="C1261" t="s">
        <v>283</v>
      </c>
      <c r="D1261" t="s">
        <v>136</v>
      </c>
      <c r="E1261">
        <v>1250000</v>
      </c>
      <c r="F1261" t="s">
        <v>284</v>
      </c>
      <c r="G1261" t="s">
        <v>183</v>
      </c>
      <c r="H1261" t="s">
        <v>184</v>
      </c>
    </row>
    <row r="1262" spans="1:8" x14ac:dyDescent="0.2">
      <c r="A1262" t="s">
        <v>2429</v>
      </c>
      <c r="B1262" t="s">
        <v>2430</v>
      </c>
      <c r="C1262" t="s">
        <v>330</v>
      </c>
      <c r="D1262" t="s">
        <v>143</v>
      </c>
      <c r="E1262">
        <v>63500000</v>
      </c>
      <c r="F1262" t="s">
        <v>330</v>
      </c>
      <c r="G1262" t="s">
        <v>312</v>
      </c>
      <c r="H1262" t="s">
        <v>313</v>
      </c>
    </row>
    <row r="1263" spans="1:8" x14ac:dyDescent="0.2">
      <c r="A1263" t="s">
        <v>674</v>
      </c>
      <c r="B1263" t="s">
        <v>2431</v>
      </c>
      <c r="C1263" t="s">
        <v>259</v>
      </c>
      <c r="D1263" t="s">
        <v>136</v>
      </c>
      <c r="E1263">
        <v>32486392</v>
      </c>
      <c r="F1263" t="s">
        <v>260</v>
      </c>
      <c r="G1263" t="s">
        <v>183</v>
      </c>
      <c r="H1263" t="s">
        <v>184</v>
      </c>
    </row>
    <row r="1264" spans="1:8" x14ac:dyDescent="0.2">
      <c r="A1264" t="s">
        <v>674</v>
      </c>
      <c r="B1264" t="s">
        <v>2432</v>
      </c>
      <c r="C1264" t="s">
        <v>211</v>
      </c>
      <c r="D1264" t="s">
        <v>136</v>
      </c>
      <c r="E1264">
        <v>93117800</v>
      </c>
      <c r="F1264" t="s">
        <v>212</v>
      </c>
      <c r="G1264" t="s">
        <v>183</v>
      </c>
      <c r="H1264" t="s">
        <v>184</v>
      </c>
    </row>
    <row r="1265" spans="1:8" x14ac:dyDescent="0.2">
      <c r="A1265" t="s">
        <v>2433</v>
      </c>
      <c r="B1265" t="s">
        <v>2434</v>
      </c>
      <c r="C1265" t="s">
        <v>166</v>
      </c>
      <c r="D1265" t="s">
        <v>136</v>
      </c>
      <c r="E1265">
        <v>8060000</v>
      </c>
      <c r="F1265" t="s">
        <v>166</v>
      </c>
      <c r="G1265" t="s">
        <v>166</v>
      </c>
      <c r="H1265" t="s">
        <v>160</v>
      </c>
    </row>
    <row r="1266" spans="1:8" x14ac:dyDescent="0.2">
      <c r="A1266" t="s">
        <v>674</v>
      </c>
      <c r="B1266" t="s">
        <v>2435</v>
      </c>
      <c r="C1266" t="s">
        <v>208</v>
      </c>
      <c r="D1266" t="s">
        <v>136</v>
      </c>
      <c r="E1266">
        <v>1656470</v>
      </c>
      <c r="F1266" t="s">
        <v>195</v>
      </c>
      <c r="G1266" t="s">
        <v>195</v>
      </c>
      <c r="H1266" t="s">
        <v>184</v>
      </c>
    </row>
    <row r="1267" spans="1:8" x14ac:dyDescent="0.2">
      <c r="A1267" t="s">
        <v>2436</v>
      </c>
      <c r="B1267" t="s">
        <v>2437</v>
      </c>
      <c r="C1267" t="s">
        <v>387</v>
      </c>
      <c r="D1267" t="s">
        <v>136</v>
      </c>
      <c r="E1267">
        <v>9850000</v>
      </c>
      <c r="F1267" t="s">
        <v>311</v>
      </c>
      <c r="G1267" t="s">
        <v>312</v>
      </c>
      <c r="H1267" t="s">
        <v>313</v>
      </c>
    </row>
    <row r="1268" spans="1:8" x14ac:dyDescent="0.2">
      <c r="A1268" t="s">
        <v>674</v>
      </c>
      <c r="B1268" t="s">
        <v>2438</v>
      </c>
      <c r="C1268" t="s">
        <v>194</v>
      </c>
      <c r="D1268" t="s">
        <v>167</v>
      </c>
      <c r="E1268">
        <v>1510280</v>
      </c>
      <c r="F1268" t="s">
        <v>195</v>
      </c>
      <c r="G1268" t="s">
        <v>195</v>
      </c>
      <c r="H1268" t="s">
        <v>184</v>
      </c>
    </row>
    <row r="1269" spans="1:8" x14ac:dyDescent="0.2">
      <c r="A1269" t="s">
        <v>111</v>
      </c>
      <c r="B1269" t="s">
        <v>2439</v>
      </c>
      <c r="C1269" t="s">
        <v>170</v>
      </c>
      <c r="D1269" t="s">
        <v>143</v>
      </c>
      <c r="E1269">
        <v>7045021622</v>
      </c>
      <c r="F1269" t="s">
        <v>170</v>
      </c>
      <c r="G1269" t="s">
        <v>170</v>
      </c>
      <c r="H1269" t="s">
        <v>170</v>
      </c>
    </row>
    <row r="1270" spans="1:8" x14ac:dyDescent="0.2">
      <c r="A1270" t="s">
        <v>674</v>
      </c>
      <c r="B1270" t="s">
        <v>2441</v>
      </c>
      <c r="C1270" t="s">
        <v>208</v>
      </c>
      <c r="D1270" t="s">
        <v>143</v>
      </c>
      <c r="E1270">
        <v>335820641</v>
      </c>
      <c r="F1270" t="s">
        <v>195</v>
      </c>
      <c r="G1270" t="s">
        <v>195</v>
      </c>
      <c r="H1270" t="s">
        <v>184</v>
      </c>
    </row>
    <row r="1271" spans="1:8" x14ac:dyDescent="0.2">
      <c r="A1271" t="s">
        <v>2442</v>
      </c>
      <c r="B1271" t="s">
        <v>2443</v>
      </c>
      <c r="C1271" t="s">
        <v>166</v>
      </c>
      <c r="D1271" t="s">
        <v>143</v>
      </c>
      <c r="E1271">
        <v>668215843</v>
      </c>
      <c r="F1271" t="s">
        <v>166</v>
      </c>
      <c r="G1271" t="s">
        <v>166</v>
      </c>
      <c r="H1271" t="s">
        <v>160</v>
      </c>
    </row>
    <row r="1272" spans="1:8" x14ac:dyDescent="0.2">
      <c r="A1272" t="s">
        <v>2444</v>
      </c>
      <c r="B1272" t="s">
        <v>2445</v>
      </c>
      <c r="C1272" t="s">
        <v>158</v>
      </c>
      <c r="D1272" t="s">
        <v>143</v>
      </c>
      <c r="E1272">
        <v>115620964</v>
      </c>
      <c r="F1272" t="s">
        <v>159</v>
      </c>
      <c r="G1272" t="s">
        <v>159</v>
      </c>
      <c r="H1272" t="s">
        <v>160</v>
      </c>
    </row>
    <row r="1273" spans="1:8" x14ac:dyDescent="0.2">
      <c r="A1273" t="s">
        <v>2446</v>
      </c>
      <c r="B1273" t="s">
        <v>2447</v>
      </c>
      <c r="C1273" t="s">
        <v>153</v>
      </c>
      <c r="D1273" t="s">
        <v>136</v>
      </c>
      <c r="E1273">
        <v>10000000</v>
      </c>
      <c r="F1273" t="s">
        <v>154</v>
      </c>
      <c r="G1273" t="s">
        <v>155</v>
      </c>
      <c r="H1273" t="s">
        <v>139</v>
      </c>
    </row>
    <row r="1274" spans="1:8" x14ac:dyDescent="0.2">
      <c r="A1274" t="s">
        <v>674</v>
      </c>
      <c r="B1274" t="s">
        <v>2448</v>
      </c>
      <c r="C1274" t="s">
        <v>208</v>
      </c>
      <c r="D1274" t="s">
        <v>136</v>
      </c>
      <c r="E1274">
        <v>23850000</v>
      </c>
      <c r="F1274" t="s">
        <v>195</v>
      </c>
      <c r="G1274" t="s">
        <v>195</v>
      </c>
      <c r="H1274" t="s">
        <v>184</v>
      </c>
    </row>
    <row r="1275" spans="1:8" x14ac:dyDescent="0.2">
      <c r="A1275" t="s">
        <v>674</v>
      </c>
      <c r="B1275" t="s">
        <v>2450</v>
      </c>
      <c r="C1275" t="s">
        <v>903</v>
      </c>
      <c r="D1275" t="s">
        <v>143</v>
      </c>
      <c r="E1275">
        <v>30158436</v>
      </c>
      <c r="F1275" t="s">
        <v>212</v>
      </c>
      <c r="G1275" t="s">
        <v>183</v>
      </c>
      <c r="H1275" t="s">
        <v>184</v>
      </c>
    </row>
    <row r="1276" spans="1:8" x14ac:dyDescent="0.2">
      <c r="A1276" t="s">
        <v>2451</v>
      </c>
      <c r="B1276" t="s">
        <v>2452</v>
      </c>
      <c r="C1276" t="s">
        <v>163</v>
      </c>
      <c r="D1276" t="s">
        <v>143</v>
      </c>
      <c r="E1276">
        <v>101955482</v>
      </c>
      <c r="F1276" t="s">
        <v>137</v>
      </c>
      <c r="G1276" t="s">
        <v>138</v>
      </c>
      <c r="H1276" t="s">
        <v>139</v>
      </c>
    </row>
    <row r="1277" spans="1:8" x14ac:dyDescent="0.2">
      <c r="A1277" t="s">
        <v>674</v>
      </c>
      <c r="B1277" t="s">
        <v>2454</v>
      </c>
      <c r="C1277" t="s">
        <v>903</v>
      </c>
      <c r="D1277" t="s">
        <v>143</v>
      </c>
      <c r="E1277">
        <v>18711000</v>
      </c>
      <c r="F1277" t="s">
        <v>212</v>
      </c>
      <c r="G1277" t="s">
        <v>183</v>
      </c>
      <c r="H1277" t="s">
        <v>184</v>
      </c>
    </row>
    <row r="1278" spans="1:8" x14ac:dyDescent="0.2">
      <c r="A1278" t="s">
        <v>674</v>
      </c>
      <c r="B1278" t="s">
        <v>2455</v>
      </c>
      <c r="C1278" t="s">
        <v>194</v>
      </c>
      <c r="D1278" t="s">
        <v>143</v>
      </c>
      <c r="E1278">
        <v>10373190</v>
      </c>
      <c r="F1278" t="s">
        <v>195</v>
      </c>
      <c r="G1278" t="s">
        <v>195</v>
      </c>
      <c r="H1278" t="s">
        <v>184</v>
      </c>
    </row>
    <row r="1279" spans="1:8" x14ac:dyDescent="0.2">
      <c r="A1279" t="s">
        <v>2456</v>
      </c>
      <c r="B1279" t="s">
        <v>2457</v>
      </c>
      <c r="C1279" t="s">
        <v>434</v>
      </c>
      <c r="D1279" t="s">
        <v>143</v>
      </c>
      <c r="E1279">
        <v>12788000</v>
      </c>
      <c r="F1279" t="s">
        <v>326</v>
      </c>
      <c r="G1279" t="s">
        <v>327</v>
      </c>
      <c r="H1279" t="s">
        <v>217</v>
      </c>
    </row>
    <row r="1280" spans="1:8" x14ac:dyDescent="0.2">
      <c r="A1280" t="s">
        <v>674</v>
      </c>
      <c r="B1280" t="s">
        <v>2458</v>
      </c>
      <c r="C1280" t="s">
        <v>211</v>
      </c>
      <c r="D1280" t="s">
        <v>136</v>
      </c>
      <c r="E1280">
        <v>19991020</v>
      </c>
      <c r="F1280" t="s">
        <v>212</v>
      </c>
      <c r="G1280" t="s">
        <v>183</v>
      </c>
      <c r="H1280" t="s">
        <v>184</v>
      </c>
    </row>
    <row r="1281" spans="1:8" x14ac:dyDescent="0.2">
      <c r="A1281" t="s">
        <v>2459</v>
      </c>
      <c r="B1281" t="s">
        <v>2460</v>
      </c>
      <c r="C1281" t="s">
        <v>330</v>
      </c>
      <c r="D1281" t="s">
        <v>136</v>
      </c>
      <c r="E1281">
        <v>8230000</v>
      </c>
      <c r="F1281" t="s">
        <v>330</v>
      </c>
      <c r="G1281" t="s">
        <v>312</v>
      </c>
      <c r="H1281" t="s">
        <v>313</v>
      </c>
    </row>
    <row r="1282" spans="1:8" x14ac:dyDescent="0.2">
      <c r="A1282" t="s">
        <v>2461</v>
      </c>
      <c r="B1282" t="s">
        <v>2462</v>
      </c>
      <c r="C1282" t="s">
        <v>419</v>
      </c>
      <c r="D1282" t="s">
        <v>143</v>
      </c>
      <c r="E1282">
        <v>100000000</v>
      </c>
      <c r="F1282" t="s">
        <v>166</v>
      </c>
      <c r="G1282" t="s">
        <v>166</v>
      </c>
      <c r="H1282" t="s">
        <v>160</v>
      </c>
    </row>
    <row r="1283" spans="1:8" x14ac:dyDescent="0.2">
      <c r="A1283" t="s">
        <v>674</v>
      </c>
      <c r="B1283" t="s">
        <v>2463</v>
      </c>
      <c r="C1283" t="s">
        <v>194</v>
      </c>
      <c r="D1283" t="s">
        <v>136</v>
      </c>
      <c r="E1283">
        <v>30000000</v>
      </c>
      <c r="F1283" t="s">
        <v>195</v>
      </c>
      <c r="G1283" t="s">
        <v>195</v>
      </c>
      <c r="H1283" t="s">
        <v>184</v>
      </c>
    </row>
    <row r="1284" spans="1:8" x14ac:dyDescent="0.2">
      <c r="A1284" t="s">
        <v>2464</v>
      </c>
      <c r="B1284" t="s">
        <v>2465</v>
      </c>
      <c r="C1284" t="s">
        <v>310</v>
      </c>
      <c r="D1284" t="s">
        <v>143</v>
      </c>
      <c r="E1284">
        <v>19369172</v>
      </c>
      <c r="F1284" t="s">
        <v>311</v>
      </c>
      <c r="G1284" t="s">
        <v>312</v>
      </c>
      <c r="H1284" t="s">
        <v>313</v>
      </c>
    </row>
    <row r="1285" spans="1:8" x14ac:dyDescent="0.2">
      <c r="A1285" t="s">
        <v>2466</v>
      </c>
      <c r="B1285" t="s">
        <v>2467</v>
      </c>
      <c r="C1285" t="s">
        <v>166</v>
      </c>
      <c r="D1285" t="s">
        <v>143</v>
      </c>
      <c r="E1285">
        <v>112652767</v>
      </c>
      <c r="F1285" t="s">
        <v>166</v>
      </c>
      <c r="G1285" t="s">
        <v>166</v>
      </c>
      <c r="H1285" t="s">
        <v>160</v>
      </c>
    </row>
    <row r="1286" spans="1:8" x14ac:dyDescent="0.2">
      <c r="A1286" t="s">
        <v>2468</v>
      </c>
      <c r="B1286" t="s">
        <v>2469</v>
      </c>
      <c r="C1286" t="s">
        <v>387</v>
      </c>
      <c r="D1286" t="s">
        <v>143</v>
      </c>
      <c r="E1286">
        <v>110000000</v>
      </c>
      <c r="F1286" t="s">
        <v>311</v>
      </c>
      <c r="G1286" t="s">
        <v>312</v>
      </c>
      <c r="H1286" t="s">
        <v>313</v>
      </c>
    </row>
    <row r="1287" spans="1:8" x14ac:dyDescent="0.2">
      <c r="A1287" t="s">
        <v>674</v>
      </c>
      <c r="B1287" t="s">
        <v>2471</v>
      </c>
      <c r="C1287" t="s">
        <v>283</v>
      </c>
      <c r="D1287" t="s">
        <v>143</v>
      </c>
      <c r="E1287">
        <v>80202202</v>
      </c>
      <c r="F1287" t="s">
        <v>284</v>
      </c>
      <c r="G1287" t="s">
        <v>183</v>
      </c>
      <c r="H1287" t="s">
        <v>184</v>
      </c>
    </row>
    <row r="1288" spans="1:8" x14ac:dyDescent="0.2">
      <c r="A1288" t="s">
        <v>2472</v>
      </c>
      <c r="B1288" t="s">
        <v>2473</v>
      </c>
      <c r="C1288" t="s">
        <v>355</v>
      </c>
      <c r="D1288" t="s">
        <v>136</v>
      </c>
      <c r="E1288">
        <v>12225393</v>
      </c>
      <c r="F1288" t="s">
        <v>356</v>
      </c>
      <c r="G1288" t="s">
        <v>150</v>
      </c>
      <c r="H1288" t="s">
        <v>145</v>
      </c>
    </row>
    <row r="1289" spans="1:8" x14ac:dyDescent="0.2">
      <c r="A1289" t="s">
        <v>2474</v>
      </c>
      <c r="B1289" t="s">
        <v>2475</v>
      </c>
      <c r="C1289" t="s">
        <v>163</v>
      </c>
      <c r="D1289" t="s">
        <v>167</v>
      </c>
      <c r="E1289">
        <v>23896534</v>
      </c>
      <c r="F1289" t="s">
        <v>137</v>
      </c>
      <c r="G1289" t="s">
        <v>138</v>
      </c>
      <c r="H1289" t="s">
        <v>139</v>
      </c>
    </row>
    <row r="1290" spans="1:8" x14ac:dyDescent="0.2">
      <c r="A1290" t="s">
        <v>2476</v>
      </c>
      <c r="B1290" t="s">
        <v>2477</v>
      </c>
      <c r="C1290" t="s">
        <v>387</v>
      </c>
      <c r="D1290" t="s">
        <v>143</v>
      </c>
      <c r="E1290">
        <v>8500000</v>
      </c>
      <c r="F1290" t="s">
        <v>311</v>
      </c>
      <c r="G1290" t="s">
        <v>312</v>
      </c>
      <c r="H1290" t="s">
        <v>313</v>
      </c>
    </row>
    <row r="1291" spans="1:8" x14ac:dyDescent="0.2">
      <c r="A1291" t="s">
        <v>674</v>
      </c>
      <c r="B1291" t="s">
        <v>2478</v>
      </c>
      <c r="C1291" t="s">
        <v>208</v>
      </c>
      <c r="D1291" t="s">
        <v>136</v>
      </c>
      <c r="E1291">
        <v>12500000</v>
      </c>
      <c r="F1291" t="s">
        <v>195</v>
      </c>
      <c r="G1291" t="s">
        <v>195</v>
      </c>
      <c r="H1291" t="s">
        <v>184</v>
      </c>
    </row>
    <row r="1292" spans="1:8" x14ac:dyDescent="0.2">
      <c r="A1292" t="s">
        <v>2479</v>
      </c>
      <c r="B1292" t="s">
        <v>2480</v>
      </c>
      <c r="C1292" t="s">
        <v>166</v>
      </c>
      <c r="D1292" t="s">
        <v>143</v>
      </c>
      <c r="E1292">
        <v>120806562</v>
      </c>
      <c r="F1292" t="s">
        <v>166</v>
      </c>
      <c r="G1292" t="s">
        <v>166</v>
      </c>
      <c r="H1292" t="s">
        <v>160</v>
      </c>
    </row>
    <row r="1293" spans="1:8" x14ac:dyDescent="0.2">
      <c r="A1293" t="s">
        <v>674</v>
      </c>
      <c r="B1293" t="s">
        <v>2481</v>
      </c>
      <c r="C1293" t="s">
        <v>208</v>
      </c>
      <c r="D1293" t="s">
        <v>136</v>
      </c>
      <c r="E1293">
        <v>5000000</v>
      </c>
      <c r="F1293" t="s">
        <v>195</v>
      </c>
      <c r="G1293" t="s">
        <v>195</v>
      </c>
      <c r="H1293" t="s">
        <v>184</v>
      </c>
    </row>
    <row r="1294" spans="1:8" x14ac:dyDescent="0.2">
      <c r="A1294" t="s">
        <v>2482</v>
      </c>
      <c r="B1294" t="s">
        <v>2483</v>
      </c>
      <c r="C1294" t="s">
        <v>163</v>
      </c>
      <c r="D1294" t="s">
        <v>167</v>
      </c>
      <c r="E1294">
        <v>5702940</v>
      </c>
      <c r="F1294" t="s">
        <v>137</v>
      </c>
      <c r="G1294" t="s">
        <v>138</v>
      </c>
      <c r="H1294" t="s">
        <v>139</v>
      </c>
    </row>
    <row r="1295" spans="1:8" x14ac:dyDescent="0.2">
      <c r="A1295" t="s">
        <v>2484</v>
      </c>
      <c r="B1295" t="s">
        <v>2485</v>
      </c>
      <c r="C1295" t="s">
        <v>237</v>
      </c>
      <c r="D1295" t="s">
        <v>167</v>
      </c>
      <c r="E1295">
        <v>16829994</v>
      </c>
      <c r="F1295" t="s">
        <v>154</v>
      </c>
      <c r="G1295" t="s">
        <v>155</v>
      </c>
      <c r="H1295" t="s">
        <v>139</v>
      </c>
    </row>
    <row r="1296" spans="1:8" x14ac:dyDescent="0.2">
      <c r="A1296" t="s">
        <v>674</v>
      </c>
      <c r="B1296" t="s">
        <v>2486</v>
      </c>
      <c r="C1296" t="s">
        <v>208</v>
      </c>
      <c r="D1296" t="s">
        <v>136</v>
      </c>
      <c r="E1296">
        <v>27299990</v>
      </c>
      <c r="F1296" t="s">
        <v>195</v>
      </c>
      <c r="G1296" t="s">
        <v>195</v>
      </c>
      <c r="H1296" t="s">
        <v>184</v>
      </c>
    </row>
    <row r="1297" spans="1:8" x14ac:dyDescent="0.2">
      <c r="A1297" t="s">
        <v>674</v>
      </c>
      <c r="B1297" t="s">
        <v>2487</v>
      </c>
      <c r="C1297" t="s">
        <v>578</v>
      </c>
      <c r="D1297" t="s">
        <v>136</v>
      </c>
      <c r="E1297">
        <v>11698575</v>
      </c>
      <c r="F1297" t="s">
        <v>260</v>
      </c>
      <c r="G1297" t="s">
        <v>183</v>
      </c>
      <c r="H1297" t="s">
        <v>184</v>
      </c>
    </row>
    <row r="1298" spans="1:8" x14ac:dyDescent="0.2">
      <c r="A1298" t="s">
        <v>2488</v>
      </c>
      <c r="B1298" t="s">
        <v>2489</v>
      </c>
      <c r="C1298" t="s">
        <v>227</v>
      </c>
      <c r="D1298" t="s">
        <v>136</v>
      </c>
      <c r="E1298">
        <v>13539267</v>
      </c>
      <c r="F1298" t="s">
        <v>228</v>
      </c>
      <c r="G1298" t="s">
        <v>229</v>
      </c>
      <c r="H1298" t="s">
        <v>217</v>
      </c>
    </row>
    <row r="1299" spans="1:8" x14ac:dyDescent="0.2">
      <c r="A1299" t="s">
        <v>2490</v>
      </c>
      <c r="B1299" t="s">
        <v>2491</v>
      </c>
      <c r="C1299" t="s">
        <v>347</v>
      </c>
      <c r="D1299" t="s">
        <v>167</v>
      </c>
      <c r="E1299">
        <v>11424570</v>
      </c>
      <c r="F1299" t="s">
        <v>348</v>
      </c>
      <c r="G1299" t="s">
        <v>155</v>
      </c>
      <c r="H1299" t="s">
        <v>139</v>
      </c>
    </row>
    <row r="1300" spans="1:8" x14ac:dyDescent="0.2">
      <c r="A1300" t="s">
        <v>2492</v>
      </c>
      <c r="B1300" t="s">
        <v>2493</v>
      </c>
      <c r="C1300" t="s">
        <v>419</v>
      </c>
      <c r="D1300" t="s">
        <v>167</v>
      </c>
      <c r="E1300">
        <v>384999972</v>
      </c>
      <c r="F1300" t="s">
        <v>166</v>
      </c>
      <c r="G1300" t="s">
        <v>166</v>
      </c>
      <c r="H1300" t="s">
        <v>160</v>
      </c>
    </row>
    <row r="1301" spans="1:8" x14ac:dyDescent="0.2">
      <c r="A1301" t="s">
        <v>674</v>
      </c>
      <c r="B1301" t="s">
        <v>2495</v>
      </c>
      <c r="C1301" t="s">
        <v>208</v>
      </c>
      <c r="D1301" t="s">
        <v>143</v>
      </c>
      <c r="E1301">
        <v>25941887</v>
      </c>
      <c r="F1301" t="s">
        <v>195</v>
      </c>
      <c r="G1301" t="s">
        <v>195</v>
      </c>
      <c r="H1301" t="s">
        <v>184</v>
      </c>
    </row>
    <row r="1302" spans="1:8" x14ac:dyDescent="0.2">
      <c r="A1302" t="s">
        <v>2496</v>
      </c>
      <c r="B1302" t="s">
        <v>2497</v>
      </c>
      <c r="C1302" t="s">
        <v>163</v>
      </c>
      <c r="D1302" t="s">
        <v>136</v>
      </c>
      <c r="E1302">
        <v>11048000</v>
      </c>
      <c r="F1302" t="s">
        <v>137</v>
      </c>
      <c r="G1302" t="s">
        <v>138</v>
      </c>
      <c r="H1302" t="s">
        <v>139</v>
      </c>
    </row>
    <row r="1303" spans="1:8" x14ac:dyDescent="0.2">
      <c r="A1303" t="s">
        <v>2498</v>
      </c>
      <c r="B1303" t="s">
        <v>2499</v>
      </c>
      <c r="C1303" t="s">
        <v>387</v>
      </c>
      <c r="D1303" t="s">
        <v>136</v>
      </c>
      <c r="E1303">
        <v>32995411</v>
      </c>
      <c r="F1303" t="s">
        <v>311</v>
      </c>
      <c r="G1303" t="s">
        <v>312</v>
      </c>
      <c r="H1303" t="s">
        <v>313</v>
      </c>
    </row>
    <row r="1304" spans="1:8" x14ac:dyDescent="0.2">
      <c r="A1304" t="s">
        <v>2500</v>
      </c>
      <c r="B1304" t="s">
        <v>2501</v>
      </c>
      <c r="C1304" t="s">
        <v>153</v>
      </c>
      <c r="D1304" t="s">
        <v>136</v>
      </c>
      <c r="E1304">
        <v>21611185</v>
      </c>
      <c r="F1304" t="s">
        <v>154</v>
      </c>
      <c r="G1304" t="s">
        <v>155</v>
      </c>
      <c r="H1304" t="s">
        <v>139</v>
      </c>
    </row>
    <row r="1305" spans="1:8" x14ac:dyDescent="0.2">
      <c r="A1305" t="s">
        <v>2502</v>
      </c>
      <c r="B1305" t="s">
        <v>2503</v>
      </c>
      <c r="C1305" t="s">
        <v>519</v>
      </c>
      <c r="D1305" t="s">
        <v>167</v>
      </c>
      <c r="E1305">
        <v>3000000</v>
      </c>
      <c r="F1305" t="s">
        <v>229</v>
      </c>
      <c r="G1305" t="s">
        <v>229</v>
      </c>
      <c r="H1305" t="s">
        <v>217</v>
      </c>
    </row>
    <row r="1306" spans="1:8" x14ac:dyDescent="0.2">
      <c r="A1306" t="s">
        <v>2504</v>
      </c>
      <c r="B1306" t="s">
        <v>2505</v>
      </c>
      <c r="C1306" t="s">
        <v>148</v>
      </c>
      <c r="D1306" t="s">
        <v>167</v>
      </c>
      <c r="E1306">
        <v>24569052</v>
      </c>
      <c r="F1306" t="s">
        <v>149</v>
      </c>
      <c r="G1306" t="s">
        <v>150</v>
      </c>
      <c r="H1306" t="s">
        <v>145</v>
      </c>
    </row>
    <row r="1307" spans="1:8" x14ac:dyDescent="0.2">
      <c r="A1307" t="s">
        <v>674</v>
      </c>
      <c r="B1307" t="s">
        <v>2506</v>
      </c>
      <c r="C1307" t="s">
        <v>441</v>
      </c>
      <c r="D1307" t="s">
        <v>136</v>
      </c>
      <c r="E1307">
        <v>3297790</v>
      </c>
      <c r="F1307" t="s">
        <v>182</v>
      </c>
      <c r="G1307" t="s">
        <v>183</v>
      </c>
      <c r="H1307" t="s">
        <v>184</v>
      </c>
    </row>
    <row r="1308" spans="1:8" x14ac:dyDescent="0.2">
      <c r="A1308" t="s">
        <v>2507</v>
      </c>
      <c r="B1308" t="s">
        <v>2508</v>
      </c>
      <c r="C1308" t="s">
        <v>387</v>
      </c>
      <c r="D1308" t="s">
        <v>136</v>
      </c>
      <c r="E1308">
        <v>5000000</v>
      </c>
      <c r="F1308" t="s">
        <v>311</v>
      </c>
      <c r="G1308" t="s">
        <v>312</v>
      </c>
      <c r="H1308" t="s">
        <v>313</v>
      </c>
    </row>
    <row r="1309" spans="1:8" x14ac:dyDescent="0.2">
      <c r="A1309" t="s">
        <v>2509</v>
      </c>
      <c r="B1309" t="s">
        <v>2510</v>
      </c>
      <c r="C1309" t="s">
        <v>166</v>
      </c>
      <c r="D1309" t="s">
        <v>136</v>
      </c>
      <c r="E1309">
        <v>200000000</v>
      </c>
      <c r="F1309" t="s">
        <v>166</v>
      </c>
      <c r="G1309" t="s">
        <v>166</v>
      </c>
      <c r="H1309" t="s">
        <v>160</v>
      </c>
    </row>
    <row r="1310" spans="1:8" x14ac:dyDescent="0.2">
      <c r="A1310" t="s">
        <v>674</v>
      </c>
      <c r="B1310" t="s">
        <v>2511</v>
      </c>
      <c r="C1310" t="s">
        <v>578</v>
      </c>
      <c r="D1310" t="s">
        <v>136</v>
      </c>
      <c r="E1310">
        <v>9569900</v>
      </c>
      <c r="F1310" t="s">
        <v>260</v>
      </c>
      <c r="G1310" t="s">
        <v>183</v>
      </c>
      <c r="H1310" t="s">
        <v>184</v>
      </c>
    </row>
    <row r="1311" spans="1:8" x14ac:dyDescent="0.2">
      <c r="A1311" t="s">
        <v>2512</v>
      </c>
      <c r="B1311" t="s">
        <v>2513</v>
      </c>
      <c r="C1311" t="s">
        <v>166</v>
      </c>
      <c r="D1311" t="s">
        <v>167</v>
      </c>
      <c r="E1311">
        <v>193606205</v>
      </c>
      <c r="F1311" t="s">
        <v>166</v>
      </c>
      <c r="G1311" t="s">
        <v>166</v>
      </c>
      <c r="H1311" t="s">
        <v>160</v>
      </c>
    </row>
    <row r="1312" spans="1:8" x14ac:dyDescent="0.2">
      <c r="A1312" t="s">
        <v>2514</v>
      </c>
      <c r="B1312" t="s">
        <v>2515</v>
      </c>
      <c r="C1312" t="s">
        <v>2516</v>
      </c>
      <c r="D1312" t="s">
        <v>136</v>
      </c>
      <c r="E1312">
        <v>70137214</v>
      </c>
      <c r="F1312" t="s">
        <v>159</v>
      </c>
      <c r="G1312" t="s">
        <v>159</v>
      </c>
      <c r="H1312" t="s">
        <v>160</v>
      </c>
    </row>
    <row r="1313" spans="1:8" x14ac:dyDescent="0.2">
      <c r="A1313" t="s">
        <v>2517</v>
      </c>
      <c r="B1313" t="s">
        <v>2518</v>
      </c>
      <c r="C1313" t="s">
        <v>166</v>
      </c>
      <c r="D1313" t="s">
        <v>143</v>
      </c>
      <c r="E1313">
        <v>65007857</v>
      </c>
      <c r="F1313" t="s">
        <v>166</v>
      </c>
      <c r="G1313" t="s">
        <v>166</v>
      </c>
      <c r="H1313" t="s">
        <v>160</v>
      </c>
    </row>
    <row r="1314" spans="1:8" x14ac:dyDescent="0.2">
      <c r="A1314" t="s">
        <v>2519</v>
      </c>
      <c r="B1314" t="s">
        <v>2520</v>
      </c>
      <c r="C1314" t="s">
        <v>355</v>
      </c>
      <c r="D1314" t="s">
        <v>136</v>
      </c>
      <c r="E1314">
        <v>184000000</v>
      </c>
      <c r="F1314" t="s">
        <v>356</v>
      </c>
      <c r="G1314" t="s">
        <v>150</v>
      </c>
      <c r="H1314" t="s">
        <v>145</v>
      </c>
    </row>
    <row r="1315" spans="1:8" x14ac:dyDescent="0.2">
      <c r="A1315" t="s">
        <v>2521</v>
      </c>
      <c r="B1315" t="s">
        <v>2522</v>
      </c>
      <c r="C1315" t="s">
        <v>166</v>
      </c>
      <c r="D1315" t="s">
        <v>143</v>
      </c>
      <c r="E1315">
        <v>30000000</v>
      </c>
      <c r="F1315" t="s">
        <v>166</v>
      </c>
      <c r="G1315" t="s">
        <v>166</v>
      </c>
      <c r="H1315" t="s">
        <v>160</v>
      </c>
    </row>
    <row r="1316" spans="1:8" x14ac:dyDescent="0.2">
      <c r="A1316" t="s">
        <v>674</v>
      </c>
      <c r="B1316" t="s">
        <v>2523</v>
      </c>
      <c r="C1316" t="s">
        <v>903</v>
      </c>
      <c r="D1316" t="s">
        <v>167</v>
      </c>
      <c r="E1316">
        <v>8600000</v>
      </c>
      <c r="F1316" t="s">
        <v>212</v>
      </c>
      <c r="G1316" t="s">
        <v>183</v>
      </c>
      <c r="H1316" t="s">
        <v>184</v>
      </c>
    </row>
    <row r="1317" spans="1:8" x14ac:dyDescent="0.2">
      <c r="A1317" t="s">
        <v>674</v>
      </c>
      <c r="B1317" t="s">
        <v>2524</v>
      </c>
      <c r="C1317" t="s">
        <v>283</v>
      </c>
      <c r="D1317" t="s">
        <v>136</v>
      </c>
      <c r="E1317">
        <v>3800000</v>
      </c>
      <c r="F1317" t="s">
        <v>284</v>
      </c>
      <c r="G1317" t="s">
        <v>183</v>
      </c>
      <c r="H1317" t="s">
        <v>184</v>
      </c>
    </row>
    <row r="1318" spans="1:8" x14ac:dyDescent="0.2">
      <c r="A1318" t="s">
        <v>674</v>
      </c>
      <c r="B1318" t="s">
        <v>2525</v>
      </c>
      <c r="C1318" t="s">
        <v>208</v>
      </c>
      <c r="D1318" t="s">
        <v>136</v>
      </c>
      <c r="E1318">
        <v>15674712</v>
      </c>
      <c r="F1318" t="s">
        <v>195</v>
      </c>
      <c r="G1318" t="s">
        <v>195</v>
      </c>
      <c r="H1318" t="s">
        <v>184</v>
      </c>
    </row>
    <row r="1319" spans="1:8" x14ac:dyDescent="0.2">
      <c r="A1319" t="s">
        <v>2526</v>
      </c>
      <c r="B1319" t="s">
        <v>2527</v>
      </c>
      <c r="C1319" t="s">
        <v>355</v>
      </c>
      <c r="D1319" t="s">
        <v>167</v>
      </c>
      <c r="E1319">
        <v>6315312</v>
      </c>
      <c r="F1319" t="s">
        <v>356</v>
      </c>
      <c r="G1319" t="s">
        <v>150</v>
      </c>
      <c r="H1319" t="s">
        <v>145</v>
      </c>
    </row>
    <row r="1320" spans="1:8" x14ac:dyDescent="0.2">
      <c r="A1320" t="s">
        <v>2528</v>
      </c>
      <c r="B1320" t="s">
        <v>2529</v>
      </c>
      <c r="C1320" t="s">
        <v>1824</v>
      </c>
      <c r="D1320" t="s">
        <v>167</v>
      </c>
      <c r="E1320">
        <v>7255744</v>
      </c>
      <c r="F1320" t="s">
        <v>356</v>
      </c>
      <c r="G1320" t="s">
        <v>150</v>
      </c>
      <c r="H1320" t="s">
        <v>145</v>
      </c>
    </row>
    <row r="1321" spans="1:8" x14ac:dyDescent="0.2">
      <c r="A1321" t="s">
        <v>674</v>
      </c>
      <c r="B1321" t="s">
        <v>2530</v>
      </c>
      <c r="C1321" t="s">
        <v>208</v>
      </c>
      <c r="D1321" t="s">
        <v>136</v>
      </c>
      <c r="E1321">
        <v>16008338</v>
      </c>
      <c r="F1321" t="s">
        <v>195</v>
      </c>
      <c r="G1321" t="s">
        <v>195</v>
      </c>
      <c r="H1321" t="s">
        <v>184</v>
      </c>
    </row>
    <row r="1322" spans="1:8" x14ac:dyDescent="0.2">
      <c r="A1322" t="s">
        <v>2531</v>
      </c>
      <c r="B1322" t="s">
        <v>2532</v>
      </c>
      <c r="C1322" t="s">
        <v>166</v>
      </c>
      <c r="D1322" t="s">
        <v>143</v>
      </c>
      <c r="E1322">
        <v>77741356</v>
      </c>
      <c r="F1322" t="s">
        <v>166</v>
      </c>
      <c r="G1322" t="s">
        <v>166</v>
      </c>
      <c r="H1322" t="s">
        <v>160</v>
      </c>
    </row>
    <row r="1323" spans="1:8" x14ac:dyDescent="0.2">
      <c r="A1323" t="s">
        <v>2533</v>
      </c>
      <c r="B1323" t="s">
        <v>2534</v>
      </c>
      <c r="C1323" t="s">
        <v>2535</v>
      </c>
      <c r="D1323" t="s">
        <v>143</v>
      </c>
      <c r="E1323">
        <v>78594453</v>
      </c>
      <c r="F1323" t="s">
        <v>820</v>
      </c>
      <c r="G1323" t="s">
        <v>138</v>
      </c>
      <c r="H1323" t="s">
        <v>139</v>
      </c>
    </row>
    <row r="1324" spans="1:8" x14ac:dyDescent="0.2">
      <c r="A1324" t="s">
        <v>2536</v>
      </c>
      <c r="B1324" t="s">
        <v>2537</v>
      </c>
      <c r="C1324" t="s">
        <v>355</v>
      </c>
      <c r="D1324" t="s">
        <v>143</v>
      </c>
      <c r="E1324">
        <v>112320017</v>
      </c>
      <c r="F1324" t="s">
        <v>356</v>
      </c>
      <c r="G1324" t="s">
        <v>150</v>
      </c>
      <c r="H1324" t="s">
        <v>145</v>
      </c>
    </row>
    <row r="1325" spans="1:8" x14ac:dyDescent="0.2">
      <c r="A1325" t="s">
        <v>2538</v>
      </c>
      <c r="B1325" t="s">
        <v>2539</v>
      </c>
      <c r="C1325" t="s">
        <v>163</v>
      </c>
      <c r="D1325" t="s">
        <v>136</v>
      </c>
      <c r="E1325">
        <v>3000000</v>
      </c>
      <c r="F1325" t="s">
        <v>137</v>
      </c>
      <c r="G1325" t="s">
        <v>138</v>
      </c>
      <c r="H1325" t="s">
        <v>139</v>
      </c>
    </row>
    <row r="1326" spans="1:8" x14ac:dyDescent="0.2">
      <c r="A1326" t="s">
        <v>2540</v>
      </c>
      <c r="B1326" t="s">
        <v>2541</v>
      </c>
      <c r="C1326" t="s">
        <v>310</v>
      </c>
      <c r="D1326" t="s">
        <v>136</v>
      </c>
      <c r="E1326">
        <v>236600000</v>
      </c>
      <c r="F1326" t="s">
        <v>311</v>
      </c>
      <c r="G1326" t="s">
        <v>312</v>
      </c>
      <c r="H1326" t="s">
        <v>313</v>
      </c>
    </row>
    <row r="1327" spans="1:8" x14ac:dyDescent="0.2">
      <c r="A1327" t="s">
        <v>674</v>
      </c>
      <c r="B1327" t="s">
        <v>2542</v>
      </c>
      <c r="C1327" t="s">
        <v>194</v>
      </c>
      <c r="D1327" t="s">
        <v>136</v>
      </c>
      <c r="E1327">
        <v>6989800</v>
      </c>
      <c r="F1327" t="s">
        <v>195</v>
      </c>
      <c r="G1327" t="s">
        <v>195</v>
      </c>
      <c r="H1327" t="s">
        <v>184</v>
      </c>
    </row>
    <row r="1328" spans="1:8" x14ac:dyDescent="0.2">
      <c r="A1328" t="s">
        <v>2543</v>
      </c>
      <c r="B1328" t="s">
        <v>2544</v>
      </c>
      <c r="C1328" t="s">
        <v>148</v>
      </c>
      <c r="D1328" t="s">
        <v>167</v>
      </c>
      <c r="E1328">
        <v>15000000</v>
      </c>
      <c r="F1328" t="s">
        <v>149</v>
      </c>
      <c r="G1328" t="s">
        <v>150</v>
      </c>
      <c r="H1328" t="s">
        <v>145</v>
      </c>
    </row>
    <row r="1329" spans="1:8" x14ac:dyDescent="0.2">
      <c r="A1329" t="s">
        <v>2545</v>
      </c>
      <c r="B1329" t="s">
        <v>2546</v>
      </c>
      <c r="C1329" t="s">
        <v>310</v>
      </c>
      <c r="D1329" t="s">
        <v>167</v>
      </c>
      <c r="E1329">
        <v>12400000</v>
      </c>
      <c r="F1329" t="s">
        <v>311</v>
      </c>
      <c r="G1329" t="s">
        <v>312</v>
      </c>
      <c r="H1329" t="s">
        <v>313</v>
      </c>
    </row>
    <row r="1330" spans="1:8" x14ac:dyDescent="0.2">
      <c r="A1330" t="s">
        <v>2547</v>
      </c>
      <c r="B1330" t="s">
        <v>2548</v>
      </c>
      <c r="C1330" t="s">
        <v>355</v>
      </c>
      <c r="D1330" t="s">
        <v>136</v>
      </c>
      <c r="E1330">
        <v>18000000</v>
      </c>
      <c r="F1330" t="s">
        <v>356</v>
      </c>
      <c r="G1330" t="s">
        <v>150</v>
      </c>
      <c r="H1330" t="s">
        <v>145</v>
      </c>
    </row>
    <row r="1331" spans="1:8" x14ac:dyDescent="0.2">
      <c r="A1331" t="s">
        <v>2549</v>
      </c>
      <c r="B1331" t="s">
        <v>2550</v>
      </c>
      <c r="C1331" t="s">
        <v>330</v>
      </c>
      <c r="D1331" t="s">
        <v>143</v>
      </c>
      <c r="E1331">
        <v>70000000</v>
      </c>
      <c r="F1331" t="s">
        <v>330</v>
      </c>
      <c r="G1331" t="s">
        <v>312</v>
      </c>
      <c r="H1331" t="s">
        <v>313</v>
      </c>
    </row>
    <row r="1332" spans="1:8" x14ac:dyDescent="0.2">
      <c r="A1332" t="s">
        <v>674</v>
      </c>
      <c r="B1332" t="s">
        <v>2551</v>
      </c>
      <c r="C1332" t="s">
        <v>211</v>
      </c>
      <c r="D1332" t="s">
        <v>143</v>
      </c>
      <c r="E1332">
        <v>158270528</v>
      </c>
      <c r="F1332" t="s">
        <v>212</v>
      </c>
      <c r="G1332" t="s">
        <v>183</v>
      </c>
      <c r="H1332" t="s">
        <v>184</v>
      </c>
    </row>
    <row r="1333" spans="1:8" x14ac:dyDescent="0.2">
      <c r="A1333" t="s">
        <v>2552</v>
      </c>
      <c r="B1333" t="s">
        <v>2553</v>
      </c>
      <c r="C1333" t="s">
        <v>685</v>
      </c>
      <c r="D1333" t="s">
        <v>143</v>
      </c>
      <c r="E1333">
        <v>37287680</v>
      </c>
      <c r="F1333" t="s">
        <v>686</v>
      </c>
      <c r="G1333" t="s">
        <v>686</v>
      </c>
      <c r="H1333" t="s">
        <v>139</v>
      </c>
    </row>
    <row r="1334" spans="1:8" x14ac:dyDescent="0.2">
      <c r="A1334" t="s">
        <v>2554</v>
      </c>
      <c r="B1334" t="s">
        <v>2555</v>
      </c>
      <c r="C1334" t="s">
        <v>200</v>
      </c>
      <c r="D1334" t="s">
        <v>136</v>
      </c>
      <c r="E1334">
        <v>4662350</v>
      </c>
      <c r="F1334" t="s">
        <v>201</v>
      </c>
      <c r="G1334" t="s">
        <v>150</v>
      </c>
      <c r="H1334" t="s">
        <v>145</v>
      </c>
    </row>
    <row r="1335" spans="1:8" x14ac:dyDescent="0.2">
      <c r="A1335" t="s">
        <v>674</v>
      </c>
      <c r="B1335" t="s">
        <v>2556</v>
      </c>
      <c r="C1335" t="s">
        <v>194</v>
      </c>
      <c r="D1335" t="s">
        <v>167</v>
      </c>
      <c r="E1335">
        <v>6000000</v>
      </c>
      <c r="F1335" t="s">
        <v>195</v>
      </c>
      <c r="G1335" t="s">
        <v>195</v>
      </c>
      <c r="H1335" t="s">
        <v>184</v>
      </c>
    </row>
    <row r="1336" spans="1:8" x14ac:dyDescent="0.2">
      <c r="A1336" t="s">
        <v>2557</v>
      </c>
      <c r="B1336" t="s">
        <v>2558</v>
      </c>
      <c r="C1336" t="s">
        <v>166</v>
      </c>
      <c r="D1336" t="s">
        <v>143</v>
      </c>
      <c r="E1336">
        <v>54632348</v>
      </c>
      <c r="F1336" t="s">
        <v>166</v>
      </c>
      <c r="G1336" t="s">
        <v>166</v>
      </c>
      <c r="H1336" t="s">
        <v>160</v>
      </c>
    </row>
    <row r="1337" spans="1:8" x14ac:dyDescent="0.2">
      <c r="A1337" t="s">
        <v>2559</v>
      </c>
      <c r="B1337" t="s">
        <v>2560</v>
      </c>
      <c r="C1337" t="s">
        <v>355</v>
      </c>
      <c r="D1337" t="s">
        <v>143</v>
      </c>
      <c r="E1337">
        <v>49576264</v>
      </c>
      <c r="F1337" t="s">
        <v>356</v>
      </c>
      <c r="G1337" t="s">
        <v>150</v>
      </c>
      <c r="H1337" t="s">
        <v>145</v>
      </c>
    </row>
    <row r="1338" spans="1:8" x14ac:dyDescent="0.2">
      <c r="A1338" t="s">
        <v>2561</v>
      </c>
      <c r="B1338" t="s">
        <v>2562</v>
      </c>
      <c r="C1338" t="s">
        <v>355</v>
      </c>
      <c r="D1338" t="s">
        <v>136</v>
      </c>
      <c r="E1338">
        <v>14490000</v>
      </c>
      <c r="F1338" t="s">
        <v>356</v>
      </c>
      <c r="G1338" t="s">
        <v>150</v>
      </c>
      <c r="H1338" t="s">
        <v>145</v>
      </c>
    </row>
    <row r="1339" spans="1:8" x14ac:dyDescent="0.2">
      <c r="A1339" t="s">
        <v>2563</v>
      </c>
      <c r="B1339" t="s">
        <v>2564</v>
      </c>
      <c r="C1339" t="s">
        <v>142</v>
      </c>
      <c r="D1339" t="s">
        <v>143</v>
      </c>
      <c r="E1339">
        <v>19250000</v>
      </c>
      <c r="F1339" t="s">
        <v>144</v>
      </c>
      <c r="G1339" t="s">
        <v>144</v>
      </c>
      <c r="H1339" t="s">
        <v>145</v>
      </c>
    </row>
    <row r="1340" spans="1:8" x14ac:dyDescent="0.2">
      <c r="A1340" t="s">
        <v>2565</v>
      </c>
      <c r="B1340" t="s">
        <v>2566</v>
      </c>
      <c r="C1340" t="s">
        <v>163</v>
      </c>
      <c r="D1340" t="s">
        <v>167</v>
      </c>
      <c r="E1340">
        <v>122601206</v>
      </c>
      <c r="F1340" t="s">
        <v>137</v>
      </c>
      <c r="G1340" t="s">
        <v>138</v>
      </c>
      <c r="H1340" t="s">
        <v>139</v>
      </c>
    </row>
    <row r="1341" spans="1:8" x14ac:dyDescent="0.2">
      <c r="A1341" t="s">
        <v>2567</v>
      </c>
      <c r="B1341" t="s">
        <v>2568</v>
      </c>
      <c r="C1341" t="s">
        <v>2569</v>
      </c>
      <c r="D1341" t="s">
        <v>143</v>
      </c>
      <c r="E1341">
        <v>110174580</v>
      </c>
      <c r="F1341" t="s">
        <v>269</v>
      </c>
      <c r="G1341" t="s">
        <v>241</v>
      </c>
      <c r="H1341" t="s">
        <v>242</v>
      </c>
    </row>
    <row r="1342" spans="1:8" x14ac:dyDescent="0.2">
      <c r="A1342" t="s">
        <v>2570</v>
      </c>
      <c r="B1342" t="s">
        <v>2571</v>
      </c>
      <c r="C1342" t="s">
        <v>355</v>
      </c>
      <c r="D1342" t="s">
        <v>143</v>
      </c>
      <c r="E1342">
        <v>52500000</v>
      </c>
      <c r="F1342" t="s">
        <v>356</v>
      </c>
      <c r="G1342" t="s">
        <v>150</v>
      </c>
      <c r="H1342" t="s">
        <v>145</v>
      </c>
    </row>
    <row r="1343" spans="1:8" x14ac:dyDescent="0.2">
      <c r="A1343" t="s">
        <v>674</v>
      </c>
      <c r="B1343" t="s">
        <v>2572</v>
      </c>
      <c r="C1343" t="s">
        <v>208</v>
      </c>
      <c r="D1343" t="s">
        <v>136</v>
      </c>
      <c r="E1343">
        <v>5800000</v>
      </c>
      <c r="F1343" t="s">
        <v>195</v>
      </c>
      <c r="G1343" t="s">
        <v>195</v>
      </c>
      <c r="H1343" t="s">
        <v>184</v>
      </c>
    </row>
    <row r="1344" spans="1:8" x14ac:dyDescent="0.2">
      <c r="A1344" t="s">
        <v>674</v>
      </c>
      <c r="B1344" t="s">
        <v>2573</v>
      </c>
      <c r="C1344" t="s">
        <v>211</v>
      </c>
      <c r="D1344" t="s">
        <v>136</v>
      </c>
      <c r="E1344">
        <v>7100000</v>
      </c>
      <c r="F1344" t="s">
        <v>212</v>
      </c>
      <c r="G1344" t="s">
        <v>183</v>
      </c>
      <c r="H1344" t="s">
        <v>184</v>
      </c>
    </row>
    <row r="1345" spans="1:8" x14ac:dyDescent="0.2">
      <c r="A1345" t="s">
        <v>2574</v>
      </c>
      <c r="B1345" t="s">
        <v>2575</v>
      </c>
      <c r="C1345" t="s">
        <v>355</v>
      </c>
      <c r="D1345" t="s">
        <v>136</v>
      </c>
      <c r="E1345">
        <v>20000000</v>
      </c>
      <c r="F1345" t="s">
        <v>356</v>
      </c>
      <c r="G1345" t="s">
        <v>150</v>
      </c>
      <c r="H1345" t="s">
        <v>145</v>
      </c>
    </row>
    <row r="1346" spans="1:8" x14ac:dyDescent="0.2">
      <c r="A1346" t="s">
        <v>2576</v>
      </c>
      <c r="B1346" t="s">
        <v>2577</v>
      </c>
      <c r="C1346" t="s">
        <v>149</v>
      </c>
      <c r="D1346" t="s">
        <v>143</v>
      </c>
      <c r="E1346">
        <v>51000000</v>
      </c>
      <c r="F1346" t="s">
        <v>149</v>
      </c>
      <c r="G1346" t="s">
        <v>150</v>
      </c>
      <c r="H1346" t="s">
        <v>145</v>
      </c>
    </row>
    <row r="1347" spans="1:8" x14ac:dyDescent="0.2">
      <c r="A1347" t="s">
        <v>2578</v>
      </c>
      <c r="B1347" t="s">
        <v>2579</v>
      </c>
      <c r="C1347" t="s">
        <v>387</v>
      </c>
      <c r="D1347" t="s">
        <v>136</v>
      </c>
      <c r="E1347">
        <v>16000000</v>
      </c>
      <c r="F1347" t="s">
        <v>311</v>
      </c>
      <c r="G1347" t="s">
        <v>312</v>
      </c>
      <c r="H1347" t="s">
        <v>313</v>
      </c>
    </row>
    <row r="1348" spans="1:8" x14ac:dyDescent="0.2">
      <c r="A1348" t="s">
        <v>2580</v>
      </c>
      <c r="B1348" t="s">
        <v>2581</v>
      </c>
      <c r="C1348" t="s">
        <v>519</v>
      </c>
      <c r="D1348" t="s">
        <v>136</v>
      </c>
      <c r="E1348">
        <v>25350000</v>
      </c>
      <c r="F1348" t="s">
        <v>229</v>
      </c>
      <c r="G1348" t="s">
        <v>229</v>
      </c>
      <c r="H1348" t="s">
        <v>217</v>
      </c>
    </row>
    <row r="1349" spans="1:8" x14ac:dyDescent="0.2">
      <c r="A1349" t="s">
        <v>2582</v>
      </c>
      <c r="B1349" t="s">
        <v>2583</v>
      </c>
      <c r="C1349" t="s">
        <v>1920</v>
      </c>
      <c r="D1349" t="s">
        <v>136</v>
      </c>
      <c r="E1349">
        <v>30999886</v>
      </c>
      <c r="F1349" t="s">
        <v>1921</v>
      </c>
      <c r="G1349" t="s">
        <v>496</v>
      </c>
      <c r="H1349" t="s">
        <v>496</v>
      </c>
    </row>
    <row r="1350" spans="1:8" x14ac:dyDescent="0.2">
      <c r="A1350" t="s">
        <v>674</v>
      </c>
      <c r="B1350" t="s">
        <v>2584</v>
      </c>
      <c r="C1350" t="s">
        <v>903</v>
      </c>
      <c r="D1350" t="s">
        <v>167</v>
      </c>
      <c r="E1350">
        <v>8370795</v>
      </c>
      <c r="F1350" t="s">
        <v>212</v>
      </c>
      <c r="G1350" t="s">
        <v>183</v>
      </c>
      <c r="H1350" t="s">
        <v>184</v>
      </c>
    </row>
    <row r="1351" spans="1:8" x14ac:dyDescent="0.2">
      <c r="A1351" t="s">
        <v>2585</v>
      </c>
      <c r="B1351" t="s">
        <v>2586</v>
      </c>
      <c r="C1351" t="s">
        <v>387</v>
      </c>
      <c r="D1351" t="s">
        <v>136</v>
      </c>
      <c r="E1351">
        <v>7978150</v>
      </c>
      <c r="F1351" t="s">
        <v>311</v>
      </c>
      <c r="G1351" t="s">
        <v>312</v>
      </c>
      <c r="H1351" t="s">
        <v>313</v>
      </c>
    </row>
    <row r="1352" spans="1:8" x14ac:dyDescent="0.2">
      <c r="A1352" t="s">
        <v>2587</v>
      </c>
      <c r="B1352" t="s">
        <v>2588</v>
      </c>
      <c r="C1352" t="s">
        <v>170</v>
      </c>
      <c r="D1352" t="s">
        <v>143</v>
      </c>
      <c r="E1352">
        <v>2201635009</v>
      </c>
      <c r="F1352" t="s">
        <v>170</v>
      </c>
      <c r="G1352" t="s">
        <v>170</v>
      </c>
      <c r="H1352" t="s">
        <v>170</v>
      </c>
    </row>
    <row r="1353" spans="1:8" x14ac:dyDescent="0.2">
      <c r="A1353" t="s">
        <v>2589</v>
      </c>
      <c r="B1353" t="s">
        <v>2590</v>
      </c>
      <c r="C1353" t="s">
        <v>142</v>
      </c>
      <c r="D1353" t="s">
        <v>143</v>
      </c>
      <c r="E1353">
        <v>24430596</v>
      </c>
      <c r="F1353" t="s">
        <v>144</v>
      </c>
      <c r="G1353" t="s">
        <v>144</v>
      </c>
      <c r="H1353" t="s">
        <v>145</v>
      </c>
    </row>
    <row r="1354" spans="1:8" x14ac:dyDescent="0.2">
      <c r="A1354" t="s">
        <v>2591</v>
      </c>
      <c r="B1354" t="s">
        <v>2592</v>
      </c>
      <c r="C1354" t="s">
        <v>215</v>
      </c>
      <c r="D1354" t="s">
        <v>167</v>
      </c>
      <c r="E1354">
        <v>2095985</v>
      </c>
      <c r="F1354" t="s">
        <v>216</v>
      </c>
      <c r="G1354" t="s">
        <v>216</v>
      </c>
      <c r="H1354" t="s">
        <v>217</v>
      </c>
    </row>
    <row r="1355" spans="1:8" x14ac:dyDescent="0.2">
      <c r="A1355" t="s">
        <v>674</v>
      </c>
      <c r="B1355" t="s">
        <v>2593</v>
      </c>
      <c r="C1355" t="s">
        <v>283</v>
      </c>
      <c r="D1355" t="s">
        <v>167</v>
      </c>
      <c r="E1355">
        <v>45000000</v>
      </c>
      <c r="F1355" t="s">
        <v>284</v>
      </c>
      <c r="G1355" t="s">
        <v>183</v>
      </c>
      <c r="H1355" t="s">
        <v>184</v>
      </c>
    </row>
    <row r="1356" spans="1:8" x14ac:dyDescent="0.2">
      <c r="A1356" t="s">
        <v>2594</v>
      </c>
      <c r="B1356" t="s">
        <v>2595</v>
      </c>
      <c r="C1356" t="s">
        <v>434</v>
      </c>
      <c r="D1356" t="s">
        <v>136</v>
      </c>
      <c r="E1356">
        <v>5000000</v>
      </c>
      <c r="F1356" t="s">
        <v>326</v>
      </c>
      <c r="G1356" t="s">
        <v>327</v>
      </c>
      <c r="H1356" t="s">
        <v>217</v>
      </c>
    </row>
    <row r="1357" spans="1:8" x14ac:dyDescent="0.2">
      <c r="A1357" t="s">
        <v>2596</v>
      </c>
      <c r="B1357" t="s">
        <v>2597</v>
      </c>
      <c r="C1357" t="s">
        <v>200</v>
      </c>
      <c r="D1357" t="s">
        <v>136</v>
      </c>
      <c r="E1357">
        <v>3600000</v>
      </c>
      <c r="F1357" t="s">
        <v>201</v>
      </c>
      <c r="G1357" t="s">
        <v>150</v>
      </c>
      <c r="H1357" t="s">
        <v>145</v>
      </c>
    </row>
    <row r="1358" spans="1:8" x14ac:dyDescent="0.2">
      <c r="A1358" t="s">
        <v>2598</v>
      </c>
      <c r="B1358" t="s">
        <v>2599</v>
      </c>
      <c r="C1358" t="s">
        <v>387</v>
      </c>
      <c r="D1358" t="s">
        <v>136</v>
      </c>
      <c r="E1358">
        <v>8933200</v>
      </c>
      <c r="F1358" t="s">
        <v>311</v>
      </c>
      <c r="G1358" t="s">
        <v>312</v>
      </c>
      <c r="H1358" t="s">
        <v>313</v>
      </c>
    </row>
    <row r="1359" spans="1:8" x14ac:dyDescent="0.2">
      <c r="A1359" t="s">
        <v>674</v>
      </c>
      <c r="B1359" t="s">
        <v>2600</v>
      </c>
      <c r="C1359" t="s">
        <v>211</v>
      </c>
      <c r="D1359" t="s">
        <v>136</v>
      </c>
      <c r="E1359">
        <v>4592490</v>
      </c>
      <c r="F1359" t="s">
        <v>212</v>
      </c>
      <c r="G1359" t="s">
        <v>183</v>
      </c>
      <c r="H1359" t="s">
        <v>184</v>
      </c>
    </row>
    <row r="1360" spans="1:8" x14ac:dyDescent="0.2">
      <c r="A1360" t="s">
        <v>2601</v>
      </c>
      <c r="B1360" t="s">
        <v>2602</v>
      </c>
      <c r="C1360" t="s">
        <v>240</v>
      </c>
      <c r="D1360" t="s">
        <v>143</v>
      </c>
      <c r="E1360">
        <v>41453673</v>
      </c>
      <c r="F1360" t="s">
        <v>240</v>
      </c>
      <c r="G1360" t="s">
        <v>241</v>
      </c>
      <c r="H1360" t="s">
        <v>242</v>
      </c>
    </row>
    <row r="1361" spans="1:8" x14ac:dyDescent="0.2">
      <c r="A1361" t="s">
        <v>2603</v>
      </c>
      <c r="B1361" t="s">
        <v>2604</v>
      </c>
      <c r="C1361" t="s">
        <v>142</v>
      </c>
      <c r="D1361" t="s">
        <v>143</v>
      </c>
      <c r="E1361">
        <v>30000000</v>
      </c>
      <c r="F1361" t="s">
        <v>144</v>
      </c>
      <c r="G1361" t="s">
        <v>144</v>
      </c>
      <c r="H1361" t="s">
        <v>145</v>
      </c>
    </row>
    <row r="1362" spans="1:8" x14ac:dyDescent="0.2">
      <c r="A1362" t="s">
        <v>674</v>
      </c>
      <c r="B1362" t="s">
        <v>2605</v>
      </c>
      <c r="C1362" t="s">
        <v>826</v>
      </c>
      <c r="D1362" t="s">
        <v>136</v>
      </c>
      <c r="E1362">
        <v>6544268</v>
      </c>
      <c r="F1362" t="s">
        <v>212</v>
      </c>
      <c r="G1362" t="s">
        <v>183</v>
      </c>
      <c r="H1362" t="s">
        <v>184</v>
      </c>
    </row>
    <row r="1363" spans="1:8" x14ac:dyDescent="0.2">
      <c r="A1363" t="s">
        <v>674</v>
      </c>
      <c r="B1363" t="s">
        <v>2606</v>
      </c>
      <c r="C1363" t="s">
        <v>194</v>
      </c>
      <c r="D1363" t="s">
        <v>136</v>
      </c>
      <c r="E1363">
        <v>11000000</v>
      </c>
      <c r="F1363" t="s">
        <v>195</v>
      </c>
      <c r="G1363" t="s">
        <v>195</v>
      </c>
      <c r="H1363" t="s">
        <v>184</v>
      </c>
    </row>
    <row r="1364" spans="1:8" x14ac:dyDescent="0.2">
      <c r="A1364" t="s">
        <v>674</v>
      </c>
      <c r="B1364" t="s">
        <v>2607</v>
      </c>
      <c r="C1364" t="s">
        <v>208</v>
      </c>
      <c r="D1364" t="s">
        <v>136</v>
      </c>
      <c r="E1364">
        <v>3851880</v>
      </c>
      <c r="F1364" t="s">
        <v>195</v>
      </c>
      <c r="G1364" t="s">
        <v>195</v>
      </c>
      <c r="H1364" t="s">
        <v>184</v>
      </c>
    </row>
    <row r="1365" spans="1:8" x14ac:dyDescent="0.2">
      <c r="A1365" t="s">
        <v>2608</v>
      </c>
      <c r="B1365" t="s">
        <v>2609</v>
      </c>
      <c r="C1365" t="s">
        <v>153</v>
      </c>
      <c r="D1365" t="s">
        <v>136</v>
      </c>
      <c r="E1365">
        <v>16160646</v>
      </c>
      <c r="F1365" t="s">
        <v>154</v>
      </c>
      <c r="G1365" t="s">
        <v>155</v>
      </c>
      <c r="H1365" t="s">
        <v>139</v>
      </c>
    </row>
    <row r="1366" spans="1:8" x14ac:dyDescent="0.2">
      <c r="A1366" t="s">
        <v>674</v>
      </c>
      <c r="B1366" t="s">
        <v>3071</v>
      </c>
      <c r="C1366" t="s">
        <v>208</v>
      </c>
      <c r="D1366" t="s">
        <v>136</v>
      </c>
      <c r="E1366">
        <v>35000000</v>
      </c>
      <c r="F1366" t="s">
        <v>195</v>
      </c>
      <c r="G1366" t="s">
        <v>195</v>
      </c>
      <c r="H1366" t="s">
        <v>184</v>
      </c>
    </row>
    <row r="1367" spans="1:8" x14ac:dyDescent="0.2">
      <c r="A1367" t="s">
        <v>674</v>
      </c>
      <c r="B1367" t="s">
        <v>2610</v>
      </c>
      <c r="C1367" t="s">
        <v>578</v>
      </c>
      <c r="D1367" t="s">
        <v>167</v>
      </c>
      <c r="E1367">
        <v>6745480</v>
      </c>
      <c r="F1367" t="s">
        <v>260</v>
      </c>
      <c r="G1367" t="s">
        <v>183</v>
      </c>
      <c r="H1367" t="s">
        <v>184</v>
      </c>
    </row>
    <row r="1368" spans="1:8" x14ac:dyDescent="0.2">
      <c r="A1368" t="s">
        <v>2611</v>
      </c>
      <c r="B1368" t="s">
        <v>2612</v>
      </c>
      <c r="C1368" t="s">
        <v>293</v>
      </c>
      <c r="D1368" t="s">
        <v>143</v>
      </c>
      <c r="E1368">
        <v>196858925</v>
      </c>
      <c r="F1368" t="s">
        <v>144</v>
      </c>
      <c r="G1368" t="s">
        <v>144</v>
      </c>
      <c r="H1368" t="s">
        <v>145</v>
      </c>
    </row>
    <row r="1369" spans="1:8" x14ac:dyDescent="0.2">
      <c r="A1369" t="s">
        <v>2613</v>
      </c>
      <c r="B1369" t="s">
        <v>2614</v>
      </c>
      <c r="C1369" t="s">
        <v>434</v>
      </c>
      <c r="D1369" t="s">
        <v>136</v>
      </c>
      <c r="E1369">
        <v>1300000</v>
      </c>
      <c r="F1369" t="s">
        <v>326</v>
      </c>
      <c r="G1369" t="s">
        <v>327</v>
      </c>
      <c r="H1369" t="s">
        <v>217</v>
      </c>
    </row>
    <row r="1370" spans="1:8" x14ac:dyDescent="0.2">
      <c r="A1370" t="s">
        <v>674</v>
      </c>
      <c r="B1370" t="s">
        <v>2615</v>
      </c>
      <c r="C1370" t="s">
        <v>211</v>
      </c>
      <c r="D1370" t="s">
        <v>136</v>
      </c>
      <c r="E1370">
        <v>3074100</v>
      </c>
      <c r="F1370" t="s">
        <v>212</v>
      </c>
      <c r="G1370" t="s">
        <v>183</v>
      </c>
      <c r="H1370" t="s">
        <v>184</v>
      </c>
    </row>
    <row r="1371" spans="1:8" x14ac:dyDescent="0.2">
      <c r="A1371" t="s">
        <v>2616</v>
      </c>
      <c r="B1371" t="s">
        <v>2617</v>
      </c>
      <c r="C1371" t="s">
        <v>434</v>
      </c>
      <c r="D1371" t="s">
        <v>136</v>
      </c>
      <c r="E1371">
        <v>74800000</v>
      </c>
      <c r="F1371" t="s">
        <v>326</v>
      </c>
      <c r="G1371" t="s">
        <v>327</v>
      </c>
      <c r="H1371" t="s">
        <v>217</v>
      </c>
    </row>
    <row r="1372" spans="1:8" x14ac:dyDescent="0.2">
      <c r="A1372" t="s">
        <v>2618</v>
      </c>
      <c r="B1372" t="s">
        <v>2619</v>
      </c>
      <c r="C1372" t="s">
        <v>692</v>
      </c>
      <c r="D1372" t="s">
        <v>136</v>
      </c>
      <c r="E1372">
        <v>4800000</v>
      </c>
      <c r="F1372" t="s">
        <v>693</v>
      </c>
      <c r="G1372" t="s">
        <v>668</v>
      </c>
      <c r="H1372" t="s">
        <v>668</v>
      </c>
    </row>
    <row r="1373" spans="1:8" x14ac:dyDescent="0.2">
      <c r="A1373" t="s">
        <v>3153</v>
      </c>
      <c r="B1373" t="s">
        <v>3154</v>
      </c>
      <c r="C1373" t="s">
        <v>237</v>
      </c>
      <c r="D1373" t="s">
        <v>136</v>
      </c>
      <c r="E1373">
        <v>20545800</v>
      </c>
      <c r="F1373" t="s">
        <v>154</v>
      </c>
      <c r="G1373" t="s">
        <v>155</v>
      </c>
      <c r="H1373" t="s">
        <v>139</v>
      </c>
    </row>
    <row r="1374" spans="1:8" x14ac:dyDescent="0.2">
      <c r="A1374" t="s">
        <v>3141</v>
      </c>
      <c r="B1374" t="s">
        <v>3142</v>
      </c>
      <c r="C1374" t="s">
        <v>330</v>
      </c>
      <c r="D1374" t="s">
        <v>143</v>
      </c>
      <c r="E1374">
        <v>170057593</v>
      </c>
      <c r="F1374" t="s">
        <v>330</v>
      </c>
      <c r="G1374" t="s">
        <v>312</v>
      </c>
      <c r="H1374" t="s">
        <v>313</v>
      </c>
    </row>
    <row r="1375" spans="1:8" x14ac:dyDescent="0.2">
      <c r="A1375" t="s">
        <v>674</v>
      </c>
      <c r="B1375" t="s">
        <v>2620</v>
      </c>
      <c r="C1375" t="s">
        <v>194</v>
      </c>
      <c r="D1375" t="s">
        <v>136</v>
      </c>
      <c r="E1375">
        <v>101509583</v>
      </c>
      <c r="F1375" t="s">
        <v>195</v>
      </c>
      <c r="G1375" t="s">
        <v>195</v>
      </c>
      <c r="H1375" t="s">
        <v>184</v>
      </c>
    </row>
    <row r="1376" spans="1:8" x14ac:dyDescent="0.2">
      <c r="A1376" t="s">
        <v>674</v>
      </c>
      <c r="B1376" t="s">
        <v>2621</v>
      </c>
      <c r="C1376" t="s">
        <v>194</v>
      </c>
      <c r="D1376" t="s">
        <v>167</v>
      </c>
      <c r="E1376">
        <v>5992348</v>
      </c>
      <c r="F1376" t="s">
        <v>195</v>
      </c>
      <c r="G1376" t="s">
        <v>195</v>
      </c>
      <c r="H1376" t="s">
        <v>184</v>
      </c>
    </row>
    <row r="1377" spans="1:8" x14ac:dyDescent="0.2">
      <c r="A1377" t="s">
        <v>2622</v>
      </c>
      <c r="B1377" t="s">
        <v>2623</v>
      </c>
      <c r="C1377" t="s">
        <v>2569</v>
      </c>
      <c r="D1377" t="s">
        <v>136</v>
      </c>
      <c r="E1377">
        <v>15552000</v>
      </c>
      <c r="F1377" t="s">
        <v>269</v>
      </c>
      <c r="G1377" t="s">
        <v>241</v>
      </c>
      <c r="H1377" t="s">
        <v>242</v>
      </c>
    </row>
    <row r="1378" spans="1:8" x14ac:dyDescent="0.2">
      <c r="A1378" t="s">
        <v>2624</v>
      </c>
      <c r="B1378" t="s">
        <v>2625</v>
      </c>
      <c r="C1378" t="s">
        <v>330</v>
      </c>
      <c r="D1378" t="s">
        <v>143</v>
      </c>
      <c r="E1378">
        <v>28490400</v>
      </c>
      <c r="F1378" t="s">
        <v>330</v>
      </c>
      <c r="G1378" t="s">
        <v>312</v>
      </c>
      <c r="H1378" t="s">
        <v>313</v>
      </c>
    </row>
    <row r="1379" spans="1:8" x14ac:dyDescent="0.2">
      <c r="A1379" t="s">
        <v>2626</v>
      </c>
      <c r="B1379" t="s">
        <v>2627</v>
      </c>
      <c r="C1379" t="s">
        <v>200</v>
      </c>
      <c r="D1379" t="s">
        <v>143</v>
      </c>
      <c r="E1379">
        <v>393548302</v>
      </c>
      <c r="F1379" t="s">
        <v>201</v>
      </c>
      <c r="G1379" t="s">
        <v>150</v>
      </c>
      <c r="H1379" t="s">
        <v>145</v>
      </c>
    </row>
    <row r="1380" spans="1:8" x14ac:dyDescent="0.2">
      <c r="A1380" t="s">
        <v>2628</v>
      </c>
      <c r="B1380" t="s">
        <v>2629</v>
      </c>
      <c r="C1380" t="s">
        <v>163</v>
      </c>
      <c r="D1380" t="s">
        <v>136</v>
      </c>
      <c r="E1380">
        <v>2000000</v>
      </c>
      <c r="F1380" t="s">
        <v>137</v>
      </c>
      <c r="G1380" t="s">
        <v>138</v>
      </c>
      <c r="H1380" t="s">
        <v>139</v>
      </c>
    </row>
    <row r="1381" spans="1:8" x14ac:dyDescent="0.2">
      <c r="A1381" t="s">
        <v>2630</v>
      </c>
      <c r="B1381" t="s">
        <v>2631</v>
      </c>
      <c r="C1381" t="s">
        <v>2632</v>
      </c>
      <c r="D1381" t="s">
        <v>167</v>
      </c>
      <c r="E1381">
        <v>37374846</v>
      </c>
      <c r="F1381" t="s">
        <v>229</v>
      </c>
      <c r="G1381" t="s">
        <v>229</v>
      </c>
      <c r="H1381" t="s">
        <v>217</v>
      </c>
    </row>
    <row r="1382" spans="1:8" x14ac:dyDescent="0.2">
      <c r="A1382" t="s">
        <v>674</v>
      </c>
      <c r="B1382" t="s">
        <v>2633</v>
      </c>
      <c r="C1382" t="s">
        <v>208</v>
      </c>
      <c r="D1382" t="s">
        <v>167</v>
      </c>
      <c r="E1382">
        <v>41908000</v>
      </c>
      <c r="F1382" t="s">
        <v>195</v>
      </c>
      <c r="G1382" t="s">
        <v>195</v>
      </c>
      <c r="H1382" t="s">
        <v>184</v>
      </c>
    </row>
    <row r="1383" spans="1:8" x14ac:dyDescent="0.2">
      <c r="A1383" t="s">
        <v>2634</v>
      </c>
      <c r="B1383" t="s">
        <v>2635</v>
      </c>
      <c r="C1383" t="s">
        <v>1063</v>
      </c>
      <c r="D1383" t="s">
        <v>136</v>
      </c>
      <c r="E1383">
        <v>36727500</v>
      </c>
      <c r="F1383" t="s">
        <v>1063</v>
      </c>
      <c r="G1383" t="s">
        <v>174</v>
      </c>
      <c r="H1383" t="s">
        <v>174</v>
      </c>
    </row>
    <row r="1384" spans="1:8" x14ac:dyDescent="0.2">
      <c r="A1384" t="s">
        <v>674</v>
      </c>
      <c r="B1384" t="s">
        <v>2636</v>
      </c>
      <c r="C1384" t="s">
        <v>283</v>
      </c>
      <c r="D1384" t="s">
        <v>136</v>
      </c>
      <c r="E1384">
        <v>14999998</v>
      </c>
      <c r="F1384" t="s">
        <v>284</v>
      </c>
      <c r="G1384" t="s">
        <v>183</v>
      </c>
      <c r="H1384" t="s">
        <v>184</v>
      </c>
    </row>
    <row r="1385" spans="1:8" x14ac:dyDescent="0.2">
      <c r="A1385" t="s">
        <v>2637</v>
      </c>
      <c r="B1385" t="s">
        <v>2638</v>
      </c>
      <c r="C1385" t="s">
        <v>355</v>
      </c>
      <c r="D1385" t="s">
        <v>136</v>
      </c>
      <c r="E1385">
        <v>50800000</v>
      </c>
      <c r="F1385" t="s">
        <v>356</v>
      </c>
      <c r="G1385" t="s">
        <v>150</v>
      </c>
      <c r="H1385" t="s">
        <v>145</v>
      </c>
    </row>
    <row r="1386" spans="1:8" x14ac:dyDescent="0.2">
      <c r="A1386" t="s">
        <v>2639</v>
      </c>
      <c r="B1386" t="s">
        <v>2640</v>
      </c>
      <c r="C1386" t="s">
        <v>434</v>
      </c>
      <c r="D1386" t="s">
        <v>167</v>
      </c>
      <c r="E1386">
        <v>4570210</v>
      </c>
      <c r="F1386" t="s">
        <v>326</v>
      </c>
      <c r="G1386" t="s">
        <v>327</v>
      </c>
      <c r="H1386" t="s">
        <v>217</v>
      </c>
    </row>
    <row r="1387" spans="1:8" x14ac:dyDescent="0.2">
      <c r="A1387" t="s">
        <v>674</v>
      </c>
      <c r="B1387" t="s">
        <v>2641</v>
      </c>
      <c r="C1387" t="s">
        <v>194</v>
      </c>
      <c r="D1387" t="s">
        <v>136</v>
      </c>
      <c r="E1387">
        <v>7570444</v>
      </c>
      <c r="F1387" t="s">
        <v>195</v>
      </c>
      <c r="G1387" t="s">
        <v>195</v>
      </c>
      <c r="H1387" t="s">
        <v>184</v>
      </c>
    </row>
    <row r="1388" spans="1:8" x14ac:dyDescent="0.2">
      <c r="A1388" t="s">
        <v>674</v>
      </c>
      <c r="B1388" t="s">
        <v>2642</v>
      </c>
      <c r="C1388" t="s">
        <v>211</v>
      </c>
      <c r="D1388" t="s">
        <v>136</v>
      </c>
      <c r="E1388">
        <v>2700000</v>
      </c>
      <c r="F1388" t="s">
        <v>212</v>
      </c>
      <c r="G1388" t="s">
        <v>183</v>
      </c>
      <c r="H1388" t="s">
        <v>184</v>
      </c>
    </row>
    <row r="1389" spans="1:8" x14ac:dyDescent="0.2">
      <c r="A1389" t="s">
        <v>674</v>
      </c>
      <c r="B1389" t="s">
        <v>2643</v>
      </c>
      <c r="C1389" t="s">
        <v>181</v>
      </c>
      <c r="D1389" t="s">
        <v>136</v>
      </c>
      <c r="E1389">
        <v>26691319</v>
      </c>
      <c r="F1389" t="s">
        <v>182</v>
      </c>
      <c r="G1389" t="s">
        <v>183</v>
      </c>
      <c r="H1389" t="s">
        <v>184</v>
      </c>
    </row>
    <row r="1390" spans="1:8" x14ac:dyDescent="0.2">
      <c r="A1390" t="s">
        <v>674</v>
      </c>
      <c r="B1390" t="s">
        <v>2644</v>
      </c>
      <c r="C1390" t="s">
        <v>181</v>
      </c>
      <c r="D1390" t="s">
        <v>143</v>
      </c>
      <c r="E1390">
        <v>67526165</v>
      </c>
      <c r="F1390" t="s">
        <v>182</v>
      </c>
      <c r="G1390" t="s">
        <v>183</v>
      </c>
      <c r="H1390" t="s">
        <v>184</v>
      </c>
    </row>
    <row r="1391" spans="1:8" x14ac:dyDescent="0.2">
      <c r="A1391" t="s">
        <v>674</v>
      </c>
      <c r="B1391" t="s">
        <v>2645</v>
      </c>
      <c r="C1391" t="s">
        <v>208</v>
      </c>
      <c r="D1391" t="s">
        <v>167</v>
      </c>
      <c r="E1391">
        <v>9517303</v>
      </c>
      <c r="F1391" t="s">
        <v>195</v>
      </c>
      <c r="G1391" t="s">
        <v>195</v>
      </c>
      <c r="H1391" t="s">
        <v>184</v>
      </c>
    </row>
    <row r="1392" spans="1:8" x14ac:dyDescent="0.2">
      <c r="A1392" t="s">
        <v>674</v>
      </c>
      <c r="B1392" t="s">
        <v>2646</v>
      </c>
      <c r="C1392" t="s">
        <v>181</v>
      </c>
      <c r="D1392" t="s">
        <v>167</v>
      </c>
      <c r="E1392">
        <v>19846016</v>
      </c>
      <c r="F1392" t="s">
        <v>182</v>
      </c>
      <c r="G1392" t="s">
        <v>183</v>
      </c>
      <c r="H1392" t="s">
        <v>184</v>
      </c>
    </row>
    <row r="1393" spans="1:8" x14ac:dyDescent="0.2">
      <c r="A1393" t="s">
        <v>2647</v>
      </c>
      <c r="B1393" t="s">
        <v>2648</v>
      </c>
      <c r="C1393" t="s">
        <v>316</v>
      </c>
      <c r="D1393" t="s">
        <v>136</v>
      </c>
      <c r="E1393">
        <v>3000000</v>
      </c>
      <c r="F1393" t="s">
        <v>229</v>
      </c>
      <c r="G1393" t="s">
        <v>229</v>
      </c>
      <c r="H1393" t="s">
        <v>217</v>
      </c>
    </row>
    <row r="1394" spans="1:8" x14ac:dyDescent="0.2">
      <c r="A1394" t="s">
        <v>674</v>
      </c>
      <c r="B1394" t="s">
        <v>2649</v>
      </c>
      <c r="C1394" t="s">
        <v>194</v>
      </c>
      <c r="D1394" t="s">
        <v>136</v>
      </c>
      <c r="E1394">
        <v>6300000</v>
      </c>
      <c r="F1394" t="s">
        <v>195</v>
      </c>
      <c r="G1394" t="s">
        <v>195</v>
      </c>
      <c r="H1394" t="s">
        <v>184</v>
      </c>
    </row>
    <row r="1395" spans="1:8" x14ac:dyDescent="0.2">
      <c r="A1395" t="s">
        <v>2650</v>
      </c>
      <c r="B1395" t="s">
        <v>2651</v>
      </c>
      <c r="C1395" t="s">
        <v>158</v>
      </c>
      <c r="D1395" t="s">
        <v>143</v>
      </c>
      <c r="E1395">
        <v>112097019</v>
      </c>
      <c r="F1395" t="s">
        <v>159</v>
      </c>
      <c r="G1395" t="s">
        <v>159</v>
      </c>
      <c r="H1395" t="s">
        <v>160</v>
      </c>
    </row>
    <row r="1396" spans="1:8" x14ac:dyDescent="0.2">
      <c r="A1396" t="s">
        <v>2652</v>
      </c>
      <c r="B1396" t="s">
        <v>2653</v>
      </c>
      <c r="C1396" t="s">
        <v>367</v>
      </c>
      <c r="D1396" t="s">
        <v>167</v>
      </c>
      <c r="E1396">
        <v>118610670</v>
      </c>
      <c r="F1396" t="s">
        <v>159</v>
      </c>
      <c r="G1396" t="s">
        <v>159</v>
      </c>
      <c r="H1396" t="s">
        <v>160</v>
      </c>
    </row>
    <row r="1397" spans="1:8" x14ac:dyDescent="0.2">
      <c r="A1397" t="s">
        <v>2654</v>
      </c>
      <c r="B1397" t="s">
        <v>2655</v>
      </c>
      <c r="C1397" t="s">
        <v>148</v>
      </c>
      <c r="D1397" t="s">
        <v>167</v>
      </c>
      <c r="E1397">
        <v>44962864</v>
      </c>
      <c r="F1397" t="s">
        <v>149</v>
      </c>
      <c r="G1397" t="s">
        <v>150</v>
      </c>
      <c r="H1397" t="s">
        <v>145</v>
      </c>
    </row>
    <row r="1398" spans="1:8" x14ac:dyDescent="0.2">
      <c r="A1398" t="s">
        <v>674</v>
      </c>
      <c r="B1398" t="s">
        <v>2656</v>
      </c>
      <c r="C1398" t="s">
        <v>208</v>
      </c>
      <c r="D1398" t="s">
        <v>136</v>
      </c>
      <c r="E1398">
        <v>2029589</v>
      </c>
      <c r="F1398" t="s">
        <v>195</v>
      </c>
      <c r="G1398" t="s">
        <v>195</v>
      </c>
      <c r="H1398" t="s">
        <v>184</v>
      </c>
    </row>
    <row r="1399" spans="1:8" x14ac:dyDescent="0.2">
      <c r="A1399" t="s">
        <v>674</v>
      </c>
      <c r="B1399" t="s">
        <v>2657</v>
      </c>
      <c r="C1399" t="s">
        <v>208</v>
      </c>
      <c r="D1399" t="s">
        <v>136</v>
      </c>
      <c r="E1399">
        <v>4004000</v>
      </c>
      <c r="F1399" t="s">
        <v>195</v>
      </c>
      <c r="G1399" t="s">
        <v>195</v>
      </c>
      <c r="H1399" t="s">
        <v>184</v>
      </c>
    </row>
    <row r="1400" spans="1:8" x14ac:dyDescent="0.2">
      <c r="A1400" t="s">
        <v>674</v>
      </c>
      <c r="B1400" t="s">
        <v>2658</v>
      </c>
      <c r="C1400" t="s">
        <v>181</v>
      </c>
      <c r="D1400" t="s">
        <v>136</v>
      </c>
      <c r="E1400">
        <v>2400000</v>
      </c>
      <c r="F1400" t="s">
        <v>182</v>
      </c>
      <c r="G1400" t="s">
        <v>183</v>
      </c>
      <c r="H1400" t="s">
        <v>184</v>
      </c>
    </row>
    <row r="1401" spans="1:8" x14ac:dyDescent="0.2">
      <c r="A1401" t="s">
        <v>2659</v>
      </c>
      <c r="B1401" t="s">
        <v>2660</v>
      </c>
      <c r="C1401" t="s">
        <v>355</v>
      </c>
      <c r="D1401" t="s">
        <v>136</v>
      </c>
      <c r="E1401">
        <v>678000000</v>
      </c>
      <c r="F1401" t="s">
        <v>356</v>
      </c>
      <c r="G1401" t="s">
        <v>150</v>
      </c>
      <c r="H1401" t="s">
        <v>145</v>
      </c>
    </row>
    <row r="1402" spans="1:8" x14ac:dyDescent="0.2">
      <c r="A1402" t="s">
        <v>2661</v>
      </c>
      <c r="B1402" t="s">
        <v>2662</v>
      </c>
      <c r="C1402" t="s">
        <v>158</v>
      </c>
      <c r="D1402" t="s">
        <v>143</v>
      </c>
      <c r="E1402">
        <v>166995274</v>
      </c>
      <c r="F1402" t="s">
        <v>159</v>
      </c>
      <c r="G1402" t="s">
        <v>159</v>
      </c>
      <c r="H1402" t="s">
        <v>160</v>
      </c>
    </row>
    <row r="1403" spans="1:8" x14ac:dyDescent="0.2">
      <c r="A1403" t="s">
        <v>2663</v>
      </c>
      <c r="B1403" t="s">
        <v>2664</v>
      </c>
      <c r="C1403" t="s">
        <v>163</v>
      </c>
      <c r="D1403" t="s">
        <v>143</v>
      </c>
      <c r="E1403">
        <v>21000000</v>
      </c>
      <c r="F1403" t="s">
        <v>137</v>
      </c>
      <c r="G1403" t="s">
        <v>138</v>
      </c>
      <c r="H1403" t="s">
        <v>139</v>
      </c>
    </row>
    <row r="1404" spans="1:8" x14ac:dyDescent="0.2">
      <c r="A1404" t="s">
        <v>2665</v>
      </c>
      <c r="B1404" t="s">
        <v>2666</v>
      </c>
      <c r="C1404" t="s">
        <v>240</v>
      </c>
      <c r="D1404" t="s">
        <v>136</v>
      </c>
      <c r="E1404">
        <v>1750000</v>
      </c>
      <c r="F1404" t="s">
        <v>240</v>
      </c>
      <c r="G1404" t="s">
        <v>241</v>
      </c>
      <c r="H1404" t="s">
        <v>242</v>
      </c>
    </row>
    <row r="1405" spans="1:8" x14ac:dyDescent="0.2">
      <c r="A1405" t="s">
        <v>674</v>
      </c>
      <c r="B1405" t="s">
        <v>2667</v>
      </c>
      <c r="C1405" t="s">
        <v>194</v>
      </c>
      <c r="D1405" t="s">
        <v>167</v>
      </c>
      <c r="E1405">
        <v>7000000</v>
      </c>
      <c r="F1405" t="s">
        <v>195</v>
      </c>
      <c r="G1405" t="s">
        <v>195</v>
      </c>
      <c r="H1405" t="s">
        <v>184</v>
      </c>
    </row>
    <row r="1406" spans="1:8" x14ac:dyDescent="0.2">
      <c r="A1406" t="s">
        <v>674</v>
      </c>
      <c r="B1406" t="s">
        <v>2669</v>
      </c>
      <c r="C1406" t="s">
        <v>578</v>
      </c>
      <c r="D1406" t="s">
        <v>143</v>
      </c>
      <c r="E1406">
        <v>6134773</v>
      </c>
      <c r="F1406" t="s">
        <v>260</v>
      </c>
      <c r="G1406" t="s">
        <v>183</v>
      </c>
      <c r="H1406" t="s">
        <v>184</v>
      </c>
    </row>
    <row r="1407" spans="1:8" x14ac:dyDescent="0.2">
      <c r="A1407" t="s">
        <v>674</v>
      </c>
      <c r="B1407" t="s">
        <v>2670</v>
      </c>
      <c r="C1407" t="s">
        <v>441</v>
      </c>
      <c r="D1407" t="s">
        <v>136</v>
      </c>
      <c r="E1407">
        <v>5344345</v>
      </c>
      <c r="F1407" t="s">
        <v>182</v>
      </c>
      <c r="G1407" t="s">
        <v>183</v>
      </c>
      <c r="H1407" t="s">
        <v>184</v>
      </c>
    </row>
    <row r="1408" spans="1:8" x14ac:dyDescent="0.2">
      <c r="A1408" t="s">
        <v>674</v>
      </c>
      <c r="B1408" t="s">
        <v>2671</v>
      </c>
      <c r="C1408" t="s">
        <v>208</v>
      </c>
      <c r="D1408" t="s">
        <v>136</v>
      </c>
      <c r="E1408">
        <v>35000000</v>
      </c>
      <c r="F1408" t="s">
        <v>195</v>
      </c>
      <c r="G1408" t="s">
        <v>195</v>
      </c>
      <c r="H1408" t="s">
        <v>184</v>
      </c>
    </row>
    <row r="1409" spans="1:8" x14ac:dyDescent="0.2">
      <c r="A1409" t="s">
        <v>674</v>
      </c>
      <c r="B1409" t="s">
        <v>2672</v>
      </c>
      <c r="C1409" t="s">
        <v>208</v>
      </c>
      <c r="D1409" t="s">
        <v>136</v>
      </c>
      <c r="E1409">
        <v>16500000</v>
      </c>
      <c r="F1409" t="s">
        <v>195</v>
      </c>
      <c r="G1409" t="s">
        <v>195</v>
      </c>
      <c r="H1409" t="s">
        <v>184</v>
      </c>
    </row>
    <row r="1410" spans="1:8" x14ac:dyDescent="0.2">
      <c r="A1410" t="s">
        <v>674</v>
      </c>
      <c r="B1410" t="s">
        <v>2673</v>
      </c>
      <c r="C1410" t="s">
        <v>441</v>
      </c>
      <c r="D1410" t="s">
        <v>136</v>
      </c>
      <c r="E1410">
        <v>6620000</v>
      </c>
      <c r="F1410" t="s">
        <v>182</v>
      </c>
      <c r="G1410" t="s">
        <v>183</v>
      </c>
      <c r="H1410" t="s">
        <v>184</v>
      </c>
    </row>
    <row r="1411" spans="1:8" x14ac:dyDescent="0.2">
      <c r="A1411" t="s">
        <v>674</v>
      </c>
      <c r="B1411" t="s">
        <v>2674</v>
      </c>
      <c r="C1411" t="s">
        <v>289</v>
      </c>
      <c r="D1411" t="s">
        <v>136</v>
      </c>
      <c r="E1411">
        <v>2438100</v>
      </c>
      <c r="F1411" t="s">
        <v>290</v>
      </c>
      <c r="G1411" t="s">
        <v>183</v>
      </c>
      <c r="H1411" t="s">
        <v>184</v>
      </c>
    </row>
    <row r="1412" spans="1:8" x14ac:dyDescent="0.2">
      <c r="A1412" t="s">
        <v>2675</v>
      </c>
      <c r="B1412" t="s">
        <v>2676</v>
      </c>
      <c r="C1412" t="s">
        <v>330</v>
      </c>
      <c r="D1412" t="s">
        <v>143</v>
      </c>
      <c r="E1412">
        <v>8000000</v>
      </c>
      <c r="F1412" t="s">
        <v>330</v>
      </c>
      <c r="G1412" t="s">
        <v>312</v>
      </c>
      <c r="H1412" t="s">
        <v>313</v>
      </c>
    </row>
    <row r="1413" spans="1:8" x14ac:dyDescent="0.2">
      <c r="A1413" t="s">
        <v>674</v>
      </c>
      <c r="B1413" t="s">
        <v>2677</v>
      </c>
      <c r="C1413" t="s">
        <v>208</v>
      </c>
      <c r="D1413" t="s">
        <v>136</v>
      </c>
      <c r="E1413">
        <v>1841617</v>
      </c>
      <c r="F1413" t="s">
        <v>195</v>
      </c>
      <c r="G1413" t="s">
        <v>195</v>
      </c>
      <c r="H1413" t="s">
        <v>184</v>
      </c>
    </row>
    <row r="1414" spans="1:8" x14ac:dyDescent="0.2">
      <c r="A1414" t="s">
        <v>2678</v>
      </c>
      <c r="B1414" t="s">
        <v>2679</v>
      </c>
      <c r="C1414" t="s">
        <v>692</v>
      </c>
      <c r="D1414" t="s">
        <v>167</v>
      </c>
      <c r="E1414">
        <v>15617632</v>
      </c>
      <c r="F1414" t="s">
        <v>693</v>
      </c>
      <c r="G1414" t="s">
        <v>668</v>
      </c>
      <c r="H1414" t="s">
        <v>668</v>
      </c>
    </row>
    <row r="1415" spans="1:8" x14ac:dyDescent="0.2">
      <c r="A1415" t="s">
        <v>2680</v>
      </c>
      <c r="B1415" t="s">
        <v>2681</v>
      </c>
      <c r="C1415" t="s">
        <v>641</v>
      </c>
      <c r="D1415" t="s">
        <v>136</v>
      </c>
      <c r="E1415">
        <v>3400000</v>
      </c>
      <c r="F1415" t="s">
        <v>311</v>
      </c>
      <c r="G1415" t="s">
        <v>312</v>
      </c>
      <c r="H1415" t="s">
        <v>313</v>
      </c>
    </row>
    <row r="1416" spans="1:8" x14ac:dyDescent="0.2">
      <c r="A1416" t="s">
        <v>2682</v>
      </c>
      <c r="B1416" t="s">
        <v>2683</v>
      </c>
      <c r="C1416" t="s">
        <v>240</v>
      </c>
      <c r="D1416" t="s">
        <v>136</v>
      </c>
      <c r="E1416">
        <v>13294641</v>
      </c>
      <c r="F1416" t="s">
        <v>240</v>
      </c>
      <c r="G1416" t="s">
        <v>241</v>
      </c>
      <c r="H1416" t="s">
        <v>242</v>
      </c>
    </row>
    <row r="1417" spans="1:8" x14ac:dyDescent="0.2">
      <c r="A1417" t="s">
        <v>674</v>
      </c>
      <c r="B1417" t="s">
        <v>2684</v>
      </c>
      <c r="C1417" t="s">
        <v>208</v>
      </c>
      <c r="D1417" t="s">
        <v>136</v>
      </c>
      <c r="E1417">
        <v>5500000</v>
      </c>
      <c r="F1417" t="s">
        <v>195</v>
      </c>
      <c r="G1417" t="s">
        <v>195</v>
      </c>
      <c r="H1417" t="s">
        <v>184</v>
      </c>
    </row>
    <row r="1418" spans="1:8" x14ac:dyDescent="0.2">
      <c r="A1418" t="s">
        <v>674</v>
      </c>
      <c r="B1418" t="s">
        <v>2685</v>
      </c>
      <c r="C1418" t="s">
        <v>441</v>
      </c>
      <c r="D1418" t="s">
        <v>136</v>
      </c>
      <c r="E1418">
        <v>5600000</v>
      </c>
      <c r="F1418" t="s">
        <v>182</v>
      </c>
      <c r="G1418" t="s">
        <v>183</v>
      </c>
      <c r="H1418" t="s">
        <v>184</v>
      </c>
    </row>
    <row r="1419" spans="1:8" x14ac:dyDescent="0.2">
      <c r="A1419" t="s">
        <v>2686</v>
      </c>
      <c r="B1419" t="s">
        <v>2687</v>
      </c>
      <c r="C1419" t="s">
        <v>166</v>
      </c>
      <c r="D1419" t="s">
        <v>136</v>
      </c>
      <c r="E1419">
        <v>8399889</v>
      </c>
      <c r="F1419" t="s">
        <v>166</v>
      </c>
      <c r="G1419" t="s">
        <v>166</v>
      </c>
      <c r="H1419" t="s">
        <v>160</v>
      </c>
    </row>
    <row r="1420" spans="1:8" x14ac:dyDescent="0.2">
      <c r="A1420" t="s">
        <v>674</v>
      </c>
      <c r="B1420" t="s">
        <v>2688</v>
      </c>
      <c r="C1420" t="s">
        <v>208</v>
      </c>
      <c r="D1420" t="s">
        <v>167</v>
      </c>
      <c r="E1420">
        <v>11636000</v>
      </c>
      <c r="F1420" t="s">
        <v>195</v>
      </c>
      <c r="G1420" t="s">
        <v>195</v>
      </c>
      <c r="H1420" t="s">
        <v>184</v>
      </c>
    </row>
    <row r="1421" spans="1:8" x14ac:dyDescent="0.2">
      <c r="A1421" t="s">
        <v>674</v>
      </c>
      <c r="B1421" t="s">
        <v>2689</v>
      </c>
      <c r="C1421" t="s">
        <v>208</v>
      </c>
      <c r="D1421" t="s">
        <v>136</v>
      </c>
      <c r="E1421">
        <v>10000000</v>
      </c>
      <c r="F1421" t="s">
        <v>195</v>
      </c>
      <c r="G1421" t="s">
        <v>195</v>
      </c>
      <c r="H1421" t="s">
        <v>184</v>
      </c>
    </row>
    <row r="1422" spans="1:8" x14ac:dyDescent="0.2">
      <c r="A1422" t="s">
        <v>2690</v>
      </c>
      <c r="B1422" t="s">
        <v>2691</v>
      </c>
      <c r="C1422" t="s">
        <v>166</v>
      </c>
      <c r="D1422" t="s">
        <v>167</v>
      </c>
      <c r="E1422">
        <v>11999789</v>
      </c>
      <c r="F1422" t="s">
        <v>166</v>
      </c>
      <c r="G1422" t="s">
        <v>166</v>
      </c>
      <c r="H1422" t="s">
        <v>160</v>
      </c>
    </row>
    <row r="1423" spans="1:8" x14ac:dyDescent="0.2">
      <c r="A1423" t="s">
        <v>2692</v>
      </c>
      <c r="B1423" t="s">
        <v>2693</v>
      </c>
      <c r="C1423" t="s">
        <v>170</v>
      </c>
      <c r="D1423" t="s">
        <v>136</v>
      </c>
      <c r="E1423">
        <v>539960043</v>
      </c>
      <c r="F1423" t="s">
        <v>170</v>
      </c>
      <c r="G1423" t="s">
        <v>170</v>
      </c>
      <c r="H1423" t="s">
        <v>170</v>
      </c>
    </row>
    <row r="1424" spans="1:8" x14ac:dyDescent="0.2">
      <c r="A1424" t="s">
        <v>2694</v>
      </c>
      <c r="B1424" t="s">
        <v>2695</v>
      </c>
      <c r="C1424" t="s">
        <v>293</v>
      </c>
      <c r="D1424" t="s">
        <v>143</v>
      </c>
      <c r="E1424">
        <v>37665348</v>
      </c>
      <c r="F1424" t="s">
        <v>144</v>
      </c>
      <c r="G1424" t="s">
        <v>144</v>
      </c>
      <c r="H1424" t="s">
        <v>145</v>
      </c>
    </row>
    <row r="1425" spans="1:8" x14ac:dyDescent="0.2">
      <c r="A1425" t="s">
        <v>2696</v>
      </c>
      <c r="B1425" t="s">
        <v>2697</v>
      </c>
      <c r="C1425" t="s">
        <v>387</v>
      </c>
      <c r="D1425" t="s">
        <v>136</v>
      </c>
      <c r="E1425">
        <v>32000000</v>
      </c>
      <c r="F1425" t="s">
        <v>311</v>
      </c>
      <c r="G1425" t="s">
        <v>312</v>
      </c>
      <c r="H1425" t="s">
        <v>313</v>
      </c>
    </row>
    <row r="1426" spans="1:8" x14ac:dyDescent="0.2">
      <c r="A1426" t="s">
        <v>2698</v>
      </c>
      <c r="B1426" t="s">
        <v>2699</v>
      </c>
      <c r="C1426" t="s">
        <v>170</v>
      </c>
      <c r="D1426" t="s">
        <v>136</v>
      </c>
      <c r="E1426">
        <v>571153270</v>
      </c>
      <c r="F1426" t="s">
        <v>170</v>
      </c>
      <c r="G1426" t="s">
        <v>170</v>
      </c>
      <c r="H1426" t="s">
        <v>170</v>
      </c>
    </row>
    <row r="1427" spans="1:8" x14ac:dyDescent="0.2">
      <c r="A1427" t="s">
        <v>674</v>
      </c>
      <c r="B1427" t="s">
        <v>2700</v>
      </c>
      <c r="C1427" t="s">
        <v>283</v>
      </c>
      <c r="D1427" t="s">
        <v>167</v>
      </c>
      <c r="E1427">
        <v>7499972</v>
      </c>
      <c r="F1427" t="s">
        <v>284</v>
      </c>
      <c r="G1427" t="s">
        <v>183</v>
      </c>
      <c r="H1427" t="s">
        <v>184</v>
      </c>
    </row>
    <row r="1428" spans="1:8" x14ac:dyDescent="0.2">
      <c r="A1428" t="s">
        <v>2701</v>
      </c>
      <c r="B1428" t="s">
        <v>2702</v>
      </c>
      <c r="C1428" t="s">
        <v>149</v>
      </c>
      <c r="D1428" t="s">
        <v>136</v>
      </c>
      <c r="E1428">
        <v>8600000</v>
      </c>
      <c r="F1428" t="s">
        <v>149</v>
      </c>
      <c r="G1428" t="s">
        <v>150</v>
      </c>
      <c r="H1428" t="s">
        <v>145</v>
      </c>
    </row>
    <row r="1429" spans="1:8" x14ac:dyDescent="0.2">
      <c r="A1429" t="s">
        <v>674</v>
      </c>
      <c r="B1429" t="s">
        <v>2703</v>
      </c>
      <c r="C1429" t="s">
        <v>578</v>
      </c>
      <c r="D1429" t="s">
        <v>136</v>
      </c>
      <c r="E1429">
        <v>2900000</v>
      </c>
      <c r="F1429" t="s">
        <v>260</v>
      </c>
      <c r="G1429" t="s">
        <v>183</v>
      </c>
      <c r="H1429" t="s">
        <v>184</v>
      </c>
    </row>
    <row r="1430" spans="1:8" x14ac:dyDescent="0.2">
      <c r="A1430" t="s">
        <v>674</v>
      </c>
      <c r="B1430" t="s">
        <v>2704</v>
      </c>
      <c r="C1430" t="s">
        <v>208</v>
      </c>
      <c r="D1430" t="s">
        <v>167</v>
      </c>
      <c r="E1430">
        <v>12000000</v>
      </c>
      <c r="F1430" t="s">
        <v>195</v>
      </c>
      <c r="G1430" t="s">
        <v>195</v>
      </c>
      <c r="H1430" t="s">
        <v>184</v>
      </c>
    </row>
    <row r="1431" spans="1:8" x14ac:dyDescent="0.2">
      <c r="A1431" t="s">
        <v>674</v>
      </c>
      <c r="B1431" t="s">
        <v>2705</v>
      </c>
      <c r="C1431" t="s">
        <v>208</v>
      </c>
      <c r="D1431" t="s">
        <v>167</v>
      </c>
      <c r="E1431">
        <v>68769410</v>
      </c>
      <c r="F1431" t="s">
        <v>195</v>
      </c>
      <c r="G1431" t="s">
        <v>195</v>
      </c>
      <c r="H1431" t="s">
        <v>184</v>
      </c>
    </row>
    <row r="1432" spans="1:8" x14ac:dyDescent="0.2">
      <c r="A1432" t="s">
        <v>2706</v>
      </c>
      <c r="B1432" t="s">
        <v>2707</v>
      </c>
      <c r="C1432" t="s">
        <v>419</v>
      </c>
      <c r="D1432" t="s">
        <v>167</v>
      </c>
      <c r="E1432">
        <v>125150939</v>
      </c>
      <c r="F1432" t="s">
        <v>166</v>
      </c>
      <c r="G1432" t="s">
        <v>166</v>
      </c>
      <c r="H1432" t="s">
        <v>160</v>
      </c>
    </row>
    <row r="1433" spans="1:8" x14ac:dyDescent="0.2">
      <c r="A1433" t="s">
        <v>674</v>
      </c>
      <c r="B1433" t="s">
        <v>2210</v>
      </c>
      <c r="C1433" t="s">
        <v>208</v>
      </c>
      <c r="D1433" t="s">
        <v>136</v>
      </c>
      <c r="E1433">
        <v>5000000</v>
      </c>
      <c r="F1433" t="s">
        <v>195</v>
      </c>
      <c r="G1433" t="s">
        <v>195</v>
      </c>
      <c r="H1433" t="s">
        <v>184</v>
      </c>
    </row>
    <row r="1434" spans="1:8" x14ac:dyDescent="0.2">
      <c r="A1434" t="s">
        <v>674</v>
      </c>
      <c r="B1434" t="s">
        <v>2708</v>
      </c>
      <c r="C1434" t="s">
        <v>208</v>
      </c>
      <c r="D1434" t="s">
        <v>167</v>
      </c>
      <c r="E1434">
        <v>8799882</v>
      </c>
      <c r="F1434" t="s">
        <v>195</v>
      </c>
      <c r="G1434" t="s">
        <v>195</v>
      </c>
      <c r="H1434" t="s">
        <v>184</v>
      </c>
    </row>
    <row r="1435" spans="1:8" x14ac:dyDescent="0.2">
      <c r="A1435" t="s">
        <v>674</v>
      </c>
      <c r="B1435" t="s">
        <v>2709</v>
      </c>
      <c r="C1435" t="s">
        <v>208</v>
      </c>
      <c r="D1435" t="s">
        <v>167</v>
      </c>
      <c r="E1435">
        <v>96090870</v>
      </c>
      <c r="F1435" t="s">
        <v>195</v>
      </c>
      <c r="G1435" t="s">
        <v>195</v>
      </c>
      <c r="H1435" t="s">
        <v>184</v>
      </c>
    </row>
    <row r="1436" spans="1:8" x14ac:dyDescent="0.2">
      <c r="A1436" t="s">
        <v>674</v>
      </c>
      <c r="B1436" t="s">
        <v>2710</v>
      </c>
      <c r="C1436" t="s">
        <v>208</v>
      </c>
      <c r="D1436" t="s">
        <v>167</v>
      </c>
      <c r="E1436">
        <v>17000000</v>
      </c>
      <c r="F1436" t="s">
        <v>195</v>
      </c>
      <c r="G1436" t="s">
        <v>195</v>
      </c>
      <c r="H1436" t="s">
        <v>184</v>
      </c>
    </row>
    <row r="1437" spans="1:8" x14ac:dyDescent="0.2">
      <c r="A1437" t="s">
        <v>2711</v>
      </c>
      <c r="B1437" t="s">
        <v>2712</v>
      </c>
      <c r="C1437" t="s">
        <v>355</v>
      </c>
      <c r="D1437" t="s">
        <v>143</v>
      </c>
      <c r="E1437">
        <v>15187322</v>
      </c>
      <c r="F1437" t="s">
        <v>356</v>
      </c>
      <c r="G1437" t="s">
        <v>150</v>
      </c>
      <c r="H1437" t="s">
        <v>145</v>
      </c>
    </row>
    <row r="1438" spans="1:8" x14ac:dyDescent="0.2">
      <c r="A1438" t="s">
        <v>123</v>
      </c>
      <c r="B1438" t="s">
        <v>2713</v>
      </c>
      <c r="C1438" t="s">
        <v>170</v>
      </c>
      <c r="D1438" t="s">
        <v>143</v>
      </c>
      <c r="E1438">
        <v>5589091262</v>
      </c>
      <c r="F1438" t="s">
        <v>170</v>
      </c>
      <c r="G1438" t="s">
        <v>170</v>
      </c>
      <c r="H1438" t="s">
        <v>170</v>
      </c>
    </row>
    <row r="1439" spans="1:8" x14ac:dyDescent="0.2">
      <c r="A1439" t="s">
        <v>674</v>
      </c>
      <c r="B1439" t="s">
        <v>2714</v>
      </c>
      <c r="C1439" t="s">
        <v>208</v>
      </c>
      <c r="D1439" t="s">
        <v>167</v>
      </c>
      <c r="E1439">
        <v>24000000</v>
      </c>
      <c r="F1439" t="s">
        <v>195</v>
      </c>
      <c r="G1439" t="s">
        <v>195</v>
      </c>
      <c r="H1439" t="s">
        <v>184</v>
      </c>
    </row>
    <row r="1440" spans="1:8" x14ac:dyDescent="0.2">
      <c r="A1440" t="s">
        <v>674</v>
      </c>
      <c r="B1440" t="s">
        <v>2715</v>
      </c>
      <c r="C1440" t="s">
        <v>208</v>
      </c>
      <c r="D1440" t="s">
        <v>136</v>
      </c>
      <c r="E1440">
        <v>5000000</v>
      </c>
      <c r="F1440" t="s">
        <v>195</v>
      </c>
      <c r="G1440" t="s">
        <v>195</v>
      </c>
      <c r="H1440" t="s">
        <v>184</v>
      </c>
    </row>
    <row r="1441" spans="1:8" x14ac:dyDescent="0.2">
      <c r="A1441" t="s">
        <v>2716</v>
      </c>
      <c r="B1441" t="s">
        <v>2717</v>
      </c>
      <c r="C1441" t="s">
        <v>404</v>
      </c>
      <c r="D1441" t="s">
        <v>143</v>
      </c>
      <c r="E1441">
        <v>26579135</v>
      </c>
      <c r="F1441" t="s">
        <v>348</v>
      </c>
      <c r="G1441" t="s">
        <v>155</v>
      </c>
      <c r="H1441" t="s">
        <v>139</v>
      </c>
    </row>
    <row r="1442" spans="1:8" x14ac:dyDescent="0.2">
      <c r="A1442" t="s">
        <v>674</v>
      </c>
      <c r="B1442" t="s">
        <v>2719</v>
      </c>
      <c r="C1442" t="s">
        <v>208</v>
      </c>
      <c r="D1442" t="s">
        <v>143</v>
      </c>
      <c r="E1442">
        <v>598593458</v>
      </c>
      <c r="F1442" t="s">
        <v>195</v>
      </c>
      <c r="G1442" t="s">
        <v>195</v>
      </c>
      <c r="H1442" t="s">
        <v>184</v>
      </c>
    </row>
    <row r="1443" spans="1:8" x14ac:dyDescent="0.2">
      <c r="A1443" t="s">
        <v>2720</v>
      </c>
      <c r="B1443" t="s">
        <v>2721</v>
      </c>
      <c r="C1443" t="s">
        <v>158</v>
      </c>
      <c r="D1443" t="s">
        <v>143</v>
      </c>
      <c r="E1443">
        <v>441900000</v>
      </c>
      <c r="F1443" t="s">
        <v>159</v>
      </c>
      <c r="G1443" t="s">
        <v>159</v>
      </c>
      <c r="H1443" t="s">
        <v>160</v>
      </c>
    </row>
    <row r="1444" spans="1:8" x14ac:dyDescent="0.2">
      <c r="A1444" t="s">
        <v>674</v>
      </c>
      <c r="B1444" t="s">
        <v>2722</v>
      </c>
      <c r="C1444" t="s">
        <v>575</v>
      </c>
      <c r="D1444" t="s">
        <v>167</v>
      </c>
      <c r="E1444">
        <v>3000000</v>
      </c>
      <c r="F1444" t="s">
        <v>182</v>
      </c>
      <c r="G1444" t="s">
        <v>183</v>
      </c>
      <c r="H1444" t="s">
        <v>184</v>
      </c>
    </row>
    <row r="1445" spans="1:8" x14ac:dyDescent="0.2">
      <c r="A1445" t="s">
        <v>2723</v>
      </c>
      <c r="B1445" t="s">
        <v>2724</v>
      </c>
      <c r="C1445" t="s">
        <v>330</v>
      </c>
      <c r="D1445" t="s">
        <v>136</v>
      </c>
      <c r="E1445">
        <v>83789658</v>
      </c>
      <c r="F1445" t="s">
        <v>330</v>
      </c>
      <c r="G1445" t="s">
        <v>312</v>
      </c>
      <c r="H1445" t="s">
        <v>313</v>
      </c>
    </row>
    <row r="1446" spans="1:8" x14ac:dyDescent="0.2">
      <c r="A1446" t="s">
        <v>2725</v>
      </c>
      <c r="B1446" t="s">
        <v>2726</v>
      </c>
      <c r="C1446" t="s">
        <v>166</v>
      </c>
      <c r="D1446" t="s">
        <v>136</v>
      </c>
      <c r="E1446">
        <v>210000000</v>
      </c>
      <c r="F1446" t="s">
        <v>166</v>
      </c>
      <c r="G1446" t="s">
        <v>166</v>
      </c>
      <c r="H1446" t="s">
        <v>160</v>
      </c>
    </row>
    <row r="1447" spans="1:8" x14ac:dyDescent="0.2">
      <c r="A1447" t="s">
        <v>674</v>
      </c>
      <c r="B1447" t="s">
        <v>2727</v>
      </c>
      <c r="C1447" t="s">
        <v>194</v>
      </c>
      <c r="D1447" t="s">
        <v>167</v>
      </c>
      <c r="E1447">
        <v>160000000</v>
      </c>
      <c r="F1447" t="s">
        <v>195</v>
      </c>
      <c r="G1447" t="s">
        <v>195</v>
      </c>
      <c r="H1447" t="s">
        <v>184</v>
      </c>
    </row>
    <row r="1448" spans="1:8" x14ac:dyDescent="0.2">
      <c r="A1448" t="s">
        <v>674</v>
      </c>
      <c r="B1448" t="s">
        <v>2728</v>
      </c>
      <c r="C1448" t="s">
        <v>181</v>
      </c>
      <c r="D1448" t="s">
        <v>136</v>
      </c>
      <c r="E1448">
        <v>1100000</v>
      </c>
      <c r="F1448" t="s">
        <v>182</v>
      </c>
      <c r="G1448" t="s">
        <v>183</v>
      </c>
      <c r="H1448" t="s">
        <v>184</v>
      </c>
    </row>
    <row r="1449" spans="1:8" x14ac:dyDescent="0.2">
      <c r="A1449" t="s">
        <v>2729</v>
      </c>
      <c r="B1449" t="s">
        <v>2730</v>
      </c>
      <c r="C1449" t="s">
        <v>387</v>
      </c>
      <c r="D1449" t="s">
        <v>136</v>
      </c>
      <c r="E1449">
        <v>75000000</v>
      </c>
      <c r="F1449" t="s">
        <v>311</v>
      </c>
      <c r="G1449" t="s">
        <v>312</v>
      </c>
      <c r="H1449" t="s">
        <v>313</v>
      </c>
    </row>
    <row r="1450" spans="1:8" x14ac:dyDescent="0.2">
      <c r="A1450" t="s">
        <v>674</v>
      </c>
      <c r="B1450" t="s">
        <v>2731</v>
      </c>
      <c r="C1450" t="s">
        <v>194</v>
      </c>
      <c r="D1450" t="s">
        <v>136</v>
      </c>
      <c r="E1450">
        <v>26530000</v>
      </c>
      <c r="F1450" t="s">
        <v>195</v>
      </c>
      <c r="G1450" t="s">
        <v>195</v>
      </c>
      <c r="H1450" t="s">
        <v>184</v>
      </c>
    </row>
    <row r="1451" spans="1:8" x14ac:dyDescent="0.2">
      <c r="A1451" t="s">
        <v>2732</v>
      </c>
      <c r="B1451" t="s">
        <v>2733</v>
      </c>
      <c r="C1451" t="s">
        <v>148</v>
      </c>
      <c r="D1451" t="s">
        <v>136</v>
      </c>
      <c r="E1451">
        <v>8678238</v>
      </c>
      <c r="F1451" t="s">
        <v>149</v>
      </c>
      <c r="G1451" t="s">
        <v>150</v>
      </c>
      <c r="H1451" t="s">
        <v>145</v>
      </c>
    </row>
    <row r="1452" spans="1:8" x14ac:dyDescent="0.2">
      <c r="A1452" t="s">
        <v>2734</v>
      </c>
      <c r="B1452" t="s">
        <v>2735</v>
      </c>
      <c r="C1452" t="s">
        <v>1206</v>
      </c>
      <c r="D1452" t="s">
        <v>167</v>
      </c>
      <c r="E1452">
        <v>14657150</v>
      </c>
      <c r="F1452" t="s">
        <v>348</v>
      </c>
      <c r="G1452" t="s">
        <v>155</v>
      </c>
      <c r="H1452" t="s">
        <v>139</v>
      </c>
    </row>
    <row r="1453" spans="1:8" x14ac:dyDescent="0.2">
      <c r="A1453" t="s">
        <v>2736</v>
      </c>
      <c r="B1453" t="s">
        <v>2737</v>
      </c>
      <c r="C1453" t="s">
        <v>163</v>
      </c>
      <c r="D1453" t="s">
        <v>136</v>
      </c>
      <c r="E1453">
        <v>3142910</v>
      </c>
      <c r="F1453" t="s">
        <v>137</v>
      </c>
      <c r="G1453" t="s">
        <v>138</v>
      </c>
      <c r="H1453" t="s">
        <v>139</v>
      </c>
    </row>
    <row r="1454" spans="1:8" x14ac:dyDescent="0.2">
      <c r="A1454" t="s">
        <v>2738</v>
      </c>
      <c r="B1454" t="s">
        <v>2739</v>
      </c>
      <c r="C1454" t="s">
        <v>240</v>
      </c>
      <c r="D1454" t="s">
        <v>143</v>
      </c>
      <c r="E1454">
        <v>22083392</v>
      </c>
      <c r="F1454" t="s">
        <v>240</v>
      </c>
      <c r="G1454" t="s">
        <v>241</v>
      </c>
      <c r="H1454" t="s">
        <v>242</v>
      </c>
    </row>
    <row r="1455" spans="1:8" x14ac:dyDescent="0.2">
      <c r="A1455" t="s">
        <v>2740</v>
      </c>
      <c r="B1455" t="s">
        <v>2741</v>
      </c>
      <c r="C1455" t="s">
        <v>158</v>
      </c>
      <c r="D1455" t="s">
        <v>143</v>
      </c>
      <c r="E1455">
        <v>243000000</v>
      </c>
      <c r="F1455" t="s">
        <v>159</v>
      </c>
      <c r="G1455" t="s">
        <v>159</v>
      </c>
      <c r="H1455" t="s">
        <v>160</v>
      </c>
    </row>
    <row r="1456" spans="1:8" x14ac:dyDescent="0.2">
      <c r="A1456" t="s">
        <v>2742</v>
      </c>
      <c r="B1456" t="s">
        <v>2743</v>
      </c>
      <c r="C1456" t="s">
        <v>355</v>
      </c>
      <c r="D1456" t="s">
        <v>136</v>
      </c>
      <c r="E1456">
        <v>1965440</v>
      </c>
      <c r="F1456" t="s">
        <v>356</v>
      </c>
      <c r="G1456" t="s">
        <v>150</v>
      </c>
      <c r="H1456" t="s">
        <v>145</v>
      </c>
    </row>
    <row r="1457" spans="1:8" x14ac:dyDescent="0.2">
      <c r="A1457" t="s">
        <v>674</v>
      </c>
      <c r="B1457" t="s">
        <v>2744</v>
      </c>
      <c r="C1457" t="s">
        <v>208</v>
      </c>
      <c r="D1457" t="s">
        <v>167</v>
      </c>
      <c r="E1457">
        <v>6000000</v>
      </c>
      <c r="F1457" t="s">
        <v>195</v>
      </c>
      <c r="G1457" t="s">
        <v>195</v>
      </c>
      <c r="H1457" t="s">
        <v>184</v>
      </c>
    </row>
    <row r="1458" spans="1:8" x14ac:dyDescent="0.2">
      <c r="A1458" t="s">
        <v>674</v>
      </c>
      <c r="B1458" t="s">
        <v>2745</v>
      </c>
      <c r="C1458" t="s">
        <v>208</v>
      </c>
      <c r="D1458" t="s">
        <v>136</v>
      </c>
      <c r="E1458">
        <v>2158880</v>
      </c>
      <c r="F1458" t="s">
        <v>195</v>
      </c>
      <c r="G1458" t="s">
        <v>195</v>
      </c>
      <c r="H1458" t="s">
        <v>184</v>
      </c>
    </row>
    <row r="1459" spans="1:8" x14ac:dyDescent="0.2">
      <c r="A1459" t="s">
        <v>674</v>
      </c>
      <c r="B1459" t="s">
        <v>2746</v>
      </c>
      <c r="C1459" t="s">
        <v>208</v>
      </c>
      <c r="D1459" t="s">
        <v>167</v>
      </c>
      <c r="E1459">
        <v>1319710</v>
      </c>
      <c r="F1459" t="s">
        <v>195</v>
      </c>
      <c r="G1459" t="s">
        <v>195</v>
      </c>
      <c r="H1459" t="s">
        <v>184</v>
      </c>
    </row>
    <row r="1460" spans="1:8" x14ac:dyDescent="0.2">
      <c r="A1460" t="s">
        <v>674</v>
      </c>
      <c r="B1460" t="s">
        <v>2747</v>
      </c>
      <c r="C1460" t="s">
        <v>208</v>
      </c>
      <c r="D1460" t="s">
        <v>167</v>
      </c>
      <c r="E1460">
        <v>1028000</v>
      </c>
      <c r="F1460" t="s">
        <v>195</v>
      </c>
      <c r="G1460" t="s">
        <v>195</v>
      </c>
      <c r="H1460" t="s">
        <v>184</v>
      </c>
    </row>
    <row r="1461" spans="1:8" x14ac:dyDescent="0.2">
      <c r="A1461" t="s">
        <v>674</v>
      </c>
      <c r="B1461" t="s">
        <v>2748</v>
      </c>
      <c r="C1461" t="s">
        <v>208</v>
      </c>
      <c r="D1461" t="s">
        <v>167</v>
      </c>
      <c r="E1461">
        <v>1800000</v>
      </c>
      <c r="F1461" t="s">
        <v>195</v>
      </c>
      <c r="G1461" t="s">
        <v>195</v>
      </c>
      <c r="H1461" t="s">
        <v>184</v>
      </c>
    </row>
    <row r="1462" spans="1:8" x14ac:dyDescent="0.2">
      <c r="A1462" t="s">
        <v>674</v>
      </c>
      <c r="B1462" t="s">
        <v>2749</v>
      </c>
      <c r="C1462" t="s">
        <v>208</v>
      </c>
      <c r="D1462" t="s">
        <v>136</v>
      </c>
      <c r="E1462">
        <v>12523613</v>
      </c>
      <c r="F1462" t="s">
        <v>195</v>
      </c>
      <c r="G1462" t="s">
        <v>195</v>
      </c>
      <c r="H1462" t="s">
        <v>184</v>
      </c>
    </row>
    <row r="1463" spans="1:8" x14ac:dyDescent="0.2">
      <c r="A1463" t="s">
        <v>674</v>
      </c>
      <c r="B1463" t="s">
        <v>2750</v>
      </c>
      <c r="C1463" t="s">
        <v>289</v>
      </c>
      <c r="D1463" t="s">
        <v>136</v>
      </c>
      <c r="E1463">
        <v>1328800000</v>
      </c>
      <c r="F1463" t="s">
        <v>290</v>
      </c>
      <c r="G1463" t="s">
        <v>183</v>
      </c>
      <c r="H1463" t="s">
        <v>184</v>
      </c>
    </row>
    <row r="1464" spans="1:8" x14ac:dyDescent="0.2">
      <c r="A1464" t="s">
        <v>2751</v>
      </c>
      <c r="B1464" t="s">
        <v>2752</v>
      </c>
      <c r="C1464" t="s">
        <v>1466</v>
      </c>
      <c r="D1464" t="s">
        <v>136</v>
      </c>
      <c r="E1464">
        <v>43800000</v>
      </c>
      <c r="F1464" t="s">
        <v>667</v>
      </c>
      <c r="G1464" t="s">
        <v>668</v>
      </c>
      <c r="H1464" t="s">
        <v>668</v>
      </c>
    </row>
    <row r="1465" spans="1:8" x14ac:dyDescent="0.2">
      <c r="A1465" t="s">
        <v>2753</v>
      </c>
      <c r="B1465" t="s">
        <v>2754</v>
      </c>
      <c r="C1465" t="s">
        <v>220</v>
      </c>
      <c r="D1465" t="s">
        <v>136</v>
      </c>
      <c r="E1465">
        <v>166604050</v>
      </c>
      <c r="F1465" t="s">
        <v>216</v>
      </c>
      <c r="G1465" t="s">
        <v>216</v>
      </c>
      <c r="H1465" t="s">
        <v>217</v>
      </c>
    </row>
    <row r="1466" spans="1:8" x14ac:dyDescent="0.2">
      <c r="A1466" t="s">
        <v>674</v>
      </c>
      <c r="B1466" t="s">
        <v>2755</v>
      </c>
      <c r="C1466" t="s">
        <v>289</v>
      </c>
      <c r="D1466" t="s">
        <v>136</v>
      </c>
      <c r="E1466">
        <v>9007500</v>
      </c>
      <c r="F1466" t="s">
        <v>290</v>
      </c>
      <c r="G1466" t="s">
        <v>183</v>
      </c>
      <c r="H1466" t="s">
        <v>184</v>
      </c>
    </row>
    <row r="1467" spans="1:8" x14ac:dyDescent="0.2">
      <c r="A1467" t="s">
        <v>2756</v>
      </c>
      <c r="B1467" t="s">
        <v>2757</v>
      </c>
      <c r="C1467" t="s">
        <v>293</v>
      </c>
      <c r="D1467" t="s">
        <v>136</v>
      </c>
      <c r="E1467">
        <v>16000000</v>
      </c>
      <c r="F1467" t="s">
        <v>144</v>
      </c>
      <c r="G1467" t="s">
        <v>144</v>
      </c>
      <c r="H1467" t="s">
        <v>145</v>
      </c>
    </row>
    <row r="1468" spans="1:8" x14ac:dyDescent="0.2">
      <c r="A1468" t="s">
        <v>674</v>
      </c>
      <c r="B1468" t="s">
        <v>2758</v>
      </c>
      <c r="C1468" t="s">
        <v>826</v>
      </c>
      <c r="D1468" t="s">
        <v>136</v>
      </c>
      <c r="E1468">
        <v>34000000</v>
      </c>
      <c r="F1468" t="s">
        <v>212</v>
      </c>
      <c r="G1468" t="s">
        <v>183</v>
      </c>
      <c r="H1468" t="s">
        <v>184</v>
      </c>
    </row>
    <row r="1469" spans="1:8" x14ac:dyDescent="0.2">
      <c r="A1469" t="s">
        <v>2759</v>
      </c>
      <c r="B1469" t="s">
        <v>2760</v>
      </c>
      <c r="C1469" t="s">
        <v>293</v>
      </c>
      <c r="D1469" t="s">
        <v>143</v>
      </c>
      <c r="E1469">
        <v>41714614</v>
      </c>
      <c r="F1469" t="s">
        <v>144</v>
      </c>
      <c r="G1469" t="s">
        <v>144</v>
      </c>
      <c r="H1469" t="s">
        <v>145</v>
      </c>
    </row>
    <row r="1470" spans="1:8" x14ac:dyDescent="0.2">
      <c r="A1470" t="s">
        <v>674</v>
      </c>
      <c r="B1470" t="s">
        <v>2761</v>
      </c>
      <c r="C1470" t="s">
        <v>826</v>
      </c>
      <c r="D1470" t="s">
        <v>136</v>
      </c>
      <c r="E1470">
        <v>15000000</v>
      </c>
      <c r="F1470" t="s">
        <v>212</v>
      </c>
      <c r="G1470" t="s">
        <v>183</v>
      </c>
      <c r="H1470" t="s">
        <v>184</v>
      </c>
    </row>
    <row r="1471" spans="1:8" x14ac:dyDescent="0.2">
      <c r="A1471" t="s">
        <v>2762</v>
      </c>
      <c r="B1471" t="s">
        <v>2763</v>
      </c>
      <c r="C1471" t="s">
        <v>158</v>
      </c>
      <c r="D1471" t="s">
        <v>167</v>
      </c>
      <c r="E1471">
        <v>120000000</v>
      </c>
      <c r="F1471" t="s">
        <v>159</v>
      </c>
      <c r="G1471" t="s">
        <v>159</v>
      </c>
      <c r="H1471" t="s">
        <v>160</v>
      </c>
    </row>
    <row r="1472" spans="1:8" x14ac:dyDescent="0.2">
      <c r="A1472" t="s">
        <v>674</v>
      </c>
      <c r="B1472" t="s">
        <v>2765</v>
      </c>
      <c r="C1472" t="s">
        <v>194</v>
      </c>
      <c r="D1472" t="s">
        <v>143</v>
      </c>
      <c r="E1472">
        <v>448350000</v>
      </c>
      <c r="F1472" t="s">
        <v>195</v>
      </c>
      <c r="G1472" t="s">
        <v>195</v>
      </c>
      <c r="H1472" t="s">
        <v>184</v>
      </c>
    </row>
    <row r="1473" spans="1:8" x14ac:dyDescent="0.2">
      <c r="A1473" t="s">
        <v>2766</v>
      </c>
      <c r="B1473" t="s">
        <v>2767</v>
      </c>
      <c r="C1473" t="s">
        <v>163</v>
      </c>
      <c r="D1473" t="s">
        <v>136</v>
      </c>
      <c r="E1473">
        <v>44100000</v>
      </c>
      <c r="F1473" t="s">
        <v>137</v>
      </c>
      <c r="G1473" t="s">
        <v>138</v>
      </c>
      <c r="H1473" t="s">
        <v>139</v>
      </c>
    </row>
    <row r="1474" spans="1:8" x14ac:dyDescent="0.2">
      <c r="A1474" t="s">
        <v>2768</v>
      </c>
      <c r="B1474" t="s">
        <v>2769</v>
      </c>
      <c r="C1474" t="s">
        <v>173</v>
      </c>
      <c r="D1474" t="s">
        <v>136</v>
      </c>
      <c r="E1474">
        <v>3043811200</v>
      </c>
      <c r="F1474" t="s">
        <v>173</v>
      </c>
      <c r="G1474" t="s">
        <v>174</v>
      </c>
      <c r="H1474" t="s">
        <v>174</v>
      </c>
    </row>
    <row r="1475" spans="1:8" x14ac:dyDescent="0.2">
      <c r="A1475" t="s">
        <v>2770</v>
      </c>
      <c r="B1475" t="s">
        <v>2771</v>
      </c>
      <c r="C1475" t="s">
        <v>355</v>
      </c>
      <c r="D1475" t="s">
        <v>136</v>
      </c>
      <c r="E1475">
        <v>9325155</v>
      </c>
      <c r="F1475" t="s">
        <v>356</v>
      </c>
      <c r="G1475" t="s">
        <v>150</v>
      </c>
      <c r="H1475" t="s">
        <v>145</v>
      </c>
    </row>
    <row r="1476" spans="1:8" x14ac:dyDescent="0.2">
      <c r="A1476" t="s">
        <v>674</v>
      </c>
      <c r="B1476" t="s">
        <v>2772</v>
      </c>
      <c r="C1476" t="s">
        <v>211</v>
      </c>
      <c r="D1476" t="s">
        <v>167</v>
      </c>
      <c r="E1476">
        <v>8214692</v>
      </c>
      <c r="F1476" t="s">
        <v>212</v>
      </c>
      <c r="G1476" t="s">
        <v>183</v>
      </c>
      <c r="H1476" t="s">
        <v>184</v>
      </c>
    </row>
    <row r="1477" spans="1:8" x14ac:dyDescent="0.2">
      <c r="A1477" t="s">
        <v>674</v>
      </c>
      <c r="B1477" t="s">
        <v>2773</v>
      </c>
      <c r="C1477" t="s">
        <v>211</v>
      </c>
      <c r="D1477" t="s">
        <v>136</v>
      </c>
      <c r="E1477">
        <v>63250000</v>
      </c>
      <c r="F1477" t="s">
        <v>212</v>
      </c>
      <c r="G1477" t="s">
        <v>183</v>
      </c>
      <c r="H1477" t="s">
        <v>184</v>
      </c>
    </row>
    <row r="1478" spans="1:8" x14ac:dyDescent="0.2">
      <c r="A1478" t="s">
        <v>2774</v>
      </c>
      <c r="B1478" t="s">
        <v>2775</v>
      </c>
      <c r="C1478" t="s">
        <v>355</v>
      </c>
      <c r="D1478" t="s">
        <v>167</v>
      </c>
      <c r="E1478">
        <v>55932126</v>
      </c>
      <c r="F1478" t="s">
        <v>356</v>
      </c>
      <c r="G1478" t="s">
        <v>150</v>
      </c>
      <c r="H1478" t="s">
        <v>145</v>
      </c>
    </row>
    <row r="1479" spans="1:8" x14ac:dyDescent="0.2">
      <c r="A1479" t="s">
        <v>2776</v>
      </c>
      <c r="B1479" t="s">
        <v>2777</v>
      </c>
      <c r="C1479" t="s">
        <v>163</v>
      </c>
      <c r="D1479" t="s">
        <v>136</v>
      </c>
      <c r="E1479">
        <v>500000000</v>
      </c>
      <c r="F1479" t="s">
        <v>137</v>
      </c>
      <c r="G1479" t="s">
        <v>138</v>
      </c>
      <c r="H1479" t="s">
        <v>139</v>
      </c>
    </row>
    <row r="1480" spans="1:8" x14ac:dyDescent="0.2">
      <c r="A1480" t="s">
        <v>2778</v>
      </c>
      <c r="B1480" t="s">
        <v>2779</v>
      </c>
      <c r="C1480" t="s">
        <v>166</v>
      </c>
      <c r="D1480" t="s">
        <v>136</v>
      </c>
      <c r="E1480">
        <v>35774448</v>
      </c>
      <c r="F1480" t="s">
        <v>166</v>
      </c>
      <c r="G1480" t="s">
        <v>166</v>
      </c>
      <c r="H1480" t="s">
        <v>160</v>
      </c>
    </row>
    <row r="1481" spans="1:8" x14ac:dyDescent="0.2">
      <c r="A1481" t="s">
        <v>2780</v>
      </c>
      <c r="B1481" t="s">
        <v>2781</v>
      </c>
      <c r="C1481" t="s">
        <v>153</v>
      </c>
      <c r="D1481" t="s">
        <v>143</v>
      </c>
      <c r="E1481">
        <v>224453159</v>
      </c>
      <c r="F1481" t="s">
        <v>154</v>
      </c>
      <c r="G1481" t="s">
        <v>155</v>
      </c>
      <c r="H1481" t="s">
        <v>139</v>
      </c>
    </row>
    <row r="1482" spans="1:8" x14ac:dyDescent="0.2">
      <c r="A1482" t="s">
        <v>2782</v>
      </c>
      <c r="B1482" t="s">
        <v>2783</v>
      </c>
      <c r="C1482" t="s">
        <v>166</v>
      </c>
      <c r="D1482" t="s">
        <v>136</v>
      </c>
      <c r="E1482">
        <v>38000000</v>
      </c>
      <c r="F1482" t="s">
        <v>166</v>
      </c>
      <c r="G1482" t="s">
        <v>166</v>
      </c>
      <c r="H1482" t="s">
        <v>160</v>
      </c>
    </row>
    <row r="1483" spans="1:8" x14ac:dyDescent="0.2">
      <c r="A1483" t="s">
        <v>2784</v>
      </c>
      <c r="B1483" t="s">
        <v>2785</v>
      </c>
      <c r="C1483" t="s">
        <v>240</v>
      </c>
      <c r="D1483" t="s">
        <v>167</v>
      </c>
      <c r="E1483">
        <v>33140000</v>
      </c>
      <c r="F1483" t="s">
        <v>240</v>
      </c>
      <c r="G1483" t="s">
        <v>241</v>
      </c>
      <c r="H1483" t="s">
        <v>242</v>
      </c>
    </row>
    <row r="1484" spans="1:8" x14ac:dyDescent="0.2">
      <c r="A1484" t="s">
        <v>2786</v>
      </c>
      <c r="B1484" t="s">
        <v>2787</v>
      </c>
      <c r="C1484" t="s">
        <v>237</v>
      </c>
      <c r="D1484" t="s">
        <v>136</v>
      </c>
      <c r="E1484">
        <v>21500000</v>
      </c>
      <c r="F1484" t="s">
        <v>154</v>
      </c>
      <c r="G1484" t="s">
        <v>155</v>
      </c>
      <c r="H1484" t="s">
        <v>139</v>
      </c>
    </row>
    <row r="1485" spans="1:8" x14ac:dyDescent="0.2">
      <c r="A1485" t="s">
        <v>674</v>
      </c>
      <c r="B1485" t="s">
        <v>2788</v>
      </c>
      <c r="C1485" t="s">
        <v>2127</v>
      </c>
      <c r="D1485" t="s">
        <v>136</v>
      </c>
      <c r="E1485">
        <v>150000000</v>
      </c>
      <c r="F1485" t="s">
        <v>284</v>
      </c>
      <c r="G1485" t="s">
        <v>183</v>
      </c>
      <c r="H1485" t="s">
        <v>184</v>
      </c>
    </row>
    <row r="1486" spans="1:8" x14ac:dyDescent="0.2">
      <c r="A1486" t="s">
        <v>674</v>
      </c>
      <c r="B1486" t="s">
        <v>2789</v>
      </c>
      <c r="C1486" t="s">
        <v>194</v>
      </c>
      <c r="D1486" t="s">
        <v>136</v>
      </c>
      <c r="E1486">
        <v>7500000</v>
      </c>
      <c r="F1486" t="s">
        <v>195</v>
      </c>
      <c r="G1486" t="s">
        <v>195</v>
      </c>
      <c r="H1486" t="s">
        <v>184</v>
      </c>
    </row>
    <row r="1487" spans="1:8" x14ac:dyDescent="0.2">
      <c r="A1487" t="s">
        <v>674</v>
      </c>
      <c r="B1487" t="s">
        <v>2790</v>
      </c>
      <c r="C1487" t="s">
        <v>194</v>
      </c>
      <c r="D1487" t="s">
        <v>167</v>
      </c>
      <c r="E1487">
        <v>25000000</v>
      </c>
      <c r="F1487" t="s">
        <v>195</v>
      </c>
      <c r="G1487" t="s">
        <v>195</v>
      </c>
      <c r="H1487" t="s">
        <v>184</v>
      </c>
    </row>
    <row r="1488" spans="1:8" x14ac:dyDescent="0.2">
      <c r="A1488" t="s">
        <v>2791</v>
      </c>
      <c r="B1488" t="s">
        <v>2792</v>
      </c>
      <c r="C1488" t="s">
        <v>166</v>
      </c>
      <c r="D1488" t="s">
        <v>143</v>
      </c>
      <c r="E1488">
        <v>4354367488</v>
      </c>
      <c r="F1488" t="s">
        <v>166</v>
      </c>
      <c r="G1488" t="s">
        <v>166</v>
      </c>
      <c r="H1488" t="s">
        <v>160</v>
      </c>
    </row>
    <row r="1489" spans="1:8" x14ac:dyDescent="0.2">
      <c r="A1489" t="s">
        <v>2793</v>
      </c>
      <c r="B1489" t="s">
        <v>2794</v>
      </c>
      <c r="C1489" t="s">
        <v>170</v>
      </c>
      <c r="D1489" t="s">
        <v>143</v>
      </c>
      <c r="E1489">
        <v>2536807534</v>
      </c>
      <c r="F1489" t="s">
        <v>170</v>
      </c>
      <c r="G1489" t="s">
        <v>170</v>
      </c>
      <c r="H1489" t="s">
        <v>170</v>
      </c>
    </row>
    <row r="1490" spans="1:8" x14ac:dyDescent="0.2">
      <c r="A1490" t="s">
        <v>2795</v>
      </c>
      <c r="B1490" t="s">
        <v>2796</v>
      </c>
      <c r="C1490" t="s">
        <v>166</v>
      </c>
      <c r="D1490" t="s">
        <v>143</v>
      </c>
      <c r="E1490">
        <v>3823661561</v>
      </c>
      <c r="F1490" t="s">
        <v>166</v>
      </c>
      <c r="G1490" t="s">
        <v>166</v>
      </c>
      <c r="H1490" t="s">
        <v>160</v>
      </c>
    </row>
    <row r="1491" spans="1:8" x14ac:dyDescent="0.2">
      <c r="A1491" t="s">
        <v>2797</v>
      </c>
      <c r="B1491" t="s">
        <v>2798</v>
      </c>
      <c r="C1491" t="s">
        <v>572</v>
      </c>
      <c r="D1491" t="s">
        <v>143</v>
      </c>
      <c r="E1491">
        <v>40836069</v>
      </c>
      <c r="F1491" t="s">
        <v>201</v>
      </c>
      <c r="G1491" t="s">
        <v>150</v>
      </c>
      <c r="H1491" t="s">
        <v>145</v>
      </c>
    </row>
    <row r="1492" spans="1:8" x14ac:dyDescent="0.2">
      <c r="A1492" t="s">
        <v>2799</v>
      </c>
      <c r="B1492" t="s">
        <v>2800</v>
      </c>
      <c r="C1492" t="s">
        <v>666</v>
      </c>
      <c r="D1492" t="s">
        <v>136</v>
      </c>
      <c r="E1492">
        <v>5061244</v>
      </c>
      <c r="F1492" t="s">
        <v>667</v>
      </c>
      <c r="G1492" t="s">
        <v>668</v>
      </c>
      <c r="H1492" t="s">
        <v>668</v>
      </c>
    </row>
    <row r="1493" spans="1:8" x14ac:dyDescent="0.2">
      <c r="A1493" t="s">
        <v>3155</v>
      </c>
      <c r="B1493" t="s">
        <v>3156</v>
      </c>
      <c r="C1493" t="s">
        <v>200</v>
      </c>
      <c r="D1493" t="s">
        <v>167</v>
      </c>
      <c r="E1493">
        <v>350000000</v>
      </c>
      <c r="F1493" t="s">
        <v>201</v>
      </c>
      <c r="G1493" t="s">
        <v>150</v>
      </c>
      <c r="H1493" t="s">
        <v>145</v>
      </c>
    </row>
    <row r="1494" spans="1:8" x14ac:dyDescent="0.2">
      <c r="A1494" t="s">
        <v>3157</v>
      </c>
      <c r="B1494" t="s">
        <v>3158</v>
      </c>
      <c r="C1494" t="s">
        <v>158</v>
      </c>
      <c r="D1494" t="s">
        <v>167</v>
      </c>
      <c r="E1494">
        <v>45133300</v>
      </c>
      <c r="F1494" t="s">
        <v>159</v>
      </c>
      <c r="G1494" t="s">
        <v>159</v>
      </c>
      <c r="H1494" t="s">
        <v>160</v>
      </c>
    </row>
    <row r="1495" spans="1:8" x14ac:dyDescent="0.2">
      <c r="A1495" t="s">
        <v>674</v>
      </c>
      <c r="B1495" t="s">
        <v>2801</v>
      </c>
      <c r="C1495" t="s">
        <v>194</v>
      </c>
      <c r="D1495" t="s">
        <v>136</v>
      </c>
      <c r="E1495">
        <v>5600000</v>
      </c>
      <c r="F1495" t="s">
        <v>195</v>
      </c>
      <c r="G1495" t="s">
        <v>195</v>
      </c>
      <c r="H1495" t="s">
        <v>184</v>
      </c>
    </row>
    <row r="1496" spans="1:8" x14ac:dyDescent="0.2">
      <c r="A1496" t="s">
        <v>2802</v>
      </c>
      <c r="B1496" t="s">
        <v>2803</v>
      </c>
      <c r="C1496" t="s">
        <v>149</v>
      </c>
      <c r="D1496" t="s">
        <v>136</v>
      </c>
      <c r="E1496">
        <v>1250000</v>
      </c>
      <c r="F1496" t="s">
        <v>149</v>
      </c>
      <c r="G1496" t="s">
        <v>150</v>
      </c>
      <c r="H1496" t="s">
        <v>145</v>
      </c>
    </row>
    <row r="1497" spans="1:8" x14ac:dyDescent="0.2">
      <c r="A1497" t="s">
        <v>674</v>
      </c>
      <c r="B1497" t="s">
        <v>2804</v>
      </c>
      <c r="C1497" t="s">
        <v>211</v>
      </c>
      <c r="D1497" t="s">
        <v>136</v>
      </c>
      <c r="E1497">
        <v>25500000</v>
      </c>
      <c r="F1497" t="s">
        <v>212</v>
      </c>
      <c r="G1497" t="s">
        <v>183</v>
      </c>
      <c r="H1497" t="s">
        <v>184</v>
      </c>
    </row>
    <row r="1498" spans="1:8" x14ac:dyDescent="0.2">
      <c r="A1498" t="s">
        <v>674</v>
      </c>
      <c r="B1498" t="s">
        <v>2806</v>
      </c>
      <c r="C1498" t="s">
        <v>826</v>
      </c>
      <c r="D1498" t="s">
        <v>143</v>
      </c>
      <c r="E1498">
        <v>68470941</v>
      </c>
      <c r="F1498" t="s">
        <v>212</v>
      </c>
      <c r="G1498" t="s">
        <v>183</v>
      </c>
      <c r="H1498" t="s">
        <v>184</v>
      </c>
    </row>
    <row r="1499" spans="1:8" x14ac:dyDescent="0.2">
      <c r="A1499" t="s">
        <v>2807</v>
      </c>
      <c r="B1499" t="s">
        <v>2808</v>
      </c>
      <c r="C1499" t="s">
        <v>378</v>
      </c>
      <c r="D1499" t="s">
        <v>136</v>
      </c>
      <c r="E1499">
        <v>8240000</v>
      </c>
      <c r="F1499" t="s">
        <v>326</v>
      </c>
      <c r="G1499" t="s">
        <v>327</v>
      </c>
      <c r="H1499" t="s">
        <v>217</v>
      </c>
    </row>
    <row r="1500" spans="1:8" x14ac:dyDescent="0.2">
      <c r="A1500" t="s">
        <v>674</v>
      </c>
      <c r="B1500" t="s">
        <v>2809</v>
      </c>
      <c r="C1500" t="s">
        <v>194</v>
      </c>
      <c r="D1500" t="s">
        <v>167</v>
      </c>
      <c r="E1500">
        <v>50000000</v>
      </c>
      <c r="F1500" t="s">
        <v>195</v>
      </c>
      <c r="G1500" t="s">
        <v>195</v>
      </c>
      <c r="H1500" t="s">
        <v>184</v>
      </c>
    </row>
    <row r="1501" spans="1:8" x14ac:dyDescent="0.2">
      <c r="A1501" t="s">
        <v>674</v>
      </c>
      <c r="B1501" t="s">
        <v>2810</v>
      </c>
      <c r="C1501" t="s">
        <v>208</v>
      </c>
      <c r="D1501" t="s">
        <v>136</v>
      </c>
      <c r="E1501">
        <v>58018600</v>
      </c>
      <c r="F1501" t="s">
        <v>195</v>
      </c>
      <c r="G1501" t="s">
        <v>195</v>
      </c>
      <c r="H1501" t="s">
        <v>184</v>
      </c>
    </row>
    <row r="1502" spans="1:8" x14ac:dyDescent="0.2">
      <c r="A1502" t="s">
        <v>2811</v>
      </c>
      <c r="B1502" t="s">
        <v>2812</v>
      </c>
      <c r="C1502" t="s">
        <v>158</v>
      </c>
      <c r="D1502" t="s">
        <v>143</v>
      </c>
      <c r="E1502">
        <v>669444725</v>
      </c>
      <c r="F1502" t="s">
        <v>159</v>
      </c>
      <c r="G1502" t="s">
        <v>159</v>
      </c>
      <c r="H1502" t="s">
        <v>160</v>
      </c>
    </row>
    <row r="1503" spans="1:8" x14ac:dyDescent="0.2">
      <c r="A1503" t="s">
        <v>2813</v>
      </c>
      <c r="B1503" t="s">
        <v>2814</v>
      </c>
      <c r="C1503" t="s">
        <v>1405</v>
      </c>
      <c r="D1503" t="s">
        <v>143</v>
      </c>
      <c r="E1503">
        <v>541611334</v>
      </c>
      <c r="F1503" t="s">
        <v>326</v>
      </c>
      <c r="G1503" t="s">
        <v>327</v>
      </c>
      <c r="H1503" t="s">
        <v>217</v>
      </c>
    </row>
    <row r="1504" spans="1:8" x14ac:dyDescent="0.2">
      <c r="A1504" t="s">
        <v>2815</v>
      </c>
      <c r="B1504" t="s">
        <v>2816</v>
      </c>
      <c r="C1504" t="s">
        <v>739</v>
      </c>
      <c r="D1504" t="s">
        <v>136</v>
      </c>
      <c r="E1504">
        <v>20000000</v>
      </c>
      <c r="F1504" t="s">
        <v>686</v>
      </c>
      <c r="G1504" t="s">
        <v>686</v>
      </c>
      <c r="H1504" t="s">
        <v>139</v>
      </c>
    </row>
    <row r="1505" spans="1:8" x14ac:dyDescent="0.2">
      <c r="A1505" t="s">
        <v>2817</v>
      </c>
      <c r="B1505" t="s">
        <v>2818</v>
      </c>
      <c r="C1505" t="s">
        <v>142</v>
      </c>
      <c r="D1505" t="s">
        <v>136</v>
      </c>
      <c r="E1505">
        <v>8000000</v>
      </c>
      <c r="F1505" t="s">
        <v>144</v>
      </c>
      <c r="G1505" t="s">
        <v>144</v>
      </c>
      <c r="H1505" t="s">
        <v>145</v>
      </c>
    </row>
    <row r="1506" spans="1:8" x14ac:dyDescent="0.2">
      <c r="A1506" t="s">
        <v>2819</v>
      </c>
      <c r="B1506" t="s">
        <v>2820</v>
      </c>
      <c r="C1506" t="s">
        <v>704</v>
      </c>
      <c r="D1506" t="s">
        <v>167</v>
      </c>
      <c r="E1506">
        <v>3995996</v>
      </c>
      <c r="F1506" t="s">
        <v>693</v>
      </c>
      <c r="G1506" t="s">
        <v>668</v>
      </c>
      <c r="H1506" t="s">
        <v>668</v>
      </c>
    </row>
    <row r="1507" spans="1:8" x14ac:dyDescent="0.2">
      <c r="A1507" t="s">
        <v>674</v>
      </c>
      <c r="B1507" t="s">
        <v>2821</v>
      </c>
      <c r="C1507" t="s">
        <v>194</v>
      </c>
      <c r="D1507" t="s">
        <v>136</v>
      </c>
      <c r="E1507">
        <v>46921600</v>
      </c>
      <c r="F1507" t="s">
        <v>195</v>
      </c>
      <c r="G1507" t="s">
        <v>195</v>
      </c>
      <c r="H1507" t="s">
        <v>184</v>
      </c>
    </row>
    <row r="1508" spans="1:8" x14ac:dyDescent="0.2">
      <c r="A1508" t="s">
        <v>2822</v>
      </c>
      <c r="B1508" t="s">
        <v>2823</v>
      </c>
      <c r="C1508" t="s">
        <v>153</v>
      </c>
      <c r="D1508" t="s">
        <v>136</v>
      </c>
      <c r="E1508">
        <v>212491611</v>
      </c>
      <c r="F1508" t="s">
        <v>154</v>
      </c>
      <c r="G1508" t="s">
        <v>155</v>
      </c>
      <c r="H1508" t="s">
        <v>139</v>
      </c>
    </row>
    <row r="1509" spans="1:8" x14ac:dyDescent="0.2">
      <c r="A1509" t="s">
        <v>2824</v>
      </c>
      <c r="B1509" t="s">
        <v>2825</v>
      </c>
      <c r="C1509" t="s">
        <v>237</v>
      </c>
      <c r="D1509" t="s">
        <v>136</v>
      </c>
      <c r="E1509">
        <v>11959982</v>
      </c>
      <c r="F1509" t="s">
        <v>154</v>
      </c>
      <c r="G1509" t="s">
        <v>155</v>
      </c>
      <c r="H1509" t="s">
        <v>139</v>
      </c>
    </row>
    <row r="1510" spans="1:8" x14ac:dyDescent="0.2">
      <c r="A1510" t="s">
        <v>674</v>
      </c>
      <c r="B1510" t="s">
        <v>2826</v>
      </c>
      <c r="C1510" t="s">
        <v>903</v>
      </c>
      <c r="D1510" t="s">
        <v>136</v>
      </c>
      <c r="E1510">
        <v>14212130</v>
      </c>
      <c r="F1510" t="s">
        <v>212</v>
      </c>
      <c r="G1510" t="s">
        <v>183</v>
      </c>
      <c r="H1510" t="s">
        <v>184</v>
      </c>
    </row>
    <row r="1511" spans="1:8" x14ac:dyDescent="0.2">
      <c r="A1511" t="s">
        <v>674</v>
      </c>
      <c r="B1511" t="s">
        <v>2827</v>
      </c>
      <c r="C1511" t="s">
        <v>441</v>
      </c>
      <c r="D1511" t="s">
        <v>136</v>
      </c>
      <c r="E1511">
        <v>3536222</v>
      </c>
      <c r="F1511" t="s">
        <v>182</v>
      </c>
      <c r="G1511" t="s">
        <v>183</v>
      </c>
      <c r="H1511" t="s">
        <v>184</v>
      </c>
    </row>
    <row r="1512" spans="1:8" x14ac:dyDescent="0.2">
      <c r="A1512" t="s">
        <v>2828</v>
      </c>
      <c r="B1512" t="s">
        <v>2829</v>
      </c>
      <c r="C1512" t="s">
        <v>387</v>
      </c>
      <c r="D1512" t="s">
        <v>136</v>
      </c>
      <c r="E1512">
        <v>28900000</v>
      </c>
      <c r="F1512" t="s">
        <v>311</v>
      </c>
      <c r="G1512" t="s">
        <v>312</v>
      </c>
      <c r="H1512" t="s">
        <v>313</v>
      </c>
    </row>
    <row r="1513" spans="1:8" x14ac:dyDescent="0.2">
      <c r="A1513" t="s">
        <v>2830</v>
      </c>
      <c r="B1513" t="s">
        <v>2831</v>
      </c>
      <c r="C1513" t="s">
        <v>685</v>
      </c>
      <c r="D1513" t="s">
        <v>136</v>
      </c>
      <c r="E1513">
        <v>2700000</v>
      </c>
      <c r="F1513" t="s">
        <v>686</v>
      </c>
      <c r="G1513" t="s">
        <v>686</v>
      </c>
      <c r="H1513" t="s">
        <v>139</v>
      </c>
    </row>
    <row r="1514" spans="1:8" x14ac:dyDescent="0.2">
      <c r="A1514" t="s">
        <v>674</v>
      </c>
      <c r="B1514" t="s">
        <v>2832</v>
      </c>
      <c r="C1514" t="s">
        <v>208</v>
      </c>
      <c r="D1514" t="s">
        <v>167</v>
      </c>
      <c r="E1514">
        <v>26134132</v>
      </c>
      <c r="F1514" t="s">
        <v>195</v>
      </c>
      <c r="G1514" t="s">
        <v>195</v>
      </c>
      <c r="H1514" t="s">
        <v>184</v>
      </c>
    </row>
    <row r="1515" spans="1:8" x14ac:dyDescent="0.2">
      <c r="A1515" t="s">
        <v>2833</v>
      </c>
      <c r="B1515" t="s">
        <v>2834</v>
      </c>
      <c r="C1515" t="s">
        <v>240</v>
      </c>
      <c r="D1515" t="s">
        <v>143</v>
      </c>
      <c r="E1515">
        <v>15440268</v>
      </c>
      <c r="F1515" t="s">
        <v>240</v>
      </c>
      <c r="G1515" t="s">
        <v>241</v>
      </c>
      <c r="H1515" t="s">
        <v>242</v>
      </c>
    </row>
    <row r="1516" spans="1:8" x14ac:dyDescent="0.2">
      <c r="A1516" t="s">
        <v>2835</v>
      </c>
      <c r="B1516" t="s">
        <v>2836</v>
      </c>
      <c r="C1516" t="s">
        <v>310</v>
      </c>
      <c r="D1516" t="s">
        <v>136</v>
      </c>
      <c r="E1516">
        <v>9600000</v>
      </c>
      <c r="F1516" t="s">
        <v>311</v>
      </c>
      <c r="G1516" t="s">
        <v>312</v>
      </c>
      <c r="H1516" t="s">
        <v>313</v>
      </c>
    </row>
    <row r="1517" spans="1:8" x14ac:dyDescent="0.2">
      <c r="A1517" t="s">
        <v>2837</v>
      </c>
      <c r="B1517" t="s">
        <v>2838</v>
      </c>
      <c r="C1517" t="s">
        <v>330</v>
      </c>
      <c r="D1517" t="s">
        <v>136</v>
      </c>
      <c r="E1517">
        <v>3885000</v>
      </c>
      <c r="F1517" t="s">
        <v>330</v>
      </c>
      <c r="G1517" t="s">
        <v>312</v>
      </c>
      <c r="H1517" t="s">
        <v>313</v>
      </c>
    </row>
    <row r="1518" spans="1:8" x14ac:dyDescent="0.2">
      <c r="A1518" t="s">
        <v>674</v>
      </c>
      <c r="B1518" t="s">
        <v>2839</v>
      </c>
      <c r="C1518" t="s">
        <v>211</v>
      </c>
      <c r="D1518" t="s">
        <v>167</v>
      </c>
      <c r="E1518">
        <v>9000000</v>
      </c>
      <c r="F1518" t="s">
        <v>212</v>
      </c>
      <c r="G1518" t="s">
        <v>183</v>
      </c>
      <c r="H1518" t="s">
        <v>184</v>
      </c>
    </row>
    <row r="1519" spans="1:8" x14ac:dyDescent="0.2">
      <c r="A1519" t="s">
        <v>674</v>
      </c>
      <c r="B1519" t="s">
        <v>2840</v>
      </c>
      <c r="C1519" t="s">
        <v>903</v>
      </c>
      <c r="D1519" t="s">
        <v>136</v>
      </c>
      <c r="E1519">
        <v>3150000</v>
      </c>
      <c r="F1519" t="s">
        <v>212</v>
      </c>
      <c r="G1519" t="s">
        <v>183</v>
      </c>
      <c r="H1519" t="s">
        <v>184</v>
      </c>
    </row>
    <row r="1520" spans="1:8" x14ac:dyDescent="0.2">
      <c r="A1520" t="s">
        <v>674</v>
      </c>
      <c r="B1520" t="s">
        <v>2841</v>
      </c>
      <c r="C1520" t="s">
        <v>826</v>
      </c>
      <c r="D1520" t="s">
        <v>136</v>
      </c>
      <c r="E1520">
        <v>33999960</v>
      </c>
      <c r="F1520" t="s">
        <v>212</v>
      </c>
      <c r="G1520" t="s">
        <v>183</v>
      </c>
      <c r="H1520" t="s">
        <v>184</v>
      </c>
    </row>
    <row r="1521" spans="1:8" x14ac:dyDescent="0.2">
      <c r="A1521" t="s">
        <v>2842</v>
      </c>
      <c r="B1521" t="s">
        <v>2843</v>
      </c>
      <c r="C1521" t="s">
        <v>215</v>
      </c>
      <c r="D1521" t="s">
        <v>136</v>
      </c>
      <c r="E1521">
        <v>67909960</v>
      </c>
      <c r="F1521" t="s">
        <v>216</v>
      </c>
      <c r="G1521" t="s">
        <v>216</v>
      </c>
      <c r="H1521" t="s">
        <v>217</v>
      </c>
    </row>
    <row r="1522" spans="1:8" x14ac:dyDescent="0.2">
      <c r="A1522" t="s">
        <v>674</v>
      </c>
      <c r="B1522" t="s">
        <v>2844</v>
      </c>
      <c r="C1522" t="s">
        <v>181</v>
      </c>
      <c r="D1522" t="s">
        <v>167</v>
      </c>
      <c r="E1522">
        <v>10499955</v>
      </c>
      <c r="F1522" t="s">
        <v>182</v>
      </c>
      <c r="G1522" t="s">
        <v>183</v>
      </c>
      <c r="H1522" t="s">
        <v>184</v>
      </c>
    </row>
    <row r="1523" spans="1:8" x14ac:dyDescent="0.2">
      <c r="A1523" t="s">
        <v>119</v>
      </c>
      <c r="B1523" t="s">
        <v>2845</v>
      </c>
      <c r="C1523" t="s">
        <v>158</v>
      </c>
      <c r="D1523" t="s">
        <v>143</v>
      </c>
      <c r="E1523">
        <v>1522299908</v>
      </c>
      <c r="F1523" t="s">
        <v>159</v>
      </c>
      <c r="G1523" t="s">
        <v>159</v>
      </c>
      <c r="H1523" t="s">
        <v>160</v>
      </c>
    </row>
    <row r="1524" spans="1:8" x14ac:dyDescent="0.2">
      <c r="A1524" t="s">
        <v>674</v>
      </c>
      <c r="B1524" t="s">
        <v>2847</v>
      </c>
      <c r="C1524" t="s">
        <v>208</v>
      </c>
      <c r="D1524" t="s">
        <v>143</v>
      </c>
      <c r="E1524">
        <v>90432953</v>
      </c>
      <c r="F1524" t="s">
        <v>195</v>
      </c>
      <c r="G1524" t="s">
        <v>195</v>
      </c>
      <c r="H1524" t="s">
        <v>184</v>
      </c>
    </row>
    <row r="1525" spans="1:8" x14ac:dyDescent="0.2">
      <c r="A1525" t="s">
        <v>674</v>
      </c>
      <c r="B1525" t="s">
        <v>2848</v>
      </c>
      <c r="C1525" t="s">
        <v>903</v>
      </c>
      <c r="D1525" t="s">
        <v>167</v>
      </c>
      <c r="E1525">
        <v>31715880</v>
      </c>
      <c r="F1525" t="s">
        <v>212</v>
      </c>
      <c r="G1525" t="s">
        <v>183</v>
      </c>
      <c r="H1525" t="s">
        <v>184</v>
      </c>
    </row>
    <row r="1526" spans="1:8" x14ac:dyDescent="0.2">
      <c r="A1526" t="s">
        <v>2849</v>
      </c>
      <c r="B1526" t="s">
        <v>2850</v>
      </c>
      <c r="C1526" t="s">
        <v>378</v>
      </c>
      <c r="D1526" t="s">
        <v>143</v>
      </c>
      <c r="E1526">
        <v>97276608</v>
      </c>
      <c r="F1526" t="s">
        <v>326</v>
      </c>
      <c r="G1526" t="s">
        <v>327</v>
      </c>
      <c r="H1526" t="s">
        <v>217</v>
      </c>
    </row>
    <row r="1527" spans="1:8" x14ac:dyDescent="0.2">
      <c r="A1527" t="s">
        <v>2851</v>
      </c>
      <c r="B1527" t="s">
        <v>2852</v>
      </c>
      <c r="C1527" t="s">
        <v>153</v>
      </c>
      <c r="D1527" t="s">
        <v>136</v>
      </c>
      <c r="E1527">
        <v>8023071</v>
      </c>
      <c r="F1527" t="s">
        <v>154</v>
      </c>
      <c r="G1527" t="s">
        <v>155</v>
      </c>
      <c r="H1527" t="s">
        <v>139</v>
      </c>
    </row>
    <row r="1528" spans="1:8" x14ac:dyDescent="0.2">
      <c r="A1528" t="s">
        <v>2853</v>
      </c>
      <c r="B1528" t="s">
        <v>2854</v>
      </c>
      <c r="C1528" t="s">
        <v>166</v>
      </c>
      <c r="D1528" t="s">
        <v>136</v>
      </c>
      <c r="E1528">
        <v>10559996</v>
      </c>
      <c r="F1528" t="s">
        <v>166</v>
      </c>
      <c r="G1528" t="s">
        <v>166</v>
      </c>
      <c r="H1528" t="s">
        <v>160</v>
      </c>
    </row>
    <row r="1529" spans="1:8" x14ac:dyDescent="0.2">
      <c r="A1529" t="s">
        <v>674</v>
      </c>
      <c r="B1529" t="s">
        <v>2856</v>
      </c>
      <c r="C1529" t="s">
        <v>903</v>
      </c>
      <c r="D1529" t="s">
        <v>143</v>
      </c>
      <c r="E1529">
        <v>14140487</v>
      </c>
      <c r="F1529" t="s">
        <v>212</v>
      </c>
      <c r="G1529" t="s">
        <v>183</v>
      </c>
      <c r="H1529" t="s">
        <v>184</v>
      </c>
    </row>
    <row r="1530" spans="1:8" x14ac:dyDescent="0.2">
      <c r="A1530" t="s">
        <v>2857</v>
      </c>
      <c r="B1530" t="s">
        <v>2858</v>
      </c>
      <c r="C1530" t="s">
        <v>237</v>
      </c>
      <c r="D1530" t="s">
        <v>143</v>
      </c>
      <c r="E1530">
        <v>2089955445</v>
      </c>
      <c r="F1530" t="s">
        <v>154</v>
      </c>
      <c r="G1530" t="s">
        <v>155</v>
      </c>
      <c r="H1530" t="s">
        <v>139</v>
      </c>
    </row>
    <row r="1531" spans="1:8" x14ac:dyDescent="0.2">
      <c r="A1531" t="s">
        <v>2859</v>
      </c>
      <c r="B1531" t="s">
        <v>2860</v>
      </c>
      <c r="C1531" t="s">
        <v>142</v>
      </c>
      <c r="D1531" t="s">
        <v>136</v>
      </c>
      <c r="E1531">
        <v>19428913</v>
      </c>
      <c r="F1531" t="s">
        <v>144</v>
      </c>
      <c r="G1531" t="s">
        <v>144</v>
      </c>
      <c r="H1531" t="s">
        <v>145</v>
      </c>
    </row>
    <row r="1532" spans="1:8" x14ac:dyDescent="0.2">
      <c r="A1532" t="s">
        <v>2861</v>
      </c>
      <c r="B1532" t="s">
        <v>2862</v>
      </c>
      <c r="C1532" t="s">
        <v>2030</v>
      </c>
      <c r="D1532" t="s">
        <v>167</v>
      </c>
      <c r="E1532">
        <v>165810617</v>
      </c>
      <c r="F1532" t="s">
        <v>177</v>
      </c>
      <c r="G1532" t="s">
        <v>178</v>
      </c>
      <c r="H1532" t="s">
        <v>160</v>
      </c>
    </row>
    <row r="1533" spans="1:8" x14ac:dyDescent="0.2">
      <c r="A1533" t="s">
        <v>2863</v>
      </c>
      <c r="B1533" t="s">
        <v>2864</v>
      </c>
      <c r="C1533" t="s">
        <v>434</v>
      </c>
      <c r="D1533" t="s">
        <v>143</v>
      </c>
      <c r="E1533">
        <v>67859192</v>
      </c>
      <c r="F1533" t="s">
        <v>326</v>
      </c>
      <c r="G1533" t="s">
        <v>327</v>
      </c>
      <c r="H1533" t="s">
        <v>217</v>
      </c>
    </row>
    <row r="1534" spans="1:8" x14ac:dyDescent="0.2">
      <c r="A1534" t="s">
        <v>674</v>
      </c>
      <c r="B1534" t="s">
        <v>2865</v>
      </c>
      <c r="C1534" t="s">
        <v>903</v>
      </c>
      <c r="D1534" t="s">
        <v>167</v>
      </c>
      <c r="E1534">
        <v>16699497</v>
      </c>
      <c r="F1534" t="s">
        <v>212</v>
      </c>
      <c r="G1534" t="s">
        <v>183</v>
      </c>
      <c r="H1534" t="s">
        <v>184</v>
      </c>
    </row>
    <row r="1535" spans="1:8" x14ac:dyDescent="0.2">
      <c r="A1535" t="s">
        <v>2866</v>
      </c>
      <c r="B1535" t="s">
        <v>2867</v>
      </c>
      <c r="C1535" t="s">
        <v>220</v>
      </c>
      <c r="D1535" t="s">
        <v>136</v>
      </c>
      <c r="E1535">
        <v>1224948</v>
      </c>
      <c r="F1535" t="s">
        <v>216</v>
      </c>
      <c r="G1535" t="s">
        <v>216</v>
      </c>
      <c r="H1535" t="s">
        <v>217</v>
      </c>
    </row>
    <row r="1536" spans="1:8" x14ac:dyDescent="0.2">
      <c r="A1536" t="s">
        <v>2868</v>
      </c>
      <c r="B1536" t="s">
        <v>2869</v>
      </c>
      <c r="C1536" t="s">
        <v>293</v>
      </c>
      <c r="D1536" t="s">
        <v>136</v>
      </c>
      <c r="E1536">
        <v>16249969</v>
      </c>
      <c r="F1536" t="s">
        <v>144</v>
      </c>
      <c r="G1536" t="s">
        <v>144</v>
      </c>
      <c r="H1536" t="s">
        <v>145</v>
      </c>
    </row>
    <row r="1537" spans="1:8" x14ac:dyDescent="0.2">
      <c r="A1537" t="s">
        <v>2870</v>
      </c>
      <c r="B1537" t="s">
        <v>2871</v>
      </c>
      <c r="C1537" t="s">
        <v>563</v>
      </c>
      <c r="D1537" t="s">
        <v>136</v>
      </c>
      <c r="E1537">
        <v>28736000</v>
      </c>
      <c r="F1537" t="s">
        <v>216</v>
      </c>
      <c r="G1537" t="s">
        <v>216</v>
      </c>
      <c r="H1537" t="s">
        <v>217</v>
      </c>
    </row>
    <row r="1538" spans="1:8" x14ac:dyDescent="0.2">
      <c r="A1538" t="s">
        <v>2872</v>
      </c>
      <c r="B1538" t="s">
        <v>2873</v>
      </c>
      <c r="C1538" t="s">
        <v>237</v>
      </c>
      <c r="D1538" t="s">
        <v>136</v>
      </c>
      <c r="E1538">
        <v>121800000</v>
      </c>
      <c r="F1538" t="s">
        <v>154</v>
      </c>
      <c r="G1538" t="s">
        <v>155</v>
      </c>
      <c r="H1538" t="s">
        <v>139</v>
      </c>
    </row>
    <row r="1539" spans="1:8" x14ac:dyDescent="0.2">
      <c r="A1539" t="s">
        <v>674</v>
      </c>
      <c r="B1539" t="s">
        <v>2875</v>
      </c>
      <c r="C1539" t="s">
        <v>826</v>
      </c>
      <c r="D1539" t="s">
        <v>143</v>
      </c>
      <c r="E1539">
        <v>140000000</v>
      </c>
      <c r="F1539" t="s">
        <v>212</v>
      </c>
      <c r="G1539" t="s">
        <v>183</v>
      </c>
      <c r="H1539" t="s">
        <v>184</v>
      </c>
    </row>
    <row r="1540" spans="1:8" x14ac:dyDescent="0.2">
      <c r="A1540" t="s">
        <v>674</v>
      </c>
      <c r="B1540" t="s">
        <v>2876</v>
      </c>
      <c r="C1540" t="s">
        <v>826</v>
      </c>
      <c r="D1540" t="s">
        <v>136</v>
      </c>
      <c r="E1540">
        <v>15076177</v>
      </c>
      <c r="F1540" t="s">
        <v>212</v>
      </c>
      <c r="G1540" t="s">
        <v>183</v>
      </c>
      <c r="H1540" t="s">
        <v>184</v>
      </c>
    </row>
    <row r="1541" spans="1:8" x14ac:dyDescent="0.2">
      <c r="A1541" t="s">
        <v>2877</v>
      </c>
      <c r="B1541" t="s">
        <v>2878</v>
      </c>
      <c r="C1541" t="s">
        <v>170</v>
      </c>
      <c r="D1541" t="s">
        <v>143</v>
      </c>
      <c r="E1541">
        <v>7933923601</v>
      </c>
      <c r="F1541" t="s">
        <v>170</v>
      </c>
      <c r="G1541" t="s">
        <v>170</v>
      </c>
      <c r="H1541" t="s">
        <v>170</v>
      </c>
    </row>
    <row r="1542" spans="1:8" x14ac:dyDescent="0.2">
      <c r="A1542" t="s">
        <v>674</v>
      </c>
      <c r="B1542" t="s">
        <v>2879</v>
      </c>
      <c r="C1542" t="s">
        <v>208</v>
      </c>
      <c r="D1542" t="s">
        <v>136</v>
      </c>
      <c r="E1542">
        <v>5625000</v>
      </c>
      <c r="F1542" t="s">
        <v>195</v>
      </c>
      <c r="G1542" t="s">
        <v>195</v>
      </c>
      <c r="H1542" t="s">
        <v>184</v>
      </c>
    </row>
    <row r="1543" spans="1:8" x14ac:dyDescent="0.2">
      <c r="A1543" t="s">
        <v>2880</v>
      </c>
      <c r="B1543" t="s">
        <v>2881</v>
      </c>
      <c r="C1543" t="s">
        <v>330</v>
      </c>
      <c r="D1543" t="s">
        <v>143</v>
      </c>
      <c r="E1543">
        <v>106589629</v>
      </c>
      <c r="F1543" t="s">
        <v>330</v>
      </c>
      <c r="G1543" t="s">
        <v>312</v>
      </c>
      <c r="H1543" t="s">
        <v>313</v>
      </c>
    </row>
    <row r="1544" spans="1:8" x14ac:dyDescent="0.2">
      <c r="A1544" t="s">
        <v>2882</v>
      </c>
      <c r="B1544" t="s">
        <v>2883</v>
      </c>
      <c r="C1544" t="s">
        <v>149</v>
      </c>
      <c r="D1544" t="s">
        <v>143</v>
      </c>
      <c r="E1544">
        <v>88415751</v>
      </c>
      <c r="F1544" t="s">
        <v>149</v>
      </c>
      <c r="G1544" t="s">
        <v>150</v>
      </c>
      <c r="H1544" t="s">
        <v>145</v>
      </c>
    </row>
    <row r="1545" spans="1:8" x14ac:dyDescent="0.2">
      <c r="A1545" t="s">
        <v>2884</v>
      </c>
      <c r="B1545" t="s">
        <v>2885</v>
      </c>
      <c r="C1545" t="s">
        <v>166</v>
      </c>
      <c r="D1545" t="s">
        <v>143</v>
      </c>
      <c r="E1545">
        <v>95357800</v>
      </c>
      <c r="F1545" t="s">
        <v>166</v>
      </c>
      <c r="G1545" t="s">
        <v>166</v>
      </c>
      <c r="H1545" t="s">
        <v>160</v>
      </c>
    </row>
    <row r="1546" spans="1:8" x14ac:dyDescent="0.2">
      <c r="A1546" t="s">
        <v>2886</v>
      </c>
      <c r="B1546" t="s">
        <v>2887</v>
      </c>
      <c r="C1546" t="s">
        <v>166</v>
      </c>
      <c r="D1546" t="s">
        <v>143</v>
      </c>
      <c r="E1546">
        <v>241999617</v>
      </c>
      <c r="F1546" t="s">
        <v>166</v>
      </c>
      <c r="G1546" t="s">
        <v>166</v>
      </c>
      <c r="H1546" t="s">
        <v>160</v>
      </c>
    </row>
    <row r="1547" spans="1:8" x14ac:dyDescent="0.2">
      <c r="A1547" t="s">
        <v>2888</v>
      </c>
      <c r="B1547" t="s">
        <v>2889</v>
      </c>
      <c r="C1547" t="s">
        <v>215</v>
      </c>
      <c r="D1547" t="s">
        <v>136</v>
      </c>
      <c r="E1547">
        <v>5033539</v>
      </c>
      <c r="F1547" t="s">
        <v>216</v>
      </c>
      <c r="G1547" t="s">
        <v>216</v>
      </c>
      <c r="H1547" t="s">
        <v>217</v>
      </c>
    </row>
    <row r="1548" spans="1:8" x14ac:dyDescent="0.2">
      <c r="A1548" t="s">
        <v>2890</v>
      </c>
      <c r="B1548" t="s">
        <v>2891</v>
      </c>
      <c r="C1548" t="s">
        <v>293</v>
      </c>
      <c r="D1548" t="s">
        <v>143</v>
      </c>
      <c r="E1548">
        <v>24460792</v>
      </c>
      <c r="F1548" t="s">
        <v>144</v>
      </c>
      <c r="G1548" t="s">
        <v>144</v>
      </c>
      <c r="H1548" t="s">
        <v>145</v>
      </c>
    </row>
    <row r="1549" spans="1:8" x14ac:dyDescent="0.2">
      <c r="A1549" t="s">
        <v>2892</v>
      </c>
      <c r="B1549" t="s">
        <v>2893</v>
      </c>
      <c r="C1549" t="s">
        <v>387</v>
      </c>
      <c r="D1549" t="s">
        <v>136</v>
      </c>
      <c r="E1549">
        <v>11168676</v>
      </c>
      <c r="F1549" t="s">
        <v>311</v>
      </c>
      <c r="G1549" t="s">
        <v>312</v>
      </c>
      <c r="H1549" t="s">
        <v>313</v>
      </c>
    </row>
    <row r="1550" spans="1:8" x14ac:dyDescent="0.2">
      <c r="A1550" t="s">
        <v>674</v>
      </c>
      <c r="B1550" t="s">
        <v>2894</v>
      </c>
      <c r="C1550" t="s">
        <v>181</v>
      </c>
      <c r="D1550" t="s">
        <v>136</v>
      </c>
      <c r="E1550">
        <v>3599580</v>
      </c>
      <c r="F1550" t="s">
        <v>182</v>
      </c>
      <c r="G1550" t="s">
        <v>183</v>
      </c>
      <c r="H1550" t="s">
        <v>184</v>
      </c>
    </row>
    <row r="1551" spans="1:8" x14ac:dyDescent="0.2">
      <c r="A1551" t="s">
        <v>2895</v>
      </c>
      <c r="B1551" t="s">
        <v>2896</v>
      </c>
      <c r="C1551" t="s">
        <v>166</v>
      </c>
      <c r="D1551" t="s">
        <v>143</v>
      </c>
      <c r="E1551">
        <v>50000000</v>
      </c>
      <c r="F1551" t="s">
        <v>166</v>
      </c>
      <c r="G1551" t="s">
        <v>166</v>
      </c>
      <c r="H1551" t="s">
        <v>160</v>
      </c>
    </row>
    <row r="1552" spans="1:8" x14ac:dyDescent="0.2">
      <c r="A1552" t="s">
        <v>2897</v>
      </c>
      <c r="B1552" t="s">
        <v>2898</v>
      </c>
      <c r="C1552" t="s">
        <v>166</v>
      </c>
      <c r="D1552" t="s">
        <v>143</v>
      </c>
      <c r="E1552">
        <v>2328818410</v>
      </c>
      <c r="F1552" t="s">
        <v>166</v>
      </c>
      <c r="G1552" t="s">
        <v>166</v>
      </c>
      <c r="H1552" t="s">
        <v>160</v>
      </c>
    </row>
    <row r="1553" spans="1:8" x14ac:dyDescent="0.2">
      <c r="A1553" t="s">
        <v>2899</v>
      </c>
      <c r="B1553" t="s">
        <v>2900</v>
      </c>
      <c r="C1553" t="s">
        <v>166</v>
      </c>
      <c r="D1553" t="s">
        <v>136</v>
      </c>
      <c r="E1553">
        <v>25894868</v>
      </c>
      <c r="F1553" t="s">
        <v>166</v>
      </c>
      <c r="G1553" t="s">
        <v>166</v>
      </c>
      <c r="H1553" t="s">
        <v>160</v>
      </c>
    </row>
    <row r="1554" spans="1:8" x14ac:dyDescent="0.2">
      <c r="A1554" t="s">
        <v>674</v>
      </c>
      <c r="B1554" t="s">
        <v>2901</v>
      </c>
      <c r="C1554" t="s">
        <v>903</v>
      </c>
      <c r="D1554" t="s">
        <v>167</v>
      </c>
      <c r="E1554">
        <v>14096486</v>
      </c>
      <c r="F1554" t="s">
        <v>212</v>
      </c>
      <c r="G1554" t="s">
        <v>183</v>
      </c>
      <c r="H1554" t="s">
        <v>184</v>
      </c>
    </row>
    <row r="1555" spans="1:8" x14ac:dyDescent="0.2">
      <c r="A1555" t="s">
        <v>674</v>
      </c>
      <c r="B1555" t="s">
        <v>2903</v>
      </c>
      <c r="C1555" t="s">
        <v>211</v>
      </c>
      <c r="D1555" t="s">
        <v>143</v>
      </c>
      <c r="E1555">
        <v>266791284</v>
      </c>
      <c r="F1555" t="s">
        <v>212</v>
      </c>
      <c r="G1555" t="s">
        <v>183</v>
      </c>
      <c r="H1555" t="s">
        <v>184</v>
      </c>
    </row>
    <row r="1556" spans="1:8" x14ac:dyDescent="0.2">
      <c r="A1556" t="s">
        <v>674</v>
      </c>
      <c r="B1556" t="s">
        <v>2904</v>
      </c>
      <c r="C1556" t="s">
        <v>211</v>
      </c>
      <c r="D1556" t="s">
        <v>136</v>
      </c>
      <c r="E1556">
        <v>8937250</v>
      </c>
      <c r="F1556" t="s">
        <v>212</v>
      </c>
      <c r="G1556" t="s">
        <v>183</v>
      </c>
      <c r="H1556" t="s">
        <v>184</v>
      </c>
    </row>
    <row r="1557" spans="1:8" x14ac:dyDescent="0.2">
      <c r="A1557" t="s">
        <v>2905</v>
      </c>
      <c r="B1557" t="s">
        <v>2906</v>
      </c>
      <c r="C1557" t="s">
        <v>237</v>
      </c>
      <c r="D1557" t="s">
        <v>136</v>
      </c>
      <c r="E1557">
        <v>500000000</v>
      </c>
      <c r="F1557" t="s">
        <v>154</v>
      </c>
      <c r="G1557" t="s">
        <v>155</v>
      </c>
      <c r="H1557" t="s">
        <v>139</v>
      </c>
    </row>
    <row r="1558" spans="1:8" x14ac:dyDescent="0.2">
      <c r="A1558" t="s">
        <v>674</v>
      </c>
      <c r="B1558" t="s">
        <v>2907</v>
      </c>
      <c r="C1558" t="s">
        <v>211</v>
      </c>
      <c r="D1558" t="s">
        <v>136</v>
      </c>
      <c r="E1558">
        <v>11044000</v>
      </c>
      <c r="F1558" t="s">
        <v>212</v>
      </c>
      <c r="G1558" t="s">
        <v>183</v>
      </c>
      <c r="H1558" t="s">
        <v>184</v>
      </c>
    </row>
    <row r="1559" spans="1:8" x14ac:dyDescent="0.2">
      <c r="A1559" t="s">
        <v>2908</v>
      </c>
      <c r="B1559" t="s">
        <v>2909</v>
      </c>
      <c r="C1559" t="s">
        <v>330</v>
      </c>
      <c r="D1559" t="s">
        <v>143</v>
      </c>
      <c r="E1559">
        <v>236241246</v>
      </c>
      <c r="F1559" t="s">
        <v>330</v>
      </c>
      <c r="G1559" t="s">
        <v>312</v>
      </c>
      <c r="H1559" t="s">
        <v>313</v>
      </c>
    </row>
    <row r="1560" spans="1:8" x14ac:dyDescent="0.2">
      <c r="A1560" t="s">
        <v>2910</v>
      </c>
      <c r="B1560" t="s">
        <v>2911</v>
      </c>
      <c r="C1560" t="s">
        <v>166</v>
      </c>
      <c r="D1560" t="s">
        <v>143</v>
      </c>
      <c r="E1560">
        <v>13200000</v>
      </c>
      <c r="F1560" t="s">
        <v>166</v>
      </c>
      <c r="G1560" t="s">
        <v>166</v>
      </c>
      <c r="H1560" t="s">
        <v>160</v>
      </c>
    </row>
    <row r="1561" spans="1:8" x14ac:dyDescent="0.2">
      <c r="A1561" t="s">
        <v>674</v>
      </c>
      <c r="B1561" t="s">
        <v>2912</v>
      </c>
      <c r="C1561" t="s">
        <v>211</v>
      </c>
      <c r="D1561" t="s">
        <v>167</v>
      </c>
      <c r="E1561">
        <v>3354996</v>
      </c>
      <c r="F1561" t="s">
        <v>212</v>
      </c>
      <c r="G1561" t="s">
        <v>183</v>
      </c>
      <c r="H1561" t="s">
        <v>184</v>
      </c>
    </row>
    <row r="1562" spans="1:8" x14ac:dyDescent="0.2">
      <c r="A1562" t="s">
        <v>2913</v>
      </c>
      <c r="B1562" t="s">
        <v>2914</v>
      </c>
      <c r="C1562" t="s">
        <v>237</v>
      </c>
      <c r="D1562" t="s">
        <v>136</v>
      </c>
      <c r="E1562">
        <v>80914300</v>
      </c>
      <c r="F1562" t="s">
        <v>154</v>
      </c>
      <c r="G1562" t="s">
        <v>155</v>
      </c>
      <c r="H1562" t="s">
        <v>139</v>
      </c>
    </row>
    <row r="1563" spans="1:8" x14ac:dyDescent="0.2">
      <c r="A1563" t="s">
        <v>674</v>
      </c>
      <c r="B1563" t="s">
        <v>2915</v>
      </c>
      <c r="C1563" t="s">
        <v>826</v>
      </c>
      <c r="D1563" t="s">
        <v>136</v>
      </c>
      <c r="E1563">
        <v>66999337</v>
      </c>
      <c r="F1563" t="s">
        <v>212</v>
      </c>
      <c r="G1563" t="s">
        <v>183</v>
      </c>
      <c r="H1563" t="s">
        <v>184</v>
      </c>
    </row>
    <row r="1564" spans="1:8" x14ac:dyDescent="0.2">
      <c r="A1564" t="s">
        <v>674</v>
      </c>
      <c r="B1564" t="s">
        <v>2916</v>
      </c>
      <c r="C1564" t="s">
        <v>194</v>
      </c>
      <c r="D1564" t="s">
        <v>136</v>
      </c>
      <c r="E1564">
        <v>8000000</v>
      </c>
      <c r="F1564" t="s">
        <v>195</v>
      </c>
      <c r="G1564" t="s">
        <v>195</v>
      </c>
      <c r="H1564" t="s">
        <v>184</v>
      </c>
    </row>
    <row r="1565" spans="1:8" x14ac:dyDescent="0.2">
      <c r="A1565" t="s">
        <v>674</v>
      </c>
      <c r="B1565" t="s">
        <v>2918</v>
      </c>
      <c r="C1565" t="s">
        <v>578</v>
      </c>
      <c r="D1565" t="s">
        <v>143</v>
      </c>
      <c r="E1565">
        <v>11982050</v>
      </c>
      <c r="F1565" t="s">
        <v>260</v>
      </c>
      <c r="G1565" t="s">
        <v>183</v>
      </c>
      <c r="H1565" t="s">
        <v>184</v>
      </c>
    </row>
    <row r="1566" spans="1:8" x14ac:dyDescent="0.2">
      <c r="A1566" t="s">
        <v>2919</v>
      </c>
      <c r="B1566" t="s">
        <v>2920</v>
      </c>
      <c r="C1566" t="s">
        <v>666</v>
      </c>
      <c r="D1566" t="s">
        <v>167</v>
      </c>
      <c r="E1566">
        <v>4534696</v>
      </c>
      <c r="F1566" t="s">
        <v>667</v>
      </c>
      <c r="G1566" t="s">
        <v>668</v>
      </c>
      <c r="H1566" t="s">
        <v>668</v>
      </c>
    </row>
    <row r="1567" spans="1:8" x14ac:dyDescent="0.2">
      <c r="A1567" t="s">
        <v>2921</v>
      </c>
      <c r="B1567" t="s">
        <v>2922</v>
      </c>
      <c r="C1567" t="s">
        <v>434</v>
      </c>
      <c r="D1567" t="s">
        <v>136</v>
      </c>
      <c r="E1567">
        <v>12000000</v>
      </c>
      <c r="F1567" t="s">
        <v>326</v>
      </c>
      <c r="G1567" t="s">
        <v>327</v>
      </c>
      <c r="H1567" t="s">
        <v>217</v>
      </c>
    </row>
    <row r="1568" spans="1:8" x14ac:dyDescent="0.2">
      <c r="A1568" t="s">
        <v>2923</v>
      </c>
      <c r="B1568" t="s">
        <v>2924</v>
      </c>
      <c r="C1568" t="s">
        <v>666</v>
      </c>
      <c r="D1568" t="s">
        <v>136</v>
      </c>
      <c r="E1568">
        <v>15600000</v>
      </c>
      <c r="F1568" t="s">
        <v>667</v>
      </c>
      <c r="G1568" t="s">
        <v>668</v>
      </c>
      <c r="H1568" t="s">
        <v>668</v>
      </c>
    </row>
    <row r="1569" spans="1:8" x14ac:dyDescent="0.2">
      <c r="A1569" t="s">
        <v>2925</v>
      </c>
      <c r="B1569" t="s">
        <v>2926</v>
      </c>
      <c r="C1569" t="s">
        <v>434</v>
      </c>
      <c r="D1569" t="s">
        <v>136</v>
      </c>
      <c r="E1569">
        <v>18644500</v>
      </c>
      <c r="F1569" t="s">
        <v>326</v>
      </c>
      <c r="G1569" t="s">
        <v>327</v>
      </c>
      <c r="H1569" t="s">
        <v>217</v>
      </c>
    </row>
    <row r="1570" spans="1:8" x14ac:dyDescent="0.2">
      <c r="A1570" t="s">
        <v>2927</v>
      </c>
      <c r="B1570" t="s">
        <v>2928</v>
      </c>
      <c r="C1570" t="s">
        <v>578</v>
      </c>
      <c r="D1570" t="s">
        <v>167</v>
      </c>
      <c r="E1570">
        <v>7899989</v>
      </c>
      <c r="F1570" t="s">
        <v>260</v>
      </c>
      <c r="G1570" t="s">
        <v>183</v>
      </c>
      <c r="H1570" t="s">
        <v>184</v>
      </c>
    </row>
    <row r="1571" spans="1:8" x14ac:dyDescent="0.2">
      <c r="A1571" t="s">
        <v>2929</v>
      </c>
      <c r="B1571" t="s">
        <v>2930</v>
      </c>
      <c r="C1571" t="s">
        <v>163</v>
      </c>
      <c r="D1571" t="s">
        <v>136</v>
      </c>
      <c r="E1571">
        <v>3500000</v>
      </c>
      <c r="F1571" t="s">
        <v>137</v>
      </c>
      <c r="G1571" t="s">
        <v>138</v>
      </c>
      <c r="H1571" t="s">
        <v>139</v>
      </c>
    </row>
    <row r="1572" spans="1:8" x14ac:dyDescent="0.2">
      <c r="A1572" t="s">
        <v>2931</v>
      </c>
      <c r="B1572" t="s">
        <v>2932</v>
      </c>
      <c r="C1572" t="s">
        <v>671</v>
      </c>
      <c r="D1572" t="s">
        <v>167</v>
      </c>
      <c r="E1572">
        <v>11400000</v>
      </c>
      <c r="F1572" t="s">
        <v>671</v>
      </c>
      <c r="G1572" t="s">
        <v>138</v>
      </c>
      <c r="H1572" t="s">
        <v>139</v>
      </c>
    </row>
    <row r="1573" spans="1:8" x14ac:dyDescent="0.2">
      <c r="A1573" t="s">
        <v>2933</v>
      </c>
      <c r="B1573" t="s">
        <v>2934</v>
      </c>
      <c r="C1573" t="s">
        <v>181</v>
      </c>
      <c r="D1573" t="s">
        <v>136</v>
      </c>
      <c r="E1573">
        <v>9383230</v>
      </c>
      <c r="F1573" t="s">
        <v>182</v>
      </c>
      <c r="G1573" t="s">
        <v>183</v>
      </c>
      <c r="H1573" t="s">
        <v>184</v>
      </c>
    </row>
    <row r="1574" spans="1:8" x14ac:dyDescent="0.2">
      <c r="A1574" t="s">
        <v>2935</v>
      </c>
      <c r="B1574" t="s">
        <v>2936</v>
      </c>
      <c r="C1574" t="s">
        <v>1206</v>
      </c>
      <c r="D1574" t="s">
        <v>136</v>
      </c>
      <c r="E1574">
        <v>10119984</v>
      </c>
      <c r="F1574" t="s">
        <v>348</v>
      </c>
      <c r="G1574" t="s">
        <v>155</v>
      </c>
      <c r="H1574" t="s">
        <v>139</v>
      </c>
    </row>
    <row r="1575" spans="1:8" x14ac:dyDescent="0.2">
      <c r="A1575" t="s">
        <v>2937</v>
      </c>
      <c r="B1575" t="s">
        <v>2938</v>
      </c>
      <c r="C1575" t="s">
        <v>434</v>
      </c>
      <c r="D1575" t="s">
        <v>136</v>
      </c>
      <c r="E1575">
        <v>3279797</v>
      </c>
      <c r="F1575" t="s">
        <v>326</v>
      </c>
      <c r="G1575" t="s">
        <v>327</v>
      </c>
      <c r="H1575" t="s">
        <v>217</v>
      </c>
    </row>
    <row r="1576" spans="1:8" x14ac:dyDescent="0.2">
      <c r="A1576" t="s">
        <v>2939</v>
      </c>
      <c r="B1576" t="s">
        <v>2940</v>
      </c>
      <c r="C1576" t="s">
        <v>826</v>
      </c>
      <c r="D1576" t="s">
        <v>143</v>
      </c>
      <c r="E1576">
        <v>79866666</v>
      </c>
      <c r="F1576" t="s">
        <v>212</v>
      </c>
      <c r="G1576" t="s">
        <v>183</v>
      </c>
      <c r="H1576" t="s">
        <v>184</v>
      </c>
    </row>
    <row r="1577" spans="1:8" x14ac:dyDescent="0.2">
      <c r="A1577" t="s">
        <v>2941</v>
      </c>
      <c r="B1577" t="s">
        <v>2942</v>
      </c>
      <c r="C1577" t="s">
        <v>1015</v>
      </c>
      <c r="D1577" t="s">
        <v>143</v>
      </c>
      <c r="E1577">
        <v>121783042</v>
      </c>
      <c r="F1577" t="s">
        <v>212</v>
      </c>
      <c r="G1577" t="s">
        <v>183</v>
      </c>
      <c r="H1577" t="s">
        <v>184</v>
      </c>
    </row>
    <row r="1578" spans="1:8" x14ac:dyDescent="0.2">
      <c r="A1578" t="s">
        <v>2943</v>
      </c>
      <c r="B1578" t="s">
        <v>2944</v>
      </c>
      <c r="C1578" t="s">
        <v>142</v>
      </c>
      <c r="D1578" t="s">
        <v>136</v>
      </c>
      <c r="E1578">
        <v>17081791</v>
      </c>
      <c r="F1578" t="s">
        <v>144</v>
      </c>
      <c r="G1578" t="s">
        <v>144</v>
      </c>
      <c r="H1578" t="s">
        <v>145</v>
      </c>
    </row>
    <row r="1579" spans="1:8" x14ac:dyDescent="0.2">
      <c r="A1579" t="s">
        <v>2945</v>
      </c>
      <c r="B1579" t="s">
        <v>2946</v>
      </c>
      <c r="C1579" t="s">
        <v>434</v>
      </c>
      <c r="D1579" t="s">
        <v>136</v>
      </c>
      <c r="E1579">
        <v>29239090</v>
      </c>
      <c r="F1579" t="s">
        <v>326</v>
      </c>
      <c r="G1579" t="s">
        <v>327</v>
      </c>
      <c r="H1579" t="s">
        <v>217</v>
      </c>
    </row>
    <row r="1580" spans="1:8" x14ac:dyDescent="0.2">
      <c r="A1580" t="s">
        <v>2947</v>
      </c>
      <c r="B1580" t="s">
        <v>2948</v>
      </c>
      <c r="C1580" t="s">
        <v>194</v>
      </c>
      <c r="D1580" t="s">
        <v>136</v>
      </c>
      <c r="E1580">
        <v>2000205</v>
      </c>
      <c r="F1580" t="s">
        <v>195</v>
      </c>
      <c r="G1580" t="s">
        <v>195</v>
      </c>
      <c r="H1580" t="s">
        <v>184</v>
      </c>
    </row>
    <row r="1581" spans="1:8" x14ac:dyDescent="0.2">
      <c r="A1581" t="s">
        <v>2949</v>
      </c>
      <c r="B1581" t="s">
        <v>2950</v>
      </c>
      <c r="C1581" t="s">
        <v>194</v>
      </c>
      <c r="D1581" t="s">
        <v>167</v>
      </c>
      <c r="E1581">
        <v>31199825</v>
      </c>
      <c r="F1581" t="s">
        <v>195</v>
      </c>
      <c r="G1581" t="s">
        <v>195</v>
      </c>
      <c r="H1581" t="s">
        <v>184</v>
      </c>
    </row>
    <row r="1582" spans="1:8" x14ac:dyDescent="0.2">
      <c r="A1582" t="s">
        <v>2951</v>
      </c>
      <c r="B1582" t="s">
        <v>2952</v>
      </c>
      <c r="C1582" t="s">
        <v>903</v>
      </c>
      <c r="D1582" t="s">
        <v>136</v>
      </c>
      <c r="E1582">
        <v>20972321</v>
      </c>
      <c r="F1582" t="s">
        <v>212</v>
      </c>
      <c r="G1582" t="s">
        <v>183</v>
      </c>
      <c r="H1582" t="s">
        <v>184</v>
      </c>
    </row>
    <row r="1583" spans="1:8" x14ac:dyDescent="0.2">
      <c r="A1583" t="s">
        <v>2953</v>
      </c>
      <c r="B1583" t="s">
        <v>2954</v>
      </c>
      <c r="C1583" t="s">
        <v>142</v>
      </c>
      <c r="D1583" t="s">
        <v>167</v>
      </c>
      <c r="E1583">
        <v>48159833</v>
      </c>
      <c r="F1583" t="s">
        <v>144</v>
      </c>
      <c r="G1583" t="s">
        <v>144</v>
      </c>
      <c r="H1583" t="s">
        <v>145</v>
      </c>
    </row>
    <row r="1584" spans="1:8" x14ac:dyDescent="0.2">
      <c r="A1584" t="s">
        <v>2955</v>
      </c>
      <c r="B1584" t="s">
        <v>2956</v>
      </c>
      <c r="C1584" t="s">
        <v>158</v>
      </c>
      <c r="D1584" t="s">
        <v>136</v>
      </c>
      <c r="E1584">
        <v>33900000</v>
      </c>
      <c r="F1584" t="s">
        <v>159</v>
      </c>
      <c r="G1584" t="s">
        <v>159</v>
      </c>
      <c r="H1584" t="s">
        <v>160</v>
      </c>
    </row>
    <row r="1585" spans="1:8" x14ac:dyDescent="0.2">
      <c r="A1585" t="s">
        <v>2957</v>
      </c>
      <c r="B1585" t="s">
        <v>2958</v>
      </c>
      <c r="C1585" t="s">
        <v>208</v>
      </c>
      <c r="D1585" t="s">
        <v>136</v>
      </c>
      <c r="E1585">
        <v>55000000</v>
      </c>
      <c r="F1585" t="s">
        <v>195</v>
      </c>
      <c r="G1585" t="s">
        <v>195</v>
      </c>
      <c r="H1585" t="s">
        <v>184</v>
      </c>
    </row>
    <row r="1586" spans="1:8" x14ac:dyDescent="0.2">
      <c r="A1586" t="s">
        <v>2959</v>
      </c>
      <c r="B1586" t="s">
        <v>2960</v>
      </c>
      <c r="C1586" t="s">
        <v>685</v>
      </c>
      <c r="D1586" t="s">
        <v>136</v>
      </c>
      <c r="E1586">
        <v>21525000</v>
      </c>
      <c r="F1586" t="s">
        <v>686</v>
      </c>
      <c r="G1586" t="s">
        <v>686</v>
      </c>
      <c r="H1586" t="s">
        <v>139</v>
      </c>
    </row>
    <row r="1587" spans="1:8" x14ac:dyDescent="0.2">
      <c r="A1587" t="s">
        <v>2961</v>
      </c>
      <c r="B1587" t="s">
        <v>2962</v>
      </c>
      <c r="C1587" t="s">
        <v>208</v>
      </c>
      <c r="D1587" t="s">
        <v>136</v>
      </c>
      <c r="E1587">
        <v>2000000</v>
      </c>
      <c r="F1587" t="s">
        <v>195</v>
      </c>
      <c r="G1587" t="s">
        <v>195</v>
      </c>
      <c r="H1587" t="s">
        <v>184</v>
      </c>
    </row>
    <row r="1588" spans="1:8" x14ac:dyDescent="0.2">
      <c r="A1588" t="s">
        <v>2963</v>
      </c>
      <c r="B1588" t="s">
        <v>2964</v>
      </c>
      <c r="C1588" t="s">
        <v>387</v>
      </c>
      <c r="D1588" t="s">
        <v>136</v>
      </c>
      <c r="E1588">
        <v>3600000</v>
      </c>
      <c r="F1588" t="s">
        <v>311</v>
      </c>
      <c r="G1588" t="s">
        <v>312</v>
      </c>
      <c r="H1588" t="s">
        <v>313</v>
      </c>
    </row>
    <row r="1589" spans="1:8" x14ac:dyDescent="0.2">
      <c r="A1589" t="s">
        <v>2965</v>
      </c>
      <c r="B1589" t="s">
        <v>2966</v>
      </c>
      <c r="C1589" t="s">
        <v>194</v>
      </c>
      <c r="D1589" t="s">
        <v>136</v>
      </c>
      <c r="E1589">
        <v>4049006</v>
      </c>
      <c r="F1589" t="s">
        <v>195</v>
      </c>
      <c r="G1589" t="s">
        <v>195</v>
      </c>
      <c r="H1589" t="s">
        <v>184</v>
      </c>
    </row>
    <row r="1590" spans="1:8" x14ac:dyDescent="0.2">
      <c r="A1590" t="s">
        <v>2967</v>
      </c>
      <c r="B1590" t="s">
        <v>2968</v>
      </c>
      <c r="C1590" t="s">
        <v>293</v>
      </c>
      <c r="D1590" t="s">
        <v>136</v>
      </c>
      <c r="E1590">
        <v>3600000</v>
      </c>
      <c r="F1590" t="s">
        <v>144</v>
      </c>
      <c r="G1590" t="s">
        <v>144</v>
      </c>
      <c r="H1590" t="s">
        <v>145</v>
      </c>
    </row>
    <row r="1591" spans="1:8" x14ac:dyDescent="0.2">
      <c r="A1591" t="s">
        <v>2969</v>
      </c>
      <c r="B1591" t="s">
        <v>2970</v>
      </c>
      <c r="C1591" t="s">
        <v>310</v>
      </c>
      <c r="D1591" t="s">
        <v>136</v>
      </c>
      <c r="E1591">
        <v>6011932</v>
      </c>
      <c r="F1591" t="s">
        <v>311</v>
      </c>
      <c r="G1591" t="s">
        <v>312</v>
      </c>
      <c r="H1591" t="s">
        <v>313</v>
      </c>
    </row>
    <row r="1592" spans="1:8" x14ac:dyDescent="0.2">
      <c r="A1592" t="s">
        <v>2971</v>
      </c>
      <c r="B1592" t="s">
        <v>2972</v>
      </c>
      <c r="C1592" t="s">
        <v>211</v>
      </c>
      <c r="D1592" t="s">
        <v>167</v>
      </c>
      <c r="E1592">
        <v>2500000</v>
      </c>
      <c r="F1592" t="s">
        <v>212</v>
      </c>
      <c r="G1592" t="s">
        <v>183</v>
      </c>
      <c r="H1592" t="s">
        <v>184</v>
      </c>
    </row>
    <row r="1593" spans="1:8" x14ac:dyDescent="0.2">
      <c r="A1593" t="s">
        <v>2973</v>
      </c>
      <c r="B1593" t="s">
        <v>2974</v>
      </c>
      <c r="C1593" t="s">
        <v>347</v>
      </c>
      <c r="D1593" t="s">
        <v>136</v>
      </c>
      <c r="E1593">
        <v>14500000</v>
      </c>
      <c r="F1593" t="s">
        <v>348</v>
      </c>
      <c r="G1593" t="s">
        <v>155</v>
      </c>
      <c r="H1593" t="s">
        <v>139</v>
      </c>
    </row>
    <row r="1594" spans="1:8" x14ac:dyDescent="0.2">
      <c r="A1594" t="s">
        <v>2975</v>
      </c>
      <c r="B1594" t="s">
        <v>2976</v>
      </c>
      <c r="C1594" t="s">
        <v>158</v>
      </c>
      <c r="D1594" t="s">
        <v>167</v>
      </c>
      <c r="E1594">
        <v>50300000</v>
      </c>
      <c r="F1594" t="s">
        <v>159</v>
      </c>
      <c r="G1594" t="s">
        <v>159</v>
      </c>
      <c r="H1594" t="s">
        <v>160</v>
      </c>
    </row>
    <row r="1595" spans="1:8" x14ac:dyDescent="0.2">
      <c r="A1595" t="s">
        <v>2977</v>
      </c>
      <c r="B1595" t="s">
        <v>2978</v>
      </c>
      <c r="C1595" t="s">
        <v>826</v>
      </c>
      <c r="D1595" t="s">
        <v>136</v>
      </c>
      <c r="E1595">
        <v>10000000</v>
      </c>
      <c r="F1595" t="s">
        <v>212</v>
      </c>
      <c r="G1595" t="s">
        <v>183</v>
      </c>
      <c r="H1595" t="s">
        <v>184</v>
      </c>
    </row>
    <row r="1596" spans="1:8" x14ac:dyDescent="0.2">
      <c r="A1596" t="s">
        <v>2979</v>
      </c>
      <c r="B1596" t="s">
        <v>2980</v>
      </c>
      <c r="C1596" t="s">
        <v>163</v>
      </c>
      <c r="D1596" t="s">
        <v>167</v>
      </c>
      <c r="E1596">
        <v>17250000</v>
      </c>
      <c r="F1596" t="s">
        <v>137</v>
      </c>
      <c r="G1596" t="s">
        <v>138</v>
      </c>
      <c r="H1596" t="s">
        <v>139</v>
      </c>
    </row>
    <row r="1597" spans="1:8" x14ac:dyDescent="0.2">
      <c r="A1597" t="s">
        <v>2981</v>
      </c>
      <c r="B1597" t="s">
        <v>2982</v>
      </c>
      <c r="C1597" t="s">
        <v>163</v>
      </c>
      <c r="D1597" t="s">
        <v>136</v>
      </c>
      <c r="E1597">
        <v>5000000</v>
      </c>
      <c r="F1597" t="s">
        <v>137</v>
      </c>
      <c r="G1597" t="s">
        <v>138</v>
      </c>
      <c r="H1597" t="s">
        <v>139</v>
      </c>
    </row>
    <row r="1598" spans="1:8" x14ac:dyDescent="0.2">
      <c r="A1598" t="s">
        <v>2983</v>
      </c>
      <c r="B1598" t="s">
        <v>2984</v>
      </c>
      <c r="C1598" t="s">
        <v>194</v>
      </c>
      <c r="D1598" t="s">
        <v>136</v>
      </c>
      <c r="E1598">
        <v>1340877</v>
      </c>
      <c r="F1598" t="s">
        <v>195</v>
      </c>
      <c r="G1598" t="s">
        <v>195</v>
      </c>
      <c r="H1598" t="s">
        <v>184</v>
      </c>
    </row>
    <row r="1599" spans="1:8" x14ac:dyDescent="0.2">
      <c r="A1599" t="s">
        <v>2985</v>
      </c>
      <c r="B1599" t="s">
        <v>2986</v>
      </c>
      <c r="C1599" t="s">
        <v>166</v>
      </c>
      <c r="D1599" t="s">
        <v>136</v>
      </c>
      <c r="E1599">
        <v>27026907</v>
      </c>
      <c r="F1599" t="s">
        <v>166</v>
      </c>
      <c r="G1599" t="s">
        <v>166</v>
      </c>
      <c r="H1599" t="s">
        <v>160</v>
      </c>
    </row>
    <row r="1600" spans="1:8" x14ac:dyDescent="0.2">
      <c r="A1600" t="s">
        <v>2987</v>
      </c>
      <c r="B1600" t="s">
        <v>2988</v>
      </c>
      <c r="C1600" t="s">
        <v>819</v>
      </c>
      <c r="D1600" t="s">
        <v>136</v>
      </c>
      <c r="E1600">
        <v>21096500</v>
      </c>
      <c r="F1600" t="s">
        <v>820</v>
      </c>
      <c r="G1600" t="s">
        <v>138</v>
      </c>
      <c r="H1600" t="s">
        <v>139</v>
      </c>
    </row>
    <row r="1601" spans="1:8" x14ac:dyDescent="0.2">
      <c r="A1601" t="s">
        <v>2989</v>
      </c>
      <c r="B1601" t="s">
        <v>2990</v>
      </c>
      <c r="C1601" t="s">
        <v>208</v>
      </c>
      <c r="D1601" t="s">
        <v>136</v>
      </c>
      <c r="E1601">
        <v>3000000</v>
      </c>
      <c r="F1601" t="s">
        <v>195</v>
      </c>
      <c r="G1601" t="s">
        <v>195</v>
      </c>
      <c r="H1601" t="s">
        <v>184</v>
      </c>
    </row>
    <row r="1602" spans="1:8" x14ac:dyDescent="0.2">
      <c r="A1602" t="s">
        <v>2991</v>
      </c>
      <c r="B1602" t="s">
        <v>2992</v>
      </c>
      <c r="C1602" t="s">
        <v>194</v>
      </c>
      <c r="D1602" t="s">
        <v>136</v>
      </c>
      <c r="E1602">
        <v>71405689</v>
      </c>
      <c r="F1602" t="s">
        <v>195</v>
      </c>
      <c r="G1602" t="s">
        <v>195</v>
      </c>
      <c r="H1602" t="s">
        <v>184</v>
      </c>
    </row>
    <row r="1603" spans="1:8" x14ac:dyDescent="0.2">
      <c r="A1603" t="s">
        <v>2993</v>
      </c>
      <c r="B1603" t="s">
        <v>2994</v>
      </c>
      <c r="C1603" t="s">
        <v>194</v>
      </c>
      <c r="D1603" t="s">
        <v>136</v>
      </c>
      <c r="E1603">
        <v>4000000</v>
      </c>
      <c r="F1603" t="s">
        <v>195</v>
      </c>
      <c r="G1603" t="s">
        <v>195</v>
      </c>
      <c r="H1603" t="s">
        <v>184</v>
      </c>
    </row>
    <row r="1604" spans="1:8" x14ac:dyDescent="0.2">
      <c r="A1604" t="s">
        <v>2995</v>
      </c>
      <c r="B1604" t="s">
        <v>2996</v>
      </c>
      <c r="C1604" t="s">
        <v>330</v>
      </c>
      <c r="D1604" t="s">
        <v>136</v>
      </c>
      <c r="E1604">
        <v>15000000</v>
      </c>
      <c r="F1604" t="s">
        <v>330</v>
      </c>
      <c r="G1604" t="s">
        <v>312</v>
      </c>
      <c r="H1604" t="s">
        <v>313</v>
      </c>
    </row>
    <row r="1605" spans="1:8" x14ac:dyDescent="0.2">
      <c r="A1605" t="s">
        <v>2997</v>
      </c>
      <c r="B1605" t="s">
        <v>2998</v>
      </c>
      <c r="C1605" t="s">
        <v>137</v>
      </c>
      <c r="D1605" t="s">
        <v>136</v>
      </c>
      <c r="E1605">
        <v>12972475</v>
      </c>
      <c r="F1605" t="s">
        <v>137</v>
      </c>
      <c r="G1605" t="s">
        <v>138</v>
      </c>
      <c r="H1605" t="s">
        <v>139</v>
      </c>
    </row>
    <row r="1606" spans="1:8" x14ac:dyDescent="0.2">
      <c r="A1606" t="s">
        <v>2999</v>
      </c>
      <c r="B1606" t="s">
        <v>3000</v>
      </c>
      <c r="C1606" t="s">
        <v>194</v>
      </c>
      <c r="D1606" t="s">
        <v>136</v>
      </c>
      <c r="E1606">
        <v>11800000</v>
      </c>
      <c r="F1606" t="s">
        <v>195</v>
      </c>
      <c r="G1606" t="s">
        <v>195</v>
      </c>
      <c r="H1606" t="s">
        <v>184</v>
      </c>
    </row>
    <row r="1607" spans="1:8" x14ac:dyDescent="0.2">
      <c r="A1607" t="s">
        <v>3001</v>
      </c>
      <c r="B1607" t="s">
        <v>3002</v>
      </c>
      <c r="C1607" t="s">
        <v>149</v>
      </c>
      <c r="D1607" t="s">
        <v>143</v>
      </c>
      <c r="E1607">
        <v>14299880</v>
      </c>
      <c r="F1607" t="s">
        <v>149</v>
      </c>
      <c r="G1607" t="s">
        <v>150</v>
      </c>
      <c r="H1607" t="s">
        <v>145</v>
      </c>
    </row>
    <row r="1608" spans="1:8" x14ac:dyDescent="0.2">
      <c r="A1608" t="s">
        <v>3003</v>
      </c>
      <c r="B1608" t="s">
        <v>3004</v>
      </c>
      <c r="C1608" t="s">
        <v>563</v>
      </c>
      <c r="D1608" t="s">
        <v>143</v>
      </c>
      <c r="E1608">
        <v>137001454</v>
      </c>
      <c r="F1608" t="s">
        <v>216</v>
      </c>
      <c r="G1608" t="s">
        <v>216</v>
      </c>
      <c r="H1608" t="s">
        <v>217</v>
      </c>
    </row>
    <row r="1609" spans="1:8" x14ac:dyDescent="0.2">
      <c r="A1609" t="s">
        <v>3005</v>
      </c>
      <c r="B1609" t="s">
        <v>3006</v>
      </c>
      <c r="C1609" t="s">
        <v>891</v>
      </c>
      <c r="D1609" t="s">
        <v>136</v>
      </c>
      <c r="E1609">
        <v>9548000</v>
      </c>
      <c r="F1609" t="s">
        <v>269</v>
      </c>
      <c r="G1609" t="s">
        <v>241</v>
      </c>
      <c r="H1609" t="s">
        <v>242</v>
      </c>
    </row>
  </sheetData>
  <autoFilter ref="A1:H1609" xr:uid="{DE97CC88-CB89-411D-8D49-635C7DD921CE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77FD1-5229-415D-82FD-8D32C996C494}">
  <sheetPr codeName="Sheet7"/>
  <dimension ref="A1:Q36"/>
  <sheetViews>
    <sheetView topLeftCell="A13" workbookViewId="0">
      <selection activeCell="K19" sqref="K19"/>
    </sheetView>
  </sheetViews>
  <sheetFormatPr defaultRowHeight="15" x14ac:dyDescent="0.2"/>
  <cols>
    <col min="1" max="1" width="27.88671875" customWidth="1"/>
    <col min="3" max="3" width="10.109375" bestFit="1" customWidth="1"/>
    <col min="4" max="7" width="5.88671875" bestFit="1" customWidth="1"/>
    <col min="8" max="8" width="14" bestFit="1" customWidth="1"/>
    <col min="9" max="9" width="14.33203125" bestFit="1" customWidth="1"/>
    <col min="10" max="10" width="15" bestFit="1" customWidth="1"/>
    <col min="11" max="11" width="15.33203125" bestFit="1" customWidth="1"/>
    <col min="12" max="13" width="11.88671875" customWidth="1"/>
    <col min="14" max="14" width="21.88671875" customWidth="1"/>
    <col min="15" max="15" width="5.77734375" customWidth="1"/>
    <col min="16" max="17" width="22.33203125" customWidth="1"/>
  </cols>
  <sheetData>
    <row r="1" spans="1:17" x14ac:dyDescent="0.2">
      <c r="A1" s="24" t="str" cm="1">
        <f t="array" aca="1" ref="A1:M8" ca="1">get_price_historical_vnd(CANSLIM!$E$1,CANSLIM!$H$1,CANSLIM!$I$1)</f>
        <v/>
      </c>
      <c r="B1" s="24" t="str">
        <f ca="1"/>
        <v>code</v>
      </c>
      <c r="C1" s="24" t="str">
        <f ca="1"/>
        <v>date</v>
      </c>
      <c r="D1" s="24" t="str">
        <f ca="1"/>
        <v>open</v>
      </c>
      <c r="E1" s="24" t="str">
        <f ca="1"/>
        <v>high</v>
      </c>
      <c r="F1" s="24" t="str">
        <f ca="1"/>
        <v>low</v>
      </c>
      <c r="G1" s="24" t="str">
        <f ca="1"/>
        <v>close</v>
      </c>
      <c r="H1" s="24" t="str">
        <f ca="1"/>
        <v>KLGD Khớp lệnh</v>
      </c>
      <c r="I1" s="24" t="str">
        <f ca="1"/>
        <v>GTGD Khớp lệnh</v>
      </c>
      <c r="J1" s="24" t="str">
        <f ca="1"/>
        <v>KLGD Thỏa thuận</v>
      </c>
      <c r="K1" s="24" t="str">
        <f ca="1"/>
        <v>GTGD Thỏa thuận</v>
      </c>
      <c r="L1" s="24" t="str">
        <f ca="1"/>
        <v>tăng/giảm</v>
      </c>
      <c r="M1" s="24" t="str">
        <f ca="1"/>
        <v>% tăng/giảm</v>
      </c>
      <c r="O1" s="24" t="str" cm="1">
        <f t="array" ref="O1:Q12">info_company(CANSLIM!$E$1)</f>
        <v/>
      </c>
      <c r="P1" s="24" t="str">
        <v>ratioCode</v>
      </c>
      <c r="Q1" s="24" t="str">
        <v>value</v>
      </c>
    </row>
    <row r="2" spans="1:17" x14ac:dyDescent="0.2">
      <c r="A2" s="3">
        <f ca="1"/>
        <v>0</v>
      </c>
      <c r="B2" s="3" t="str">
        <f ca="1"/>
        <v>AAA</v>
      </c>
      <c r="C2" s="3" t="str">
        <f ca="1"/>
        <v>2025-03-04</v>
      </c>
      <c r="D2" s="3">
        <f ca="1"/>
        <v>8.86</v>
      </c>
      <c r="E2" s="3">
        <f ca="1"/>
        <v>8.86</v>
      </c>
      <c r="F2" s="3">
        <f ca="1"/>
        <v>8.64</v>
      </c>
      <c r="G2" s="3">
        <f ca="1"/>
        <v>8.6999999999999993</v>
      </c>
      <c r="H2" s="3">
        <f ca="1"/>
        <v>1791100</v>
      </c>
      <c r="I2" s="3">
        <f ca="1"/>
        <v>15698000000</v>
      </c>
      <c r="J2" s="3">
        <f ca="1"/>
        <v>0</v>
      </c>
      <c r="K2" s="3">
        <f ca="1"/>
        <v>0</v>
      </c>
      <c r="L2" s="3">
        <f ca="1"/>
        <v>-0.16</v>
      </c>
      <c r="M2" s="3">
        <f ca="1"/>
        <v>-1.8059000000000001</v>
      </c>
      <c r="O2" s="3">
        <v>0</v>
      </c>
      <c r="P2" s="69" t="str">
        <v>MARKETCAP</v>
      </c>
      <c r="Q2" s="28">
        <v>3386952034560</v>
      </c>
    </row>
    <row r="3" spans="1:17" x14ac:dyDescent="0.2">
      <c r="A3" s="3">
        <f ca="1"/>
        <v>1</v>
      </c>
      <c r="B3" s="3" t="str">
        <f ca="1"/>
        <v>AAA</v>
      </c>
      <c r="C3" s="3" t="str">
        <f ca="1"/>
        <v>2025-03-03</v>
      </c>
      <c r="D3" s="3">
        <f ca="1"/>
        <v>8.91</v>
      </c>
      <c r="E3" s="3">
        <f ca="1"/>
        <v>8.9499999999999993</v>
      </c>
      <c r="F3" s="3">
        <f ca="1"/>
        <v>8.86</v>
      </c>
      <c r="G3" s="3">
        <f ca="1"/>
        <v>8.86</v>
      </c>
      <c r="H3" s="3">
        <f ca="1"/>
        <v>1392200</v>
      </c>
      <c r="I3" s="3">
        <f ca="1"/>
        <v>12367608000</v>
      </c>
      <c r="J3" s="3">
        <f ca="1"/>
        <v>0</v>
      </c>
      <c r="K3" s="3">
        <f ca="1"/>
        <v>0</v>
      </c>
      <c r="L3" s="3">
        <f ca="1"/>
        <v>0</v>
      </c>
      <c r="M3" s="3">
        <f ca="1"/>
        <v>0</v>
      </c>
      <c r="O3" s="3">
        <v>1</v>
      </c>
      <c r="P3" s="3" t="str">
        <v>NMVOLUME_AVG_CR_10D</v>
      </c>
      <c r="Q3" s="28">
        <v>2238770</v>
      </c>
    </row>
    <row r="4" spans="1:17" x14ac:dyDescent="0.2">
      <c r="A4" s="3">
        <f ca="1"/>
        <v>2</v>
      </c>
      <c r="B4" s="3" t="str">
        <f ca="1"/>
        <v>AAA</v>
      </c>
      <c r="C4" s="3" t="str">
        <f ca="1"/>
        <v>2025-02-28</v>
      </c>
      <c r="D4" s="3">
        <f ca="1"/>
        <v>8.84</v>
      </c>
      <c r="E4" s="3">
        <f ca="1"/>
        <v>8.93</v>
      </c>
      <c r="F4" s="3">
        <f ca="1"/>
        <v>8.84</v>
      </c>
      <c r="G4" s="3">
        <f ca="1"/>
        <v>8.86</v>
      </c>
      <c r="H4" s="3">
        <f ca="1"/>
        <v>1720600</v>
      </c>
      <c r="I4" s="3">
        <f ca="1"/>
        <v>15290973000</v>
      </c>
      <c r="J4" s="3">
        <f ca="1"/>
        <v>0</v>
      </c>
      <c r="K4" s="3">
        <f ca="1"/>
        <v>0</v>
      </c>
      <c r="L4" s="3">
        <f ca="1"/>
        <v>0.02</v>
      </c>
      <c r="M4" s="3">
        <f ca="1"/>
        <v>0.22620000000000001</v>
      </c>
      <c r="O4" s="3">
        <v>2</v>
      </c>
      <c r="P4" s="3" t="str">
        <v>PRICE_HIGHEST_CR_52W</v>
      </c>
      <c r="Q4" s="28">
        <v>12400</v>
      </c>
    </row>
    <row r="5" spans="1:17" x14ac:dyDescent="0.2">
      <c r="A5" s="3">
        <f ca="1"/>
        <v>3</v>
      </c>
      <c r="B5" s="3" t="str">
        <f ca="1"/>
        <v>AAA</v>
      </c>
      <c r="C5" s="3" t="str">
        <f ca="1"/>
        <v>2025-02-27</v>
      </c>
      <c r="D5" s="3">
        <f ca="1"/>
        <v>8.93</v>
      </c>
      <c r="E5" s="3">
        <f ca="1"/>
        <v>8.9499999999999993</v>
      </c>
      <c r="F5" s="3">
        <f ca="1"/>
        <v>8.8000000000000007</v>
      </c>
      <c r="G5" s="3">
        <f ca="1"/>
        <v>8.84</v>
      </c>
      <c r="H5" s="3">
        <f ca="1"/>
        <v>2787500</v>
      </c>
      <c r="I5" s="3">
        <f ca="1"/>
        <v>24653544000</v>
      </c>
      <c r="J5" s="3">
        <f ca="1"/>
        <v>0</v>
      </c>
      <c r="K5" s="3">
        <f ca="1"/>
        <v>0</v>
      </c>
      <c r="L5" s="3">
        <f ca="1"/>
        <v>-0.08</v>
      </c>
      <c r="M5" s="3">
        <f ca="1"/>
        <v>-0.89690000000000003</v>
      </c>
      <c r="O5" s="3">
        <v>3</v>
      </c>
      <c r="P5" s="3" t="str">
        <v>PRICE_LOWEST_CR_52W</v>
      </c>
      <c r="Q5" s="28">
        <v>8160</v>
      </c>
    </row>
    <row r="6" spans="1:17" x14ac:dyDescent="0.2">
      <c r="A6" s="3">
        <f ca="1"/>
        <v>4</v>
      </c>
      <c r="B6" s="3" t="str">
        <f ca="1"/>
        <v>AAA</v>
      </c>
      <c r="C6" s="3" t="str">
        <f ca="1"/>
        <v>2025-02-26</v>
      </c>
      <c r="D6" s="3">
        <f ca="1"/>
        <v>9.02</v>
      </c>
      <c r="E6" s="3">
        <f ca="1"/>
        <v>9.07</v>
      </c>
      <c r="F6" s="3">
        <f ca="1"/>
        <v>8.9</v>
      </c>
      <c r="G6" s="3">
        <f ca="1"/>
        <v>8.92</v>
      </c>
      <c r="H6" s="3">
        <f ca="1"/>
        <v>1550400</v>
      </c>
      <c r="I6" s="3">
        <f ca="1"/>
        <v>13918896000</v>
      </c>
      <c r="J6" s="3">
        <f ca="1"/>
        <v>0</v>
      </c>
      <c r="K6" s="3">
        <f ca="1"/>
        <v>0</v>
      </c>
      <c r="L6" s="3">
        <f ca="1"/>
        <v>-0.08</v>
      </c>
      <c r="M6" s="3">
        <f ca="1"/>
        <v>-0.88890000000000002</v>
      </c>
      <c r="O6" s="3">
        <v>4</v>
      </c>
      <c r="P6" s="3" t="str">
        <v>OUTSTANDING_SHARES</v>
      </c>
      <c r="Q6" s="28">
        <v>382274496</v>
      </c>
    </row>
    <row r="7" spans="1:17" x14ac:dyDescent="0.2">
      <c r="A7" s="3">
        <f ca="1"/>
        <v>5</v>
      </c>
      <c r="B7" s="3" t="str">
        <f ca="1"/>
        <v>AAA</v>
      </c>
      <c r="C7" s="3" t="str">
        <f ca="1"/>
        <v>2025-02-25</v>
      </c>
      <c r="D7" s="3">
        <f ca="1"/>
        <v>8.9499999999999993</v>
      </c>
      <c r="E7" s="3">
        <f ca="1"/>
        <v>9.17</v>
      </c>
      <c r="F7" s="3">
        <f ca="1"/>
        <v>8.94</v>
      </c>
      <c r="G7" s="3">
        <f ca="1"/>
        <v>9</v>
      </c>
      <c r="H7" s="3">
        <f ca="1"/>
        <v>3056600</v>
      </c>
      <c r="I7" s="3">
        <f ca="1"/>
        <v>27645034000</v>
      </c>
      <c r="J7" s="3">
        <f ca="1"/>
        <v>0</v>
      </c>
      <c r="K7" s="3">
        <f ca="1"/>
        <v>0</v>
      </c>
      <c r="L7" s="3">
        <f ca="1"/>
        <v>7.0000000000000007E-2</v>
      </c>
      <c r="M7" s="3">
        <f ca="1"/>
        <v>0.78390000000000004</v>
      </c>
      <c r="O7" s="3">
        <v>5</v>
      </c>
      <c r="P7" s="3" t="str">
        <v>FREEFLOAT</v>
      </c>
      <c r="Q7" s="137">
        <v>0.49827509811169823</v>
      </c>
    </row>
    <row r="8" spans="1:17" x14ac:dyDescent="0.2">
      <c r="A8" s="3">
        <f ca="1"/>
        <v>6</v>
      </c>
      <c r="B8" s="3" t="str">
        <f ca="1"/>
        <v>AAA</v>
      </c>
      <c r="C8" s="3" t="str">
        <f ca="1"/>
        <v>2025-02-24</v>
      </c>
      <c r="D8" s="3">
        <f ca="1"/>
        <v>8.8699999999999992</v>
      </c>
      <c r="E8" s="3">
        <f ca="1"/>
        <v>8.9499999999999993</v>
      </c>
      <c r="F8" s="3">
        <f ca="1"/>
        <v>8.85</v>
      </c>
      <c r="G8" s="3">
        <f ca="1"/>
        <v>8.93</v>
      </c>
      <c r="H8" s="3">
        <f ca="1"/>
        <v>1554100</v>
      </c>
      <c r="I8" s="3">
        <f ca="1"/>
        <v>13821531000</v>
      </c>
      <c r="J8" s="3">
        <f ca="1"/>
        <v>0</v>
      </c>
      <c r="K8" s="3">
        <f ca="1"/>
        <v>0</v>
      </c>
      <c r="L8" s="3">
        <f ca="1"/>
        <v>0.06</v>
      </c>
      <c r="M8" s="3">
        <f ca="1"/>
        <v>0.6764</v>
      </c>
      <c r="O8" s="3">
        <v>6</v>
      </c>
      <c r="P8" s="3" t="str">
        <v>BETA</v>
      </c>
      <c r="Q8" s="137">
        <v>1.3396463924468693</v>
      </c>
    </row>
    <row r="9" spans="1:17" x14ac:dyDescent="0.2">
      <c r="O9" s="3">
        <v>7</v>
      </c>
      <c r="P9" s="3" t="str">
        <v>PRICE_TO_EARNINGS</v>
      </c>
      <c r="Q9" s="137">
        <v>9.360522137333728</v>
      </c>
    </row>
    <row r="10" spans="1:17" x14ac:dyDescent="0.2">
      <c r="O10" s="3">
        <v>8</v>
      </c>
      <c r="P10" s="3" t="str">
        <v>PRICE_TO_BOOK</v>
      </c>
      <c r="Q10" s="137">
        <v>0.6361988319730002</v>
      </c>
    </row>
    <row r="11" spans="1:17" x14ac:dyDescent="0.2">
      <c r="O11" s="3">
        <v>9</v>
      </c>
      <c r="P11" s="3" t="str">
        <v>DIVIDEND_YIELD</v>
      </c>
      <c r="Q11" s="137">
        <v>6.8921849975453109E-6</v>
      </c>
    </row>
    <row r="12" spans="1:17" x14ac:dyDescent="0.2">
      <c r="O12" s="3">
        <v>10</v>
      </c>
      <c r="P12" s="3" t="str">
        <v>BVPS_CR</v>
      </c>
      <c r="Q12" s="137">
        <v>13926.463795167752</v>
      </c>
    </row>
    <row r="14" spans="1:17" x14ac:dyDescent="0.2">
      <c r="A14" s="117"/>
      <c r="B14" s="117"/>
      <c r="C14" s="117"/>
      <c r="D14" s="117"/>
      <c r="E14" s="117"/>
    </row>
    <row r="15" spans="1:17" x14ac:dyDescent="0.2">
      <c r="A15" s="117"/>
      <c r="B15" s="117"/>
      <c r="C15" s="117"/>
      <c r="D15" s="117"/>
      <c r="E15" s="117"/>
    </row>
    <row r="16" spans="1:17" x14ac:dyDescent="0.2">
      <c r="A16" s="117"/>
      <c r="B16" s="117"/>
      <c r="C16" s="117"/>
      <c r="D16" s="117"/>
      <c r="E16" s="117"/>
      <c r="I16" s="152"/>
      <c r="J16" s="117"/>
    </row>
    <row r="17" spans="1:13" x14ac:dyDescent="0.2">
      <c r="A17" s="117"/>
      <c r="B17" s="117"/>
      <c r="C17" s="117"/>
      <c r="D17" s="117"/>
      <c r="E17" s="117"/>
      <c r="I17" s="152"/>
      <c r="J17" s="117"/>
    </row>
    <row r="18" spans="1:13" x14ac:dyDescent="0.2">
      <c r="A18" s="117"/>
      <c r="B18" s="117"/>
      <c r="C18" s="117"/>
      <c r="D18" s="117"/>
      <c r="E18" s="117"/>
      <c r="I18" s="152"/>
      <c r="J18" s="117"/>
    </row>
    <row r="19" spans="1:13" x14ac:dyDescent="0.2">
      <c r="A19" s="117"/>
      <c r="B19" s="117"/>
      <c r="C19" s="117"/>
      <c r="D19" s="117"/>
      <c r="E19" s="117"/>
      <c r="I19" s="152"/>
      <c r="J19" s="117"/>
    </row>
    <row r="20" spans="1:13" x14ac:dyDescent="0.2">
      <c r="A20" s="117"/>
      <c r="B20" s="117"/>
      <c r="C20" s="117"/>
      <c r="D20" s="117"/>
      <c r="E20" s="117"/>
      <c r="I20" s="152"/>
      <c r="J20" s="117"/>
      <c r="K20" s="117"/>
      <c r="L20" s="117"/>
      <c r="M20" s="117"/>
    </row>
    <row r="21" spans="1:13" x14ac:dyDescent="0.2">
      <c r="A21" s="117"/>
      <c r="B21" s="117"/>
      <c r="C21" s="117"/>
      <c r="D21" s="117"/>
      <c r="E21" s="117"/>
      <c r="I21" s="152"/>
      <c r="J21" s="117"/>
      <c r="K21" s="117"/>
      <c r="L21" s="117"/>
      <c r="M21" s="117"/>
    </row>
    <row r="22" spans="1:13" x14ac:dyDescent="0.2">
      <c r="A22" s="117"/>
      <c r="B22" s="117"/>
      <c r="C22" s="117"/>
      <c r="D22" s="117"/>
      <c r="E22" s="117"/>
      <c r="I22" s="152"/>
      <c r="J22" s="117"/>
      <c r="K22" s="117"/>
      <c r="L22" s="117"/>
      <c r="M22" s="117"/>
    </row>
    <row r="23" spans="1:13" x14ac:dyDescent="0.2">
      <c r="A23" s="117"/>
      <c r="B23" s="117"/>
      <c r="C23" s="117"/>
      <c r="D23" s="117"/>
      <c r="E23" s="117"/>
      <c r="I23" s="152"/>
      <c r="J23" s="117"/>
      <c r="K23" s="117"/>
      <c r="L23" s="117"/>
      <c r="M23" s="117"/>
    </row>
    <row r="24" spans="1:13" x14ac:dyDescent="0.2">
      <c r="A24" s="117"/>
      <c r="B24" s="117"/>
      <c r="C24" s="117"/>
      <c r="D24" s="117"/>
      <c r="E24" s="117"/>
      <c r="I24" s="152"/>
      <c r="J24" s="117"/>
      <c r="K24" s="117"/>
      <c r="L24" s="117"/>
      <c r="M24" s="117"/>
    </row>
    <row r="25" spans="1:13" x14ac:dyDescent="0.2">
      <c r="A25" s="117"/>
      <c r="B25" s="117"/>
      <c r="C25" s="117"/>
      <c r="D25" s="117"/>
      <c r="E25" s="117"/>
      <c r="I25" s="152"/>
      <c r="J25" s="117"/>
      <c r="K25" s="117"/>
      <c r="L25" s="117"/>
      <c r="M25" s="117"/>
    </row>
    <row r="26" spans="1:13" x14ac:dyDescent="0.2">
      <c r="A26" s="117"/>
      <c r="B26" s="117"/>
      <c r="C26" s="117"/>
      <c r="D26" s="117"/>
      <c r="E26" s="117"/>
      <c r="I26" s="152"/>
      <c r="J26" s="117"/>
      <c r="K26" s="117"/>
      <c r="L26" s="117"/>
      <c r="M26" s="117"/>
    </row>
    <row r="27" spans="1:13" x14ac:dyDescent="0.2">
      <c r="A27" s="117"/>
      <c r="B27" s="117"/>
      <c r="C27" s="117"/>
      <c r="D27" s="117"/>
      <c r="E27" s="117"/>
      <c r="I27" s="152"/>
      <c r="J27" s="117"/>
      <c r="K27" s="117"/>
      <c r="L27" s="117"/>
      <c r="M27" s="117"/>
    </row>
    <row r="28" spans="1:13" x14ac:dyDescent="0.2">
      <c r="A28" s="117"/>
      <c r="B28" s="117"/>
      <c r="C28" s="117"/>
      <c r="D28" s="117"/>
      <c r="E28" s="117"/>
      <c r="I28" s="152"/>
      <c r="J28" s="117"/>
      <c r="K28" s="117"/>
      <c r="L28" s="117"/>
      <c r="M28" s="117"/>
    </row>
    <row r="29" spans="1:13" x14ac:dyDescent="0.2">
      <c r="A29" s="117"/>
      <c r="B29" s="117"/>
      <c r="C29" s="117"/>
      <c r="D29" s="117"/>
      <c r="E29" s="117"/>
      <c r="I29" s="152"/>
      <c r="J29" s="117"/>
      <c r="K29" s="117"/>
      <c r="L29" s="117"/>
      <c r="M29" s="117"/>
    </row>
    <row r="30" spans="1:13" x14ac:dyDescent="0.2">
      <c r="A30" s="117"/>
      <c r="B30" s="117"/>
      <c r="C30" s="117"/>
      <c r="D30" s="117"/>
      <c r="E30" s="117"/>
      <c r="I30" s="152"/>
      <c r="J30" s="117"/>
      <c r="K30" s="117"/>
      <c r="L30" s="117"/>
      <c r="M30" s="117"/>
    </row>
    <row r="31" spans="1:13" x14ac:dyDescent="0.2">
      <c r="A31" s="117"/>
      <c r="B31" s="117"/>
      <c r="C31" s="117"/>
      <c r="D31" s="117"/>
      <c r="E31" s="117"/>
      <c r="J31" s="117"/>
      <c r="K31" s="117"/>
      <c r="L31" s="117"/>
      <c r="M31" s="117"/>
    </row>
    <row r="32" spans="1:13" x14ac:dyDescent="0.2">
      <c r="A32" s="117"/>
      <c r="B32" s="117"/>
      <c r="C32" s="117"/>
      <c r="D32" s="117"/>
      <c r="E32" s="117"/>
      <c r="J32" s="117"/>
      <c r="K32" s="117"/>
      <c r="L32" s="117"/>
      <c r="M32" s="117"/>
    </row>
    <row r="33" spans="10:13" x14ac:dyDescent="0.2">
      <c r="J33" s="117"/>
      <c r="K33" s="117"/>
      <c r="L33" s="117"/>
      <c r="M33" s="117"/>
    </row>
    <row r="34" spans="10:13" x14ac:dyDescent="0.2">
      <c r="J34" s="117"/>
      <c r="K34" s="117"/>
      <c r="L34" s="117"/>
      <c r="M34" s="117"/>
    </row>
    <row r="35" spans="10:13" x14ac:dyDescent="0.2">
      <c r="J35" s="117"/>
      <c r="K35" s="117"/>
      <c r="L35" s="117"/>
      <c r="M35" s="117"/>
    </row>
    <row r="36" spans="10:13" x14ac:dyDescent="0.2">
      <c r="J36" s="117"/>
      <c r="K36" s="117"/>
      <c r="L36" s="117"/>
      <c r="M36" s="117"/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FAF6-9D4C-4EA8-BEB5-5C00B6CD1FF2}">
  <sheetPr codeName="Sheet9"/>
  <dimension ref="I1:N44"/>
  <sheetViews>
    <sheetView workbookViewId="0">
      <selection activeCell="N22" sqref="N22"/>
    </sheetView>
  </sheetViews>
  <sheetFormatPr defaultRowHeight="15" x14ac:dyDescent="0.2"/>
  <cols>
    <col min="3" max="3" width="10.88671875" customWidth="1"/>
    <col min="5" max="5" width="11.44140625" customWidth="1"/>
    <col min="9" max="10" width="13.6640625" customWidth="1"/>
    <col min="12" max="12" width="10.109375" customWidth="1"/>
    <col min="13" max="13" width="11.77734375" customWidth="1"/>
    <col min="14" max="14" width="17" customWidth="1"/>
  </cols>
  <sheetData>
    <row r="1" spans="9:14" x14ac:dyDescent="0.2">
      <c r="I1" t="s">
        <v>3042</v>
      </c>
    </row>
    <row r="2" spans="9:14" x14ac:dyDescent="0.2">
      <c r="I2" t="s">
        <v>3073</v>
      </c>
      <c r="J2" t="s">
        <v>3043</v>
      </c>
      <c r="K2" t="s">
        <v>3044</v>
      </c>
      <c r="L2" t="s">
        <v>3047</v>
      </c>
      <c r="M2" t="s">
        <v>3048</v>
      </c>
      <c r="N2" t="s">
        <v>3049</v>
      </c>
    </row>
    <row r="6" spans="9:14" x14ac:dyDescent="0.2">
      <c r="I6" s="162"/>
      <c r="J6" s="162"/>
    </row>
    <row r="9" spans="9:14" x14ac:dyDescent="0.2">
      <c r="L9" s="116"/>
      <c r="N9" s="23"/>
    </row>
    <row r="10" spans="9:14" x14ac:dyDescent="0.2">
      <c r="L10" s="116"/>
      <c r="N10" s="23"/>
    </row>
    <row r="11" spans="9:14" x14ac:dyDescent="0.2">
      <c r="L11" s="116"/>
      <c r="N11" s="23"/>
    </row>
    <row r="12" spans="9:14" x14ac:dyDescent="0.2">
      <c r="L12" s="116"/>
      <c r="N12" s="23"/>
    </row>
    <row r="13" spans="9:14" x14ac:dyDescent="0.2">
      <c r="L13" s="116"/>
      <c r="N13" s="23"/>
    </row>
    <row r="14" spans="9:14" x14ac:dyDescent="0.2">
      <c r="L14" s="116"/>
      <c r="N14" s="23"/>
    </row>
    <row r="15" spans="9:14" x14ac:dyDescent="0.2">
      <c r="L15" s="116"/>
      <c r="N15" s="23"/>
    </row>
    <row r="16" spans="9:14" x14ac:dyDescent="0.2">
      <c r="L16" s="116"/>
      <c r="N16" s="23"/>
    </row>
    <row r="17" spans="12:14" x14ac:dyDescent="0.2">
      <c r="L17" s="116"/>
      <c r="N17" s="23"/>
    </row>
    <row r="18" spans="12:14" x14ac:dyDescent="0.2">
      <c r="L18" s="116"/>
      <c r="N18" s="23"/>
    </row>
    <row r="19" spans="12:14" x14ac:dyDescent="0.2">
      <c r="L19" s="116"/>
      <c r="N19" s="23"/>
    </row>
    <row r="20" spans="12:14" x14ac:dyDescent="0.2">
      <c r="L20" s="116"/>
      <c r="N20" s="23"/>
    </row>
    <row r="21" spans="12:14" x14ac:dyDescent="0.2">
      <c r="L21" s="116"/>
      <c r="N21" s="23"/>
    </row>
    <row r="22" spans="12:14" x14ac:dyDescent="0.2">
      <c r="L22" s="116"/>
      <c r="N22" s="23"/>
    </row>
    <row r="23" spans="12:14" x14ac:dyDescent="0.2">
      <c r="L23" s="116"/>
      <c r="N23" s="23"/>
    </row>
    <row r="24" spans="12:14" x14ac:dyDescent="0.2">
      <c r="L24" s="116"/>
      <c r="N24" s="23"/>
    </row>
    <row r="25" spans="12:14" x14ac:dyDescent="0.2">
      <c r="L25" s="116"/>
      <c r="N25" s="23"/>
    </row>
    <row r="26" spans="12:14" x14ac:dyDescent="0.2">
      <c r="L26" s="116"/>
      <c r="N26" s="23"/>
    </row>
    <row r="27" spans="12:14" x14ac:dyDescent="0.2">
      <c r="L27" s="116"/>
      <c r="N27" s="23"/>
    </row>
    <row r="28" spans="12:14" x14ac:dyDescent="0.2">
      <c r="L28" s="116"/>
      <c r="N28" s="23"/>
    </row>
    <row r="29" spans="12:14" x14ac:dyDescent="0.2">
      <c r="L29" s="116"/>
      <c r="N29" s="23"/>
    </row>
    <row r="30" spans="12:14" x14ac:dyDescent="0.2">
      <c r="L30" s="116"/>
      <c r="N30" s="23"/>
    </row>
    <row r="31" spans="12:14" x14ac:dyDescent="0.2">
      <c r="L31" s="116"/>
      <c r="N31" s="23"/>
    </row>
    <row r="32" spans="12:14" x14ac:dyDescent="0.2">
      <c r="L32" s="116"/>
      <c r="N32" s="23"/>
    </row>
    <row r="33" spans="12:14" x14ac:dyDescent="0.2">
      <c r="L33" s="116"/>
      <c r="N33" s="23"/>
    </row>
    <row r="34" spans="12:14" x14ac:dyDescent="0.2">
      <c r="L34" s="116"/>
      <c r="N34" s="23"/>
    </row>
    <row r="35" spans="12:14" x14ac:dyDescent="0.2">
      <c r="L35" s="116"/>
      <c r="N35" s="23"/>
    </row>
    <row r="36" spans="12:14" x14ac:dyDescent="0.2">
      <c r="L36" s="116"/>
      <c r="N36" s="23"/>
    </row>
    <row r="37" spans="12:14" x14ac:dyDescent="0.2">
      <c r="L37" s="116"/>
      <c r="N37" s="23"/>
    </row>
    <row r="38" spans="12:14" x14ac:dyDescent="0.2">
      <c r="L38" s="116"/>
      <c r="N38" s="23"/>
    </row>
    <row r="39" spans="12:14" x14ac:dyDescent="0.2">
      <c r="L39" s="116"/>
      <c r="N39" s="23"/>
    </row>
    <row r="40" spans="12:14" x14ac:dyDescent="0.2">
      <c r="L40" s="116"/>
      <c r="N40" s="23"/>
    </row>
    <row r="41" spans="12:14" x14ac:dyDescent="0.2">
      <c r="L41" s="116"/>
      <c r="N41" s="23"/>
    </row>
    <row r="42" spans="12:14" x14ac:dyDescent="0.2">
      <c r="L42" s="116"/>
      <c r="N42" s="23"/>
    </row>
    <row r="43" spans="12:14" x14ac:dyDescent="0.2">
      <c r="L43" s="116"/>
      <c r="N43" s="23"/>
    </row>
    <row r="44" spans="12:14" x14ac:dyDescent="0.2">
      <c r="L44" s="116"/>
      <c r="N44" s="2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DB72-E2E7-4AEF-AD07-C81C64EB64E2}">
  <sheetPr codeName="Sheet8"/>
  <dimension ref="A1:F40"/>
  <sheetViews>
    <sheetView workbookViewId="0">
      <selection activeCell="C23" sqref="C23"/>
    </sheetView>
  </sheetViews>
  <sheetFormatPr defaultRowHeight="15" x14ac:dyDescent="0.2"/>
  <cols>
    <col min="1" max="1" width="61.6640625" customWidth="1"/>
    <col min="2" max="2" width="59.44140625" customWidth="1"/>
    <col min="3" max="3" width="8.88671875" customWidth="1"/>
    <col min="6" max="6" width="10.77734375" customWidth="1"/>
  </cols>
  <sheetData>
    <row r="1" spans="1:6" ht="15.75" x14ac:dyDescent="0.25">
      <c r="A1" s="329" t="s">
        <v>102</v>
      </c>
      <c r="B1" s="329"/>
      <c r="C1" s="319" t="s">
        <v>78</v>
      </c>
      <c r="D1" s="320"/>
      <c r="E1" s="320"/>
      <c r="F1" s="321"/>
    </row>
    <row r="2" spans="1:6" ht="15.75" x14ac:dyDescent="0.25">
      <c r="A2" s="4" t="s">
        <v>75</v>
      </c>
      <c r="B2" s="4" t="s">
        <v>99</v>
      </c>
      <c r="C2" s="330" t="s">
        <v>82</v>
      </c>
      <c r="D2" s="331"/>
      <c r="E2" s="331"/>
      <c r="F2" s="332"/>
    </row>
    <row r="3" spans="1:6" ht="15.75" x14ac:dyDescent="0.25">
      <c r="A3" s="6" t="s">
        <v>76</v>
      </c>
      <c r="B3" s="6" t="s">
        <v>100</v>
      </c>
      <c r="C3" s="326" t="s">
        <v>83</v>
      </c>
      <c r="D3" s="327"/>
      <c r="E3" s="327"/>
      <c r="F3" s="328"/>
    </row>
    <row r="4" spans="1:6" ht="15.75" x14ac:dyDescent="0.25">
      <c r="A4" s="7" t="s">
        <v>77</v>
      </c>
      <c r="B4" s="7" t="s">
        <v>101</v>
      </c>
      <c r="C4" s="326" t="s">
        <v>84</v>
      </c>
      <c r="D4" s="327"/>
      <c r="E4" s="327"/>
      <c r="F4" s="328"/>
    </row>
    <row r="5" spans="1:6" ht="15.75" x14ac:dyDescent="0.25">
      <c r="A5" s="4" t="s">
        <v>51</v>
      </c>
      <c r="B5" s="4" t="s">
        <v>28</v>
      </c>
      <c r="C5" s="326" t="s">
        <v>85</v>
      </c>
      <c r="D5" s="327"/>
      <c r="E5" s="327"/>
      <c r="F5" s="328"/>
    </row>
    <row r="6" spans="1:6" ht="15.75" x14ac:dyDescent="0.25">
      <c r="A6" s="6" t="s">
        <v>47</v>
      </c>
      <c r="B6" s="6" t="s">
        <v>29</v>
      </c>
      <c r="C6" s="326" t="s">
        <v>86</v>
      </c>
      <c r="D6" s="327"/>
      <c r="E6" s="327"/>
      <c r="F6" s="328"/>
    </row>
    <row r="7" spans="1:6" ht="15.75" x14ac:dyDescent="0.25">
      <c r="A7" s="7" t="s">
        <v>58</v>
      </c>
      <c r="B7" s="7" t="s">
        <v>59</v>
      </c>
      <c r="C7" s="326" t="s">
        <v>87</v>
      </c>
      <c r="D7" s="327"/>
      <c r="E7" s="327"/>
      <c r="F7" s="328"/>
    </row>
    <row r="8" spans="1:6" ht="15.75" x14ac:dyDescent="0.25">
      <c r="A8" s="4" t="s">
        <v>53</v>
      </c>
      <c r="B8" s="4" t="s">
        <v>49</v>
      </c>
      <c r="C8" s="316" t="s">
        <v>88</v>
      </c>
      <c r="D8" s="317"/>
      <c r="E8" s="317"/>
      <c r="F8" s="318"/>
    </row>
    <row r="9" spans="1:6" ht="15.75" x14ac:dyDescent="0.25">
      <c r="A9" s="6" t="s">
        <v>31</v>
      </c>
      <c r="B9" s="6" t="s">
        <v>50</v>
      </c>
      <c r="C9" s="319" t="s">
        <v>79</v>
      </c>
      <c r="D9" s="320"/>
      <c r="E9" s="320"/>
      <c r="F9" s="321"/>
    </row>
    <row r="10" spans="1:6" ht="15.75" x14ac:dyDescent="0.25">
      <c r="A10" s="7" t="s">
        <v>57</v>
      </c>
      <c r="B10" s="7" t="s">
        <v>60</v>
      </c>
      <c r="C10" s="8" t="s">
        <v>82</v>
      </c>
      <c r="D10" s="9"/>
      <c r="E10" s="9"/>
      <c r="F10" s="11"/>
    </row>
    <row r="11" spans="1:6" ht="15.75" x14ac:dyDescent="0.25">
      <c r="A11" s="4" t="s">
        <v>52</v>
      </c>
      <c r="B11" s="4" t="s">
        <v>48</v>
      </c>
      <c r="C11" s="10" t="s">
        <v>90</v>
      </c>
      <c r="D11" s="12"/>
      <c r="E11" s="12"/>
      <c r="F11" s="13"/>
    </row>
    <row r="12" spans="1:6" ht="15.75" x14ac:dyDescent="0.25">
      <c r="A12" s="6" t="s">
        <v>32</v>
      </c>
      <c r="B12" s="6" t="s">
        <v>30</v>
      </c>
      <c r="C12" s="10" t="s">
        <v>91</v>
      </c>
      <c r="D12" s="12"/>
      <c r="E12" s="12"/>
      <c r="F12" s="13"/>
    </row>
    <row r="13" spans="1:6" ht="15.75" x14ac:dyDescent="0.25">
      <c r="A13" s="7" t="s">
        <v>21</v>
      </c>
      <c r="B13" s="7" t="s">
        <v>61</v>
      </c>
      <c r="C13" s="10" t="s">
        <v>92</v>
      </c>
      <c r="D13" s="12"/>
      <c r="E13" s="12"/>
      <c r="F13" s="13"/>
    </row>
    <row r="14" spans="1:6" ht="15.75" x14ac:dyDescent="0.25">
      <c r="A14" s="4" t="s">
        <v>69</v>
      </c>
      <c r="B14" s="4" t="s">
        <v>33</v>
      </c>
      <c r="C14" s="14" t="s">
        <v>80</v>
      </c>
      <c r="D14" s="15"/>
      <c r="E14" s="15"/>
      <c r="F14" s="16"/>
    </row>
    <row r="15" spans="1:6" ht="15.75" x14ac:dyDescent="0.25">
      <c r="A15" s="6" t="s">
        <v>70</v>
      </c>
      <c r="B15" s="6" t="s">
        <v>34</v>
      </c>
      <c r="C15" s="10" t="s">
        <v>89</v>
      </c>
      <c r="D15" s="12"/>
      <c r="E15" s="12"/>
      <c r="F15" s="13"/>
    </row>
    <row r="16" spans="1:6" ht="15.75" x14ac:dyDescent="0.25">
      <c r="A16" s="7" t="s">
        <v>71</v>
      </c>
      <c r="B16" s="7" t="s">
        <v>62</v>
      </c>
      <c r="C16" s="10" t="s">
        <v>93</v>
      </c>
      <c r="D16" s="12"/>
      <c r="E16" s="12"/>
      <c r="F16" s="13"/>
    </row>
    <row r="17" spans="1:6" ht="15.75" x14ac:dyDescent="0.25">
      <c r="A17" s="4" t="s">
        <v>73</v>
      </c>
      <c r="B17" s="4" t="s">
        <v>35</v>
      </c>
      <c r="C17" s="10" t="s">
        <v>94</v>
      </c>
      <c r="D17" s="12"/>
      <c r="E17" s="12"/>
      <c r="F17" s="13"/>
    </row>
    <row r="18" spans="1:6" ht="15.75" x14ac:dyDescent="0.25">
      <c r="A18" s="6" t="s">
        <v>72</v>
      </c>
      <c r="B18" s="6" t="s">
        <v>36</v>
      </c>
      <c r="C18" s="14" t="s">
        <v>81</v>
      </c>
      <c r="D18" s="15"/>
      <c r="E18" s="15"/>
      <c r="F18" s="16"/>
    </row>
    <row r="19" spans="1:6" ht="15.75" x14ac:dyDescent="0.25">
      <c r="A19" s="7" t="s">
        <v>74</v>
      </c>
      <c r="B19" s="7" t="s">
        <v>63</v>
      </c>
      <c r="C19" s="10" t="s">
        <v>95</v>
      </c>
      <c r="D19" s="12"/>
      <c r="E19" s="12"/>
      <c r="F19" s="13"/>
    </row>
    <row r="20" spans="1:6" ht="15.75" x14ac:dyDescent="0.25">
      <c r="A20" s="4" t="s">
        <v>22</v>
      </c>
      <c r="B20" s="4" t="s">
        <v>37</v>
      </c>
      <c r="C20" s="316" t="s">
        <v>96</v>
      </c>
      <c r="D20" s="317"/>
      <c r="E20" s="317"/>
      <c r="F20" s="318"/>
    </row>
    <row r="21" spans="1:6" x14ac:dyDescent="0.2">
      <c r="A21" s="6" t="s">
        <v>27</v>
      </c>
      <c r="B21" s="6" t="s">
        <v>40</v>
      </c>
      <c r="C21" s="322" t="s">
        <v>97</v>
      </c>
      <c r="D21" s="323"/>
      <c r="E21" s="323"/>
      <c r="F21" s="323"/>
    </row>
    <row r="22" spans="1:6" x14ac:dyDescent="0.2">
      <c r="A22" s="7" t="s">
        <v>54</v>
      </c>
      <c r="B22" s="7" t="s">
        <v>64</v>
      </c>
      <c r="C22" s="324"/>
      <c r="D22" s="325"/>
      <c r="E22" s="325"/>
      <c r="F22" s="325"/>
    </row>
    <row r="23" spans="1:6" ht="90.75" x14ac:dyDescent="0.25">
      <c r="A23" s="4" t="s">
        <v>25</v>
      </c>
      <c r="B23" s="4" t="s">
        <v>38</v>
      </c>
      <c r="C23" s="18" t="s">
        <v>103</v>
      </c>
      <c r="D23" s="19"/>
      <c r="E23" s="19"/>
      <c r="F23" s="19"/>
    </row>
    <row r="24" spans="1:6" x14ac:dyDescent="0.2">
      <c r="A24" s="6" t="s">
        <v>26</v>
      </c>
      <c r="B24" s="6" t="s">
        <v>39</v>
      </c>
      <c r="C24" s="20"/>
      <c r="D24" s="19"/>
      <c r="E24" s="19"/>
      <c r="F24" s="19"/>
    </row>
    <row r="25" spans="1:6" x14ac:dyDescent="0.2">
      <c r="A25" s="6" t="s">
        <v>55</v>
      </c>
      <c r="B25" s="6" t="s">
        <v>65</v>
      </c>
    </row>
    <row r="26" spans="1:6" ht="15.75" x14ac:dyDescent="0.25">
      <c r="A26" s="4" t="s">
        <v>41</v>
      </c>
      <c r="B26" s="4" t="s">
        <v>43</v>
      </c>
    </row>
    <row r="27" spans="1:6" x14ac:dyDescent="0.2">
      <c r="A27" s="6" t="s">
        <v>42</v>
      </c>
      <c r="B27" s="6" t="s">
        <v>44</v>
      </c>
    </row>
    <row r="28" spans="1:6" x14ac:dyDescent="0.2">
      <c r="A28" s="7" t="s">
        <v>66</v>
      </c>
      <c r="B28" s="7" t="s">
        <v>67</v>
      </c>
      <c r="C28" s="17"/>
    </row>
    <row r="29" spans="1:6" ht="15.75" x14ac:dyDescent="0.25">
      <c r="A29" s="4" t="s">
        <v>45</v>
      </c>
      <c r="B29" s="4" t="s">
        <v>24</v>
      </c>
    </row>
    <row r="30" spans="1:6" x14ac:dyDescent="0.2">
      <c r="A30" s="6" t="s">
        <v>46</v>
      </c>
      <c r="B30" s="6" t="s">
        <v>23</v>
      </c>
    </row>
    <row r="31" spans="1:6" x14ac:dyDescent="0.2">
      <c r="A31" s="7" t="s">
        <v>68</v>
      </c>
      <c r="B31" s="7" t="s">
        <v>56</v>
      </c>
    </row>
    <row r="39" ht="16.5" customHeight="1" x14ac:dyDescent="0.2"/>
    <row r="40" ht="16.5" customHeight="1" x14ac:dyDescent="0.2"/>
  </sheetData>
  <mergeCells count="12">
    <mergeCell ref="C5:F5"/>
    <mergeCell ref="C6:F6"/>
    <mergeCell ref="A1:B1"/>
    <mergeCell ref="C1:F1"/>
    <mergeCell ref="C3:F3"/>
    <mergeCell ref="C4:F4"/>
    <mergeCell ref="C2:F2"/>
    <mergeCell ref="C20:F20"/>
    <mergeCell ref="C9:F9"/>
    <mergeCell ref="C21:F22"/>
    <mergeCell ref="C7:F7"/>
    <mergeCell ref="C8:F8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P25" sqref="P25"/>
    </sheetView>
  </sheetViews>
  <sheetFormatPr defaultColWidth="8.88671875" defaultRowHeight="15" x14ac:dyDescent="0.2"/>
  <cols>
    <col min="1" max="1" width="14.77734375" style="1" customWidth="1"/>
    <col min="2" max="2" width="9.21875" style="1" customWidth="1"/>
    <col min="3" max="16384" width="8.8867187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1</v>
      </c>
    </row>
    <row r="9" spans="1:2" x14ac:dyDescent="0.2">
      <c r="A9" s="1" t="s">
        <v>14</v>
      </c>
      <c r="B9" s="1" t="b">
        <v>0</v>
      </c>
    </row>
    <row r="13" spans="1:2" ht="15.75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37</vt:i4>
      </vt:variant>
    </vt:vector>
  </HeadingPairs>
  <TitlesOfParts>
    <vt:vector size="67" baseType="lpstr">
      <vt:lpstr>CANSLIM</vt:lpstr>
      <vt:lpstr>VN30F</vt:lpstr>
      <vt:lpstr>Tổng Quan</vt:lpstr>
      <vt:lpstr>VN30</vt:lpstr>
      <vt:lpstr>NGÂN HÀNG</vt:lpstr>
      <vt:lpstr>CHỨNG KHOÁN</vt:lpstr>
      <vt:lpstr> DẦU -KHÍ ĐỐT</vt:lpstr>
      <vt:lpstr>CÔNG NGHỆ</vt:lpstr>
      <vt:lpstr>BẢO HIỂM - DV TÀI CHÍNH</vt:lpstr>
      <vt:lpstr>BÁN LẺ</vt:lpstr>
      <vt:lpstr>DỆT MAY</vt:lpstr>
      <vt:lpstr>THÉP</vt:lpstr>
      <vt:lpstr>NĂNG LƯỢNG - TB ĐIỆN</vt:lpstr>
      <vt:lpstr>CÔNG NGHIỆP</vt:lpstr>
      <vt:lpstr>HÓA CHẤT -NHỰA</vt:lpstr>
      <vt:lpstr>Y TẾ - DƯỢC</vt:lpstr>
      <vt:lpstr>BĐS</vt:lpstr>
      <vt:lpstr>KHAI KHOÁNG - TNCB</vt:lpstr>
      <vt:lpstr>THỰC PHẨM-THỦY SẢN</vt:lpstr>
      <vt:lpstr>VẬN TẢI</vt:lpstr>
      <vt:lpstr>VLXD-NỘI THẤT</vt:lpstr>
      <vt:lpstr>KCN - XÂY DỰNG - ĐTC</vt:lpstr>
      <vt:lpstr>BS_BCTC</vt:lpstr>
      <vt:lpstr>PL_BCTC</vt:lpstr>
      <vt:lpstr>CF_BCTC</vt:lpstr>
      <vt:lpstr>LIST_COMPANY</vt:lpstr>
      <vt:lpstr>INFO</vt:lpstr>
      <vt:lpstr>Nơi chứ dữ liệu</vt:lpstr>
      <vt:lpstr>Hướng dẫn</vt:lpstr>
      <vt:lpstr>_xlwings.conf</vt:lpstr>
      <vt:lpstr>LIST_COMPANY!Criteria</vt:lpstr>
      <vt:lpstr>' DẦU -KHÍ ĐỐT'!Extract</vt:lpstr>
      <vt:lpstr>'BÁN LẺ'!Extract</vt:lpstr>
      <vt:lpstr>'BẢO HIỂM - DV TÀI CHÍNH'!Extract</vt:lpstr>
      <vt:lpstr>BĐS!Extract</vt:lpstr>
      <vt:lpstr>'CÔNG NGHỆ'!Extract</vt:lpstr>
      <vt:lpstr>'CÔNG NGHIỆP'!Extract</vt:lpstr>
      <vt:lpstr>'CHỨNG KHOÁN'!Extract</vt:lpstr>
      <vt:lpstr>'DỆT MAY'!Extract</vt:lpstr>
      <vt:lpstr>'HÓA CHẤT -NHỰA'!Extract</vt:lpstr>
      <vt:lpstr>'KCN - XÂY DỰNG - ĐTC'!Extract</vt:lpstr>
      <vt:lpstr>'KHAI KHOÁNG - TNCB'!Extract</vt:lpstr>
      <vt:lpstr>'NĂNG LƯỢNG - TB ĐIỆN'!Extract</vt:lpstr>
      <vt:lpstr>'NGÂN HÀNG'!Extract</vt:lpstr>
      <vt:lpstr>THÉP!Extract</vt:lpstr>
      <vt:lpstr>'THỰC PHẨM-THỦY SẢN'!Extract</vt:lpstr>
      <vt:lpstr>'VẬN TẢI'!Extract</vt:lpstr>
      <vt:lpstr>'VLXD-NỘI THẤT'!Extract</vt:lpstr>
      <vt:lpstr>'Y TẾ - DƯỢC'!Extract</vt:lpstr>
      <vt:lpstr>' DẦU -KHÍ ĐỐT'!Print_Area</vt:lpstr>
      <vt:lpstr>'BÁN LẺ'!Print_Area</vt:lpstr>
      <vt:lpstr>'BẢO HIỂM - DV TÀI CHÍNH'!Print_Area</vt:lpstr>
      <vt:lpstr>BĐS!Print_Area</vt:lpstr>
      <vt:lpstr>'CÔNG NGHỆ'!Print_Area</vt:lpstr>
      <vt:lpstr>'CÔNG NGHIỆP'!Print_Area</vt:lpstr>
      <vt:lpstr>'CHỨNG KHOÁN'!Print_Area</vt:lpstr>
      <vt:lpstr>'DỆT MAY'!Print_Area</vt:lpstr>
      <vt:lpstr>'HÓA CHẤT -NHỰA'!Print_Area</vt:lpstr>
      <vt:lpstr>'KCN - XÂY DỰNG - ĐTC'!Print_Area</vt:lpstr>
      <vt:lpstr>'KHAI KHOÁNG - TNCB'!Print_Area</vt:lpstr>
      <vt:lpstr>'NĂNG LƯỢNG - TB ĐIỆN'!Print_Area</vt:lpstr>
      <vt:lpstr>'NGÂN HÀNG'!Print_Area</vt:lpstr>
      <vt:lpstr>THÉP!Print_Area</vt:lpstr>
      <vt:lpstr>'THỰC PHẨM-THỦY SẢN'!Print_Area</vt:lpstr>
      <vt:lpstr>'VẬN TẢI'!Print_Area</vt:lpstr>
      <vt:lpstr>'VLXD-NỘI THẤT'!Print_Area</vt:lpstr>
      <vt:lpstr>'Y TẾ - DƯỢC'!Print_Area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Nguyen Binh</cp:lastModifiedBy>
  <dcterms:created xsi:type="dcterms:W3CDTF">2015-01-25T11:31:25Z</dcterms:created>
  <dcterms:modified xsi:type="dcterms:W3CDTF">2025-03-04T05:49:09Z</dcterms:modified>
</cp:coreProperties>
</file>